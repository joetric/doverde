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ric\dev\dnrec-dpr-revex-engine\data\classified\"/>
    </mc:Choice>
  </mc:AlternateContent>
  <xr:revisionPtr revIDLastSave="0" documentId="13_ncr:1_{9046407E-A1F3-4046-9463-02A2C89233A7}" xr6:coauthVersionLast="47" xr6:coauthVersionMax="47" xr10:uidLastSave="{00000000-0000-0000-0000-000000000000}"/>
  <bookViews>
    <workbookView xWindow="7080" yWindow="1170" windowWidth="17865" windowHeight="14250" xr2:uid="{452976A5-E8C3-40E8-B4F8-A4963BE881FA}"/>
  </bookViews>
  <sheets>
    <sheet name="checkbook_dpr" sheetId="1" r:id="rId1"/>
    <sheet name="pivot_by_class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4" i="1"/>
  <c r="N3" i="1"/>
  <c r="N17" i="1"/>
  <c r="N5" i="1"/>
  <c r="N6" i="1"/>
  <c r="N15" i="1"/>
  <c r="N10" i="1"/>
  <c r="N9" i="1"/>
  <c r="N11" i="1"/>
  <c r="N38" i="1"/>
  <c r="N47" i="1"/>
  <c r="N49" i="1"/>
  <c r="N19" i="1"/>
  <c r="N7" i="1"/>
  <c r="N16" i="1"/>
  <c r="N13" i="1"/>
  <c r="N22" i="1"/>
  <c r="N88" i="1"/>
  <c r="N18" i="1"/>
  <c r="N27" i="1"/>
  <c r="N29" i="1"/>
  <c r="N34" i="1"/>
  <c r="N63" i="1"/>
  <c r="N65" i="1"/>
  <c r="N121" i="1"/>
  <c r="N113" i="1"/>
  <c r="N76" i="1"/>
  <c r="N54" i="1"/>
  <c r="N33" i="1"/>
  <c r="N129" i="1"/>
  <c r="N39" i="1"/>
  <c r="N148" i="1"/>
  <c r="N77" i="1"/>
  <c r="N112" i="1"/>
  <c r="N101" i="1"/>
  <c r="N48" i="1"/>
  <c r="N117" i="1"/>
  <c r="N58" i="1"/>
  <c r="N45" i="1"/>
  <c r="N155" i="1"/>
  <c r="N164" i="1"/>
  <c r="N44" i="1"/>
  <c r="N62" i="1"/>
  <c r="N36" i="1"/>
  <c r="N50" i="1"/>
  <c r="N51" i="1"/>
  <c r="N53" i="1"/>
  <c r="N123" i="1"/>
  <c r="N66" i="1"/>
  <c r="N116" i="1"/>
  <c r="N60" i="1"/>
  <c r="N20" i="1"/>
  <c r="N119" i="1"/>
  <c r="N181" i="1"/>
  <c r="N110" i="1"/>
  <c r="N140" i="1"/>
  <c r="N250" i="1"/>
  <c r="N57" i="1"/>
  <c r="N135" i="1"/>
  <c r="N203" i="1"/>
  <c r="N267" i="1"/>
  <c r="N128" i="1"/>
  <c r="N269" i="1"/>
  <c r="N90" i="1"/>
  <c r="N93" i="1"/>
  <c r="N292" i="1"/>
  <c r="N85" i="1"/>
  <c r="N183" i="1"/>
  <c r="N171" i="1"/>
  <c r="N186" i="1"/>
  <c r="N104" i="1"/>
  <c r="N209" i="1"/>
  <c r="N124" i="1"/>
  <c r="N86" i="1"/>
  <c r="N132" i="1"/>
  <c r="N264" i="1"/>
  <c r="N165" i="1"/>
  <c r="N177" i="1"/>
  <c r="N307" i="1"/>
  <c r="N72" i="1"/>
  <c r="N340" i="1"/>
  <c r="N59" i="1"/>
  <c r="N144" i="1"/>
  <c r="N115" i="1"/>
  <c r="N107" i="1"/>
  <c r="N67" i="1"/>
  <c r="N353" i="1"/>
  <c r="N215" i="1"/>
  <c r="N103" i="1"/>
  <c r="N362" i="1"/>
  <c r="N139" i="1"/>
  <c r="N373" i="1"/>
  <c r="N382" i="1"/>
  <c r="N162" i="1"/>
  <c r="N147" i="1"/>
  <c r="N23" i="1"/>
  <c r="N145" i="1"/>
  <c r="N71" i="1"/>
  <c r="N106" i="1"/>
  <c r="N43" i="1"/>
  <c r="N122" i="1"/>
  <c r="N297" i="1"/>
  <c r="N154" i="1"/>
  <c r="N108" i="1"/>
  <c r="N188" i="1"/>
  <c r="N180" i="1"/>
  <c r="N192" i="1"/>
  <c r="N32" i="1"/>
  <c r="N84" i="1"/>
  <c r="N305" i="1"/>
  <c r="N232" i="1"/>
  <c r="N153" i="1"/>
  <c r="N438" i="1"/>
  <c r="N331" i="1"/>
  <c r="N173" i="1"/>
  <c r="N158" i="1"/>
  <c r="N265" i="1"/>
  <c r="N276" i="1"/>
  <c r="N456" i="1"/>
  <c r="N211" i="1"/>
  <c r="N465" i="1"/>
  <c r="N253" i="1"/>
  <c r="N14" i="1"/>
  <c r="N389" i="1"/>
  <c r="N170" i="1"/>
  <c r="N89" i="1"/>
  <c r="N68" i="1"/>
  <c r="N391" i="1"/>
  <c r="N210" i="1"/>
  <c r="N120" i="1"/>
  <c r="N142" i="1"/>
  <c r="N368" i="1"/>
  <c r="N517" i="1"/>
  <c r="N286" i="1"/>
  <c r="N521" i="1"/>
  <c r="N394" i="1"/>
  <c r="N118" i="1"/>
  <c r="N375" i="1"/>
  <c r="N275" i="1"/>
  <c r="N213" i="1"/>
  <c r="N235" i="1"/>
  <c r="N223" i="1"/>
  <c r="N257" i="1"/>
  <c r="N433" i="1"/>
  <c r="N220" i="1"/>
  <c r="N190" i="1"/>
  <c r="N538" i="1"/>
  <c r="N251" i="1"/>
  <c r="N151" i="1"/>
  <c r="N114" i="1"/>
  <c r="N557" i="1"/>
  <c r="N219" i="1"/>
  <c r="N230" i="1"/>
  <c r="N272" i="1"/>
  <c r="N490" i="1"/>
  <c r="N575" i="1"/>
  <c r="N351" i="1"/>
  <c r="N364" i="1"/>
  <c r="N172" i="1"/>
  <c r="N586" i="1"/>
  <c r="N589" i="1"/>
  <c r="N330" i="1"/>
  <c r="N261" i="1"/>
  <c r="N479" i="1"/>
  <c r="N266" i="1"/>
  <c r="N277" i="1"/>
  <c r="N336" i="1"/>
  <c r="N288" i="1"/>
  <c r="N482" i="1"/>
  <c r="N475" i="1"/>
  <c r="N320" i="1"/>
  <c r="N611" i="1"/>
  <c r="N131" i="1"/>
  <c r="N160" i="1"/>
  <c r="N455" i="1"/>
  <c r="N498" i="1"/>
  <c r="N488" i="1"/>
  <c r="N254" i="1"/>
  <c r="N629" i="1"/>
  <c r="N637" i="1"/>
  <c r="N580" i="1"/>
  <c r="N410" i="1"/>
  <c r="N229" i="1"/>
  <c r="N175" i="1"/>
  <c r="N294" i="1"/>
  <c r="N204" i="1"/>
  <c r="N657" i="1"/>
  <c r="N481" i="1"/>
  <c r="N539" i="1"/>
  <c r="N497" i="1"/>
  <c r="N199" i="1"/>
  <c r="N94" i="1"/>
  <c r="N198" i="1"/>
  <c r="N194" i="1"/>
  <c r="N337" i="1"/>
  <c r="N246" i="1"/>
  <c r="N687" i="1"/>
  <c r="N81" i="1"/>
  <c r="N608" i="1"/>
  <c r="N377" i="1"/>
  <c r="N236" i="1"/>
  <c r="N491" i="1"/>
  <c r="N270" i="1"/>
  <c r="N701" i="1"/>
  <c r="N227" i="1"/>
  <c r="N97" i="1"/>
  <c r="N358" i="1"/>
  <c r="N141" i="1"/>
  <c r="N587" i="1"/>
  <c r="N87" i="1"/>
  <c r="N200" i="1"/>
  <c r="N74" i="1"/>
  <c r="N574" i="1"/>
  <c r="N736" i="1"/>
  <c r="N738" i="1"/>
  <c r="N255" i="1"/>
  <c r="N743" i="1"/>
  <c r="N367" i="1"/>
  <c r="N149" i="1"/>
  <c r="N196" i="1"/>
  <c r="N371" i="1"/>
  <c r="N647" i="1"/>
  <c r="N658" i="1"/>
  <c r="N514" i="1"/>
  <c r="N499" i="1"/>
  <c r="N314" i="1"/>
  <c r="N365" i="1"/>
  <c r="N40" i="1"/>
  <c r="N642" i="1"/>
  <c r="N416" i="1"/>
  <c r="N413" i="1"/>
  <c r="N821" i="1"/>
  <c r="N409" i="1"/>
  <c r="N826" i="1"/>
  <c r="N127" i="1"/>
  <c r="N651" i="1"/>
  <c r="N839" i="1"/>
  <c r="N716" i="1"/>
  <c r="N644" i="1"/>
  <c r="N383" i="1"/>
  <c r="N842" i="1"/>
  <c r="N289" i="1"/>
  <c r="N352" i="1"/>
  <c r="N529" i="1"/>
  <c r="N536" i="1"/>
  <c r="N860" i="1"/>
  <c r="N444" i="1"/>
  <c r="N137" i="1"/>
  <c r="N864" i="1"/>
  <c r="N381" i="1"/>
  <c r="N559" i="1"/>
  <c r="N471" i="1"/>
  <c r="N612" i="1"/>
  <c r="N430" i="1"/>
  <c r="N876" i="1"/>
  <c r="N457" i="1"/>
  <c r="N470" i="1"/>
  <c r="N547" i="1"/>
  <c r="N598" i="1"/>
  <c r="N452" i="1"/>
  <c r="N357" i="1"/>
  <c r="N884" i="1"/>
  <c r="N439" i="1"/>
  <c r="N478" i="1"/>
  <c r="N404" i="1"/>
  <c r="N392" i="1"/>
  <c r="N378" i="1"/>
  <c r="N217" i="1"/>
  <c r="N628" i="1"/>
  <c r="N905" i="1"/>
  <c r="N500" i="1"/>
  <c r="N911" i="1"/>
  <c r="N208" i="1"/>
  <c r="N422" i="1"/>
  <c r="N310" i="1"/>
  <c r="N335" i="1"/>
  <c r="N507" i="1"/>
  <c r="N280" i="1"/>
  <c r="N544" i="1"/>
  <c r="N520" i="1"/>
  <c r="N866" i="1"/>
  <c r="N271" i="1"/>
  <c r="N56" i="1"/>
  <c r="N345" i="1"/>
  <c r="N291" i="1"/>
  <c r="N949" i="1"/>
  <c r="N953" i="1"/>
  <c r="N957" i="1"/>
  <c r="N626" i="1"/>
  <c r="N768" i="1"/>
  <c r="N966" i="1"/>
  <c r="N319" i="1"/>
  <c r="N664" i="1"/>
  <c r="N407" i="1"/>
  <c r="N412" i="1"/>
  <c r="N450" i="1"/>
  <c r="N178" i="1"/>
  <c r="N380" i="1"/>
  <c r="N98" i="1"/>
  <c r="N702" i="1"/>
  <c r="N569" i="1"/>
  <c r="N908" i="1"/>
  <c r="N996" i="1"/>
  <c r="N401" i="1"/>
  <c r="N427" i="1"/>
  <c r="N653" i="1"/>
  <c r="N1020" i="1"/>
  <c r="N278" i="1"/>
  <c r="N549" i="1"/>
  <c r="N474" i="1"/>
  <c r="N460" i="1"/>
  <c r="N388" i="1"/>
  <c r="N640" i="1"/>
  <c r="N293" i="1"/>
  <c r="N929" i="1"/>
  <c r="N493" i="1"/>
  <c r="N1059" i="1"/>
  <c r="N207" i="1"/>
  <c r="N344" i="1"/>
  <c r="N1038" i="1"/>
  <c r="N659" i="1"/>
  <c r="N1081" i="1"/>
  <c r="N627" i="1"/>
  <c r="N897" i="1"/>
  <c r="N1102" i="1"/>
  <c r="N692" i="1"/>
  <c r="N592" i="1"/>
  <c r="N1116" i="1"/>
  <c r="N578" i="1"/>
  <c r="N568" i="1"/>
  <c r="N1126" i="1"/>
  <c r="N1127" i="1"/>
  <c r="N594" i="1"/>
  <c r="N502" i="1"/>
  <c r="N237" i="1"/>
  <c r="N1145" i="1"/>
  <c r="N952" i="1"/>
  <c r="N515" i="1"/>
  <c r="N80" i="1"/>
  <c r="N489" i="1"/>
  <c r="N870" i="1"/>
  <c r="N1041" i="1"/>
  <c r="N961" i="1"/>
  <c r="N661" i="1"/>
  <c r="N398" i="1"/>
  <c r="N441" i="1"/>
  <c r="N894" i="1"/>
  <c r="N1170" i="1"/>
  <c r="N506" i="1"/>
  <c r="N423" i="1"/>
  <c r="N781" i="1"/>
  <c r="N669" i="1"/>
  <c r="N1068" i="1"/>
  <c r="N467" i="1"/>
  <c r="N1186" i="1"/>
  <c r="N853" i="1"/>
  <c r="N775" i="1"/>
  <c r="N772" i="1"/>
  <c r="N604" i="1"/>
  <c r="N600" i="1"/>
  <c r="N650" i="1"/>
  <c r="N105" i="1"/>
  <c r="N518" i="1"/>
  <c r="N681" i="1"/>
  <c r="N704" i="1"/>
  <c r="N778" i="1"/>
  <c r="N1221" i="1"/>
  <c r="N256" i="1"/>
  <c r="N126" i="1"/>
  <c r="N1230" i="1"/>
  <c r="N426" i="1"/>
  <c r="N601" i="1"/>
  <c r="N638" i="1"/>
  <c r="N309" i="1"/>
  <c r="N790" i="1"/>
  <c r="N1249" i="1"/>
  <c r="N1018" i="1"/>
  <c r="N528" i="1"/>
  <c r="N631" i="1"/>
  <c r="N836" i="1"/>
  <c r="N881" i="1"/>
  <c r="N843" i="1"/>
  <c r="N1266" i="1"/>
  <c r="N1268" i="1"/>
  <c r="N1269" i="1"/>
  <c r="N660" i="1"/>
  <c r="N1051" i="1"/>
  <c r="N1289" i="1"/>
  <c r="N1233" i="1"/>
  <c r="N304" i="1"/>
  <c r="N1298" i="1"/>
  <c r="N927" i="1"/>
  <c r="N893" i="1"/>
  <c r="N1303" i="1"/>
  <c r="N758" i="1"/>
  <c r="N1135" i="1"/>
  <c r="N1117" i="1"/>
  <c r="N552" i="1"/>
  <c r="N260" i="1"/>
  <c r="N643" i="1"/>
  <c r="N913" i="1"/>
  <c r="N1336" i="1"/>
  <c r="N1337" i="1"/>
  <c r="N285" i="1"/>
  <c r="N869" i="1"/>
  <c r="N576" i="1"/>
  <c r="N696" i="1"/>
  <c r="N1015" i="1"/>
  <c r="N400" i="1"/>
  <c r="N1349" i="1"/>
  <c r="N1357" i="1"/>
  <c r="N1360" i="1"/>
  <c r="N674" i="1"/>
  <c r="N1335" i="1"/>
  <c r="N359" i="1"/>
  <c r="N928" i="1"/>
  <c r="N920" i="1"/>
  <c r="N819" i="1"/>
  <c r="N982" i="1"/>
  <c r="N1188" i="1"/>
  <c r="N1172" i="1"/>
  <c r="N1058" i="1"/>
  <c r="N800" i="1"/>
  <c r="N1394" i="1"/>
  <c r="N787" i="1"/>
  <c r="N1246" i="1"/>
  <c r="N990" i="1"/>
  <c r="N1395" i="1"/>
  <c r="N1396" i="1"/>
  <c r="N1397" i="1"/>
  <c r="N1405" i="1"/>
  <c r="N1422" i="1"/>
  <c r="N1428" i="1"/>
  <c r="N875" i="1"/>
  <c r="N480" i="1"/>
  <c r="N385" i="1"/>
  <c r="N242" i="1"/>
  <c r="N1448" i="1"/>
  <c r="N1108" i="1"/>
  <c r="N867" i="1"/>
  <c r="N806" i="1"/>
  <c r="N973" i="1"/>
  <c r="N298" i="1"/>
  <c r="N1212" i="1"/>
  <c r="N504" i="1"/>
  <c r="N974" i="1"/>
  <c r="N1468" i="1"/>
  <c r="N1470" i="1"/>
  <c r="N817" i="1"/>
  <c r="N1345" i="1"/>
  <c r="N1049" i="1"/>
  <c r="N906" i="1"/>
  <c r="N1478" i="1"/>
  <c r="N918" i="1"/>
  <c r="N1122" i="1"/>
  <c r="N1489" i="1"/>
  <c r="N879" i="1"/>
  <c r="N1005" i="1"/>
  <c r="N1493" i="1"/>
  <c r="N856" i="1"/>
  <c r="N942" i="1"/>
  <c r="N1287" i="1"/>
  <c r="N752" i="1"/>
  <c r="N279" i="1"/>
  <c r="N1035" i="1"/>
  <c r="N776" i="1"/>
  <c r="N1123" i="1"/>
  <c r="N1191" i="1"/>
  <c r="N1527" i="1"/>
  <c r="N1532" i="1"/>
  <c r="N910" i="1"/>
  <c r="N618" i="1"/>
  <c r="N1533" i="1"/>
  <c r="N1305" i="1"/>
  <c r="N1109" i="1"/>
  <c r="N1534" i="1"/>
  <c r="N914" i="1"/>
  <c r="N841" i="1"/>
  <c r="N519" i="1"/>
  <c r="N1197" i="1"/>
  <c r="N1567" i="1"/>
  <c r="N363" i="1"/>
  <c r="N259" i="1"/>
  <c r="N1576" i="1"/>
  <c r="N451" i="1"/>
  <c r="N1225" i="1"/>
  <c r="N985" i="1"/>
  <c r="N1588" i="1"/>
  <c r="N850" i="1"/>
  <c r="N138" i="1"/>
  <c r="N1075" i="1"/>
  <c r="N1243" i="1"/>
  <c r="N620" i="1"/>
  <c r="N231" i="1"/>
  <c r="N820" i="1"/>
  <c r="N1379" i="1"/>
  <c r="N1617" i="1"/>
  <c r="N1622" i="1"/>
  <c r="N1383" i="1"/>
  <c r="N1624" i="1"/>
  <c r="N1082" i="1"/>
  <c r="N1008" i="1"/>
  <c r="N1625" i="1"/>
  <c r="N978" i="1"/>
  <c r="N1638" i="1"/>
  <c r="N1013" i="1"/>
  <c r="N1643" i="1"/>
  <c r="N1646" i="1"/>
  <c r="N1664" i="1"/>
  <c r="N1563" i="1"/>
  <c r="N1215" i="1"/>
  <c r="N1677" i="1"/>
  <c r="N1678" i="1"/>
  <c r="N1460" i="1"/>
  <c r="N1175" i="1"/>
  <c r="N1065" i="1"/>
  <c r="N1236" i="1"/>
  <c r="N1479" i="1"/>
  <c r="N1706" i="1"/>
  <c r="N673" i="1"/>
  <c r="N1283" i="1"/>
  <c r="N214" i="1"/>
  <c r="N1561" i="1"/>
  <c r="N1297" i="1"/>
  <c r="N487" i="1"/>
  <c r="N1190" i="1"/>
  <c r="N708" i="1"/>
  <c r="N1030" i="1"/>
  <c r="N1519" i="1"/>
  <c r="N1729" i="1"/>
  <c r="N1730" i="1"/>
  <c r="N1023" i="1"/>
  <c r="N1731" i="1"/>
  <c r="N1611" i="1"/>
  <c r="N1111" i="1"/>
  <c r="N1753" i="1"/>
  <c r="N967" i="1"/>
  <c r="N972" i="1"/>
  <c r="N1016" i="1"/>
  <c r="N1433" i="1"/>
  <c r="N1022" i="1"/>
  <c r="N384" i="1"/>
  <c r="N1445" i="1"/>
  <c r="N347" i="1"/>
  <c r="N435" i="1"/>
  <c r="N1237" i="1"/>
  <c r="N969" i="1"/>
  <c r="N1780" i="1"/>
  <c r="N1260" i="1"/>
  <c r="N1792" i="1"/>
  <c r="N672" i="1"/>
  <c r="N1535" i="1"/>
  <c r="N222" i="1"/>
  <c r="N1226" i="1"/>
  <c r="N1118" i="1"/>
  <c r="N1794" i="1"/>
  <c r="N1795" i="1"/>
  <c r="N1227" i="1"/>
  <c r="N1375" i="1"/>
  <c r="N1418" i="1"/>
  <c r="N1045" i="1"/>
  <c r="N610" i="1"/>
  <c r="N356" i="1"/>
  <c r="N1174" i="1"/>
  <c r="N1467" i="1"/>
  <c r="N1178" i="1"/>
  <c r="N1078" i="1"/>
  <c r="N1640" i="1"/>
  <c r="N1612" i="1"/>
  <c r="N1506" i="1"/>
  <c r="N1338" i="1"/>
  <c r="N1252" i="1"/>
  <c r="N1343" i="1"/>
  <c r="N1220" i="1"/>
  <c r="N1356" i="1"/>
  <c r="N1840" i="1"/>
  <c r="N1851" i="1"/>
  <c r="N1855" i="1"/>
  <c r="N1110" i="1"/>
  <c r="N1856" i="1"/>
  <c r="N1393" i="1"/>
  <c r="N1146" i="1"/>
  <c r="N1162" i="1"/>
  <c r="N1870" i="1"/>
  <c r="N333" i="1"/>
  <c r="N1019" i="1"/>
  <c r="N1210" i="1"/>
  <c r="N1877" i="1"/>
  <c r="N1878" i="1"/>
  <c r="N1879" i="1"/>
  <c r="N1880" i="1"/>
  <c r="N1881" i="1"/>
  <c r="N1323" i="1"/>
  <c r="N1165" i="1"/>
  <c r="N1299" i="1"/>
  <c r="N1882" i="1"/>
  <c r="N936" i="1"/>
  <c r="N757" i="1"/>
  <c r="N1912" i="1"/>
  <c r="N1838" i="1"/>
  <c r="N1053" i="1"/>
  <c r="N1054" i="1"/>
  <c r="N1496" i="1"/>
  <c r="N1332" i="1"/>
  <c r="N1152" i="1"/>
  <c r="N1957" i="1"/>
  <c r="N1959" i="1"/>
  <c r="N1036" i="1"/>
  <c r="N1732" i="1"/>
  <c r="N1960" i="1"/>
  <c r="N1398" i="1"/>
  <c r="N1034" i="1"/>
  <c r="N1601" i="1"/>
  <c r="N744" i="1"/>
  <c r="N1344" i="1"/>
  <c r="N958" i="1"/>
  <c r="N1477" i="1"/>
  <c r="N1432" i="1"/>
  <c r="N531" i="1"/>
  <c r="N2027" i="1"/>
  <c r="N1596" i="1"/>
  <c r="N1951" i="1"/>
  <c r="N1505" i="1"/>
  <c r="N2088" i="1"/>
  <c r="N1512" i="1"/>
  <c r="N2096" i="1"/>
  <c r="N2097" i="1"/>
  <c r="N2098" i="1"/>
  <c r="N1875" i="1"/>
  <c r="N2099" i="1"/>
  <c r="N2100" i="1"/>
  <c r="N1292" i="1"/>
  <c r="N2101" i="1"/>
  <c r="N2102" i="1"/>
  <c r="N898" i="1"/>
  <c r="N2171" i="1"/>
  <c r="N1915" i="1"/>
  <c r="N2179" i="1"/>
  <c r="N895" i="1"/>
  <c r="N2185" i="1"/>
  <c r="N366" i="1"/>
  <c r="N2189" i="1"/>
  <c r="N1777" i="1"/>
  <c r="N1514" i="1"/>
  <c r="N976" i="1"/>
  <c r="N2167" i="1"/>
  <c r="N1471" i="1"/>
  <c r="N995" i="1"/>
  <c r="N1796" i="1"/>
  <c r="N2205" i="1"/>
  <c r="N809" i="1"/>
  <c r="N2206" i="1"/>
  <c r="N2226" i="1"/>
  <c r="N2227" i="1"/>
  <c r="N783" i="1"/>
  <c r="N934" i="1"/>
  <c r="N2010" i="1"/>
  <c r="N2246" i="1"/>
  <c r="N1153" i="1"/>
  <c r="N2248" i="1"/>
  <c r="N2249" i="1"/>
  <c r="N813" i="1"/>
  <c r="N2279" i="1"/>
  <c r="N1733" i="1"/>
  <c r="N1679" i="1"/>
  <c r="N1883" i="1"/>
  <c r="N1582" i="1"/>
  <c r="N1884" i="1"/>
  <c r="N2301" i="1"/>
  <c r="N442" i="1"/>
  <c r="N1256" i="1"/>
  <c r="N2315" i="1"/>
  <c r="N2316" i="1"/>
  <c r="N2321" i="1"/>
  <c r="N769" i="1"/>
  <c r="N2340" i="1"/>
  <c r="N2349" i="1"/>
  <c r="N2363" i="1"/>
  <c r="N2367" i="1"/>
  <c r="N2280" i="1"/>
  <c r="N2277" i="1"/>
  <c r="N2422" i="1"/>
  <c r="N815" i="1"/>
  <c r="N2439" i="1"/>
  <c r="N2449" i="1"/>
  <c r="N2478" i="1"/>
  <c r="N2487" i="1"/>
  <c r="N8" i="1"/>
  <c r="N21" i="1"/>
  <c r="N42" i="1"/>
  <c r="N109" i="1"/>
  <c r="N136" i="1"/>
  <c r="N125" i="1"/>
  <c r="N70" i="1"/>
  <c r="N168" i="1"/>
  <c r="N191" i="1"/>
  <c r="N24" i="1"/>
  <c r="N216" i="1"/>
  <c r="N169" i="1"/>
  <c r="N64" i="1"/>
  <c r="N338" i="1"/>
  <c r="N78" i="1"/>
  <c r="N245" i="1"/>
  <c r="N102" i="1"/>
  <c r="N195" i="1"/>
  <c r="N52" i="1"/>
  <c r="N408" i="1"/>
  <c r="N134" i="1"/>
  <c r="N325" i="1"/>
  <c r="N454" i="1"/>
  <c r="N458" i="1"/>
  <c r="N187" i="1"/>
  <c r="N258" i="1"/>
  <c r="N440" i="1"/>
  <c r="N526" i="1"/>
  <c r="N545" i="1"/>
  <c r="N355" i="1"/>
  <c r="N239" i="1"/>
  <c r="N225" i="1"/>
  <c r="N566" i="1"/>
  <c r="N432" i="1"/>
  <c r="N185" i="1"/>
  <c r="N201" i="1"/>
  <c r="N283" i="1"/>
  <c r="N313" i="1"/>
  <c r="N533" i="1"/>
  <c r="N513" i="1"/>
  <c r="N459" i="1"/>
  <c r="N677" i="1"/>
  <c r="N411" i="1"/>
  <c r="N606" i="1"/>
  <c r="N161" i="1"/>
  <c r="N712" i="1"/>
  <c r="N713" i="1"/>
  <c r="N263" i="1"/>
  <c r="N551" i="1"/>
  <c r="N463" i="1"/>
  <c r="N224" i="1"/>
  <c r="N755" i="1"/>
  <c r="N577" i="1"/>
  <c r="N621" i="1"/>
  <c r="N793" i="1"/>
  <c r="N794" i="1"/>
  <c r="N447" i="1"/>
  <c r="N805" i="1"/>
  <c r="N509" i="1"/>
  <c r="N581" i="1"/>
  <c r="N818" i="1"/>
  <c r="N729" i="1"/>
  <c r="N822" i="1"/>
  <c r="N754" i="1"/>
  <c r="N837" i="1"/>
  <c r="N445" i="1"/>
  <c r="N206" i="1"/>
  <c r="N542" i="1"/>
  <c r="N234" i="1"/>
  <c r="N882" i="1"/>
  <c r="N565" i="1"/>
  <c r="N888" i="1"/>
  <c r="N567" i="1"/>
  <c r="N420" i="1"/>
  <c r="N625" i="1"/>
  <c r="N956" i="1"/>
  <c r="N968" i="1"/>
  <c r="N904" i="1"/>
  <c r="N699" i="1"/>
  <c r="N553" i="1"/>
  <c r="N695" i="1"/>
  <c r="N484" i="1"/>
  <c r="N834" i="1"/>
  <c r="N652" i="1"/>
  <c r="N599" i="1"/>
  <c r="N1062" i="1"/>
  <c r="N334" i="1"/>
  <c r="N1074" i="1"/>
  <c r="N980" i="1"/>
  <c r="N1079" i="1"/>
  <c r="N1100" i="1"/>
  <c r="N792" i="1"/>
  <c r="N397" i="1"/>
  <c r="N1141" i="1"/>
  <c r="N979" i="1"/>
  <c r="N810" i="1"/>
  <c r="N994" i="1"/>
  <c r="N954" i="1"/>
  <c r="N1183" i="1"/>
  <c r="N937" i="1"/>
  <c r="N1192" i="1"/>
  <c r="N324" i="1"/>
  <c r="N857" i="1"/>
  <c r="N1203" i="1"/>
  <c r="N26" i="1"/>
  <c r="N766" i="1"/>
  <c r="N865" i="1"/>
  <c r="N1235" i="1"/>
  <c r="N1238" i="1"/>
  <c r="N1064" i="1"/>
  <c r="N1278" i="1"/>
  <c r="N1083" i="1"/>
  <c r="N1290" i="1"/>
  <c r="N1295" i="1"/>
  <c r="N993" i="1"/>
  <c r="N844" i="1"/>
  <c r="N1318" i="1"/>
  <c r="N1321" i="1"/>
  <c r="N991" i="1"/>
  <c r="N917" i="1"/>
  <c r="N1341" i="1"/>
  <c r="N1350" i="1"/>
  <c r="N1361" i="1"/>
  <c r="N916" i="1"/>
  <c r="N1362" i="1"/>
  <c r="N590" i="1"/>
  <c r="N328" i="1"/>
  <c r="N741" i="1"/>
  <c r="N523" i="1"/>
  <c r="N1182" i="1"/>
  <c r="N1421" i="1"/>
  <c r="N1423" i="1"/>
  <c r="N1427" i="1"/>
  <c r="N1037" i="1"/>
  <c r="N737" i="1"/>
  <c r="N1150" i="1"/>
  <c r="N828" i="1"/>
  <c r="N872" i="1"/>
  <c r="N1480" i="1"/>
  <c r="N1430" i="1"/>
  <c r="N808" i="1"/>
  <c r="N243" i="1"/>
  <c r="N1282" i="1"/>
  <c r="N1202" i="1"/>
  <c r="N1071" i="1"/>
  <c r="N1425" i="1"/>
  <c r="N1475" i="1"/>
  <c r="N1536" i="1"/>
  <c r="N1306" i="1"/>
  <c r="N1545" i="1"/>
  <c r="N1546" i="1"/>
  <c r="N1324" i="1"/>
  <c r="N1206" i="1"/>
  <c r="N1274" i="1"/>
  <c r="N1597" i="1"/>
  <c r="N1610" i="1"/>
  <c r="N1614" i="1"/>
  <c r="N1331" i="1"/>
  <c r="N1626" i="1"/>
  <c r="N1166" i="1"/>
  <c r="N1645" i="1"/>
  <c r="N1399" i="1"/>
  <c r="N548" i="1"/>
  <c r="N1095" i="1"/>
  <c r="N1672" i="1"/>
  <c r="N1673" i="1"/>
  <c r="N1686" i="1"/>
  <c r="N1113" i="1"/>
  <c r="N786" i="1"/>
  <c r="N1705" i="1"/>
  <c r="N903" i="1"/>
  <c r="N971" i="1"/>
  <c r="N814" i="1"/>
  <c r="N1725" i="1"/>
  <c r="N1158" i="1"/>
  <c r="N1497" i="1"/>
  <c r="N1734" i="1"/>
  <c r="N1735" i="1"/>
  <c r="N1736" i="1"/>
  <c r="N1737" i="1"/>
  <c r="N1756" i="1"/>
  <c r="N1769" i="1"/>
  <c r="N639" i="1"/>
  <c r="N1770" i="1"/>
  <c r="N1409" i="1"/>
  <c r="N308" i="1"/>
  <c r="N977" i="1"/>
  <c r="N1400" i="1"/>
  <c r="N1537" i="1"/>
  <c r="N1325" i="1"/>
  <c r="N1101" i="1"/>
  <c r="N1510" i="1"/>
  <c r="N1841" i="1"/>
  <c r="N1096" i="1"/>
  <c r="N415" i="1"/>
  <c r="N1853" i="1"/>
  <c r="N1105" i="1"/>
  <c r="N1592" i="1"/>
  <c r="N788" i="1"/>
  <c r="N1217" i="1"/>
  <c r="N1378" i="1"/>
  <c r="N1388" i="1"/>
  <c r="N1554" i="1"/>
  <c r="N1481" i="1"/>
  <c r="N1907" i="1"/>
  <c r="N560" i="1"/>
  <c r="N1923" i="1"/>
  <c r="N1538" i="1"/>
  <c r="N1774" i="1"/>
  <c r="N1707" i="1"/>
  <c r="N163" i="1"/>
  <c r="N1961" i="1"/>
  <c r="N1962" i="1"/>
  <c r="N1963" i="1"/>
  <c r="N1248" i="1"/>
  <c r="N1228" i="1"/>
  <c r="N1964" i="1"/>
  <c r="N1790" i="1"/>
  <c r="N2017" i="1"/>
  <c r="N2020" i="1"/>
  <c r="N2023" i="1"/>
  <c r="N1457" i="1"/>
  <c r="N2074" i="1"/>
  <c r="N2103" i="1"/>
  <c r="N2104" i="1"/>
  <c r="N675" i="1"/>
  <c r="N2105" i="1"/>
  <c r="N2106" i="1"/>
  <c r="N2107" i="1"/>
  <c r="N2164" i="1"/>
  <c r="N2165" i="1"/>
  <c r="N1205" i="1"/>
  <c r="N2169" i="1"/>
  <c r="N2180" i="1"/>
  <c r="N2191" i="1"/>
  <c r="N1524" i="1"/>
  <c r="N2207" i="1"/>
  <c r="N2208" i="1"/>
  <c r="N753" i="1"/>
  <c r="N2048" i="1"/>
  <c r="N2241" i="1"/>
  <c r="N1619" i="1"/>
  <c r="N739" i="1"/>
  <c r="N1765" i="1"/>
  <c r="N2108" i="1"/>
  <c r="N1647" i="1"/>
  <c r="N2109" i="1"/>
  <c r="N1419" i="1"/>
  <c r="N1965" i="1"/>
  <c r="N2303" i="1"/>
  <c r="N2312" i="1"/>
  <c r="N2323" i="1"/>
  <c r="N2172" i="1"/>
  <c r="N2350" i="1"/>
  <c r="N2353" i="1"/>
  <c r="N1788" i="1"/>
  <c r="N2355" i="1"/>
  <c r="N2364" i="1"/>
  <c r="N2368" i="1"/>
  <c r="N2376" i="1"/>
  <c r="N2384" i="1"/>
  <c r="N2434" i="1"/>
  <c r="N1270" i="1"/>
  <c r="N2455" i="1"/>
  <c r="N2456" i="1"/>
  <c r="N2470" i="1"/>
  <c r="N2479" i="1"/>
  <c r="N46" i="1"/>
  <c r="N31" i="1"/>
  <c r="N41" i="1"/>
  <c r="N55" i="1"/>
  <c r="N174" i="1"/>
  <c r="N221" i="1"/>
  <c r="N248" i="1"/>
  <c r="N296" i="1"/>
  <c r="N316" i="1"/>
  <c r="N321" i="1"/>
  <c r="N322" i="1"/>
  <c r="N73" i="1"/>
  <c r="N290" i="1"/>
  <c r="N329" i="1"/>
  <c r="N61" i="1"/>
  <c r="N421" i="1"/>
  <c r="N79" i="1"/>
  <c r="N69" i="1"/>
  <c r="N453" i="1"/>
  <c r="N302" i="1"/>
  <c r="N189" i="1"/>
  <c r="N503" i="1"/>
  <c r="N150" i="1"/>
  <c r="N537" i="1"/>
  <c r="N301" i="1"/>
  <c r="N446" i="1"/>
  <c r="N561" i="1"/>
  <c r="N530" i="1"/>
  <c r="N434" i="1"/>
  <c r="N546" i="1"/>
  <c r="N613" i="1"/>
  <c r="N418" i="1"/>
  <c r="N262" i="1"/>
  <c r="N534" i="1"/>
  <c r="N376" i="1"/>
  <c r="N323" i="1"/>
  <c r="N632" i="1"/>
  <c r="N476" i="1"/>
  <c r="N654" i="1"/>
  <c r="N655" i="1"/>
  <c r="N662" i="1"/>
  <c r="N405" i="1"/>
  <c r="N300" i="1"/>
  <c r="N247" i="1"/>
  <c r="N348" i="1"/>
  <c r="N717" i="1"/>
  <c r="N244" i="1"/>
  <c r="N218" i="1"/>
  <c r="N315" i="1"/>
  <c r="N732" i="1"/>
  <c r="N374" i="1"/>
  <c r="N691" i="1"/>
  <c r="N249" i="1"/>
  <c r="N466" i="1"/>
  <c r="N798" i="1"/>
  <c r="N370" i="1"/>
  <c r="N705" i="1"/>
  <c r="N811" i="1"/>
  <c r="N318" i="1"/>
  <c r="N617" i="1"/>
  <c r="N833" i="1"/>
  <c r="N838" i="1"/>
  <c r="N849" i="1"/>
  <c r="N133" i="1"/>
  <c r="N861" i="1"/>
  <c r="N543" i="1"/>
  <c r="N871" i="1"/>
  <c r="N827" i="1"/>
  <c r="N891" i="1"/>
  <c r="N166" i="1"/>
  <c r="N623" i="1"/>
  <c r="N902" i="1"/>
  <c r="N396" i="1"/>
  <c r="N921" i="1"/>
  <c r="N723" i="1"/>
  <c r="N935" i="1"/>
  <c r="N889" i="1"/>
  <c r="N945" i="1"/>
  <c r="N946" i="1"/>
  <c r="N303" i="1"/>
  <c r="N605" i="1"/>
  <c r="N92" i="1"/>
  <c r="N111" i="1"/>
  <c r="N299" i="1"/>
  <c r="N730" i="1"/>
  <c r="N241" i="1"/>
  <c r="N622" i="1"/>
  <c r="N483" i="1"/>
  <c r="N1076" i="1"/>
  <c r="N130" i="1"/>
  <c r="N1104" i="1"/>
  <c r="N1106" i="1"/>
  <c r="N295" i="1"/>
  <c r="N1136" i="1"/>
  <c r="N1142" i="1"/>
  <c r="N429" i="1"/>
  <c r="N1180" i="1"/>
  <c r="N678" i="1"/>
  <c r="N228" i="1"/>
  <c r="N1196" i="1"/>
  <c r="N1198" i="1"/>
  <c r="N1207" i="1"/>
  <c r="N835" i="1"/>
  <c r="N816" i="1"/>
  <c r="N1224" i="1"/>
  <c r="N1029" i="1"/>
  <c r="N1234" i="1"/>
  <c r="N1239" i="1"/>
  <c r="N1240" i="1"/>
  <c r="N883" i="1"/>
  <c r="N756" i="1"/>
  <c r="N1143" i="1"/>
  <c r="N1294" i="1"/>
  <c r="N1342" i="1"/>
  <c r="N1351" i="1"/>
  <c r="N1204" i="1"/>
  <c r="N1155" i="1"/>
  <c r="N1176" i="1"/>
  <c r="N1031" i="1"/>
  <c r="N1103" i="1"/>
  <c r="N1218" i="1"/>
  <c r="N877" i="1"/>
  <c r="N799" i="1"/>
  <c r="N1412" i="1"/>
  <c r="N1434" i="1"/>
  <c r="N1313" i="1"/>
  <c r="N721" i="1"/>
  <c r="N1488" i="1"/>
  <c r="N924" i="1"/>
  <c r="N1520" i="1"/>
  <c r="N710" i="1"/>
  <c r="N1159" i="1"/>
  <c r="N1551" i="1"/>
  <c r="N1368" i="1"/>
  <c r="N1415" i="1"/>
  <c r="N1555" i="1"/>
  <c r="N1564" i="1"/>
  <c r="N1573" i="1"/>
  <c r="N1581" i="1"/>
  <c r="N1583" i="1"/>
  <c r="N1591" i="1"/>
  <c r="N1346" i="1"/>
  <c r="N1605" i="1"/>
  <c r="N494" i="1"/>
  <c r="N472" i="1"/>
  <c r="N1627" i="1"/>
  <c r="N1637" i="1"/>
  <c r="N1026" i="1"/>
  <c r="N1609" i="1"/>
  <c r="N1401" i="1"/>
  <c r="N1652" i="1"/>
  <c r="N1653" i="1"/>
  <c r="N1669" i="1"/>
  <c r="N680" i="1"/>
  <c r="N1559" i="1"/>
  <c r="N448" i="1"/>
  <c r="N1498" i="1"/>
  <c r="N1708" i="1"/>
  <c r="N1717" i="1"/>
  <c r="N1291" i="1"/>
  <c r="N848" i="1"/>
  <c r="N1446" i="1"/>
  <c r="N1384" i="1"/>
  <c r="N1363" i="1"/>
  <c r="N1776" i="1"/>
  <c r="N1154" i="1"/>
  <c r="N1797" i="1"/>
  <c r="N1613" i="1"/>
  <c r="N1429" i="1"/>
  <c r="N1376" i="1"/>
  <c r="N1377" i="1"/>
  <c r="N1842" i="1"/>
  <c r="N527" i="1"/>
  <c r="N1347" i="1"/>
  <c r="N1885" i="1"/>
  <c r="N1482" i="1"/>
  <c r="N1628" i="1"/>
  <c r="N1886" i="1"/>
  <c r="N1899" i="1"/>
  <c r="N1195" i="1"/>
  <c r="N750" i="1"/>
  <c r="N1680" i="1"/>
  <c r="N1606" i="1"/>
  <c r="N1946" i="1"/>
  <c r="N1580" i="1"/>
  <c r="N1317" i="1"/>
  <c r="N1966" i="1"/>
  <c r="N1967" i="1"/>
  <c r="N1968" i="1"/>
  <c r="N1999" i="1"/>
  <c r="N939" i="1"/>
  <c r="N1670" i="1"/>
  <c r="N2028" i="1"/>
  <c r="N2029" i="1"/>
  <c r="N2030" i="1"/>
  <c r="N1924" i="1"/>
  <c r="N2031" i="1"/>
  <c r="N1953" i="1"/>
  <c r="N1247" i="1"/>
  <c r="N2059" i="1"/>
  <c r="N2079" i="1"/>
  <c r="N2110" i="1"/>
  <c r="N2111" i="1"/>
  <c r="N2112" i="1"/>
  <c r="N1798" i="1"/>
  <c r="N2113" i="1"/>
  <c r="N900" i="1"/>
  <c r="N532" i="1"/>
  <c r="N146" i="1"/>
  <c r="N2192" i="1"/>
  <c r="N585" i="1"/>
  <c r="N2209" i="1"/>
  <c r="N2210" i="1"/>
  <c r="N2211" i="1"/>
  <c r="N1969" i="1"/>
  <c r="N663" i="1"/>
  <c r="N2242" i="1"/>
  <c r="N2271" i="1"/>
  <c r="N907" i="1"/>
  <c r="N1654" i="1"/>
  <c r="N804" i="1"/>
  <c r="N2181" i="1"/>
  <c r="N2281" i="1"/>
  <c r="N2304" i="1"/>
  <c r="N2317" i="1"/>
  <c r="N2198" i="1"/>
  <c r="N2339" i="1"/>
  <c r="N2352" i="1"/>
  <c r="N2356" i="1"/>
  <c r="N1156" i="1"/>
  <c r="N2370" i="1"/>
  <c r="N2381" i="1"/>
  <c r="N2430" i="1"/>
  <c r="N2450" i="1"/>
  <c r="N2451" i="1"/>
  <c r="N2453" i="1"/>
  <c r="N2457" i="1"/>
  <c r="N2458" i="1"/>
  <c r="N2469" i="1"/>
  <c r="N2471" i="1"/>
  <c r="N1380" i="1"/>
  <c r="N2480" i="1"/>
  <c r="N30" i="1"/>
  <c r="N152" i="1"/>
  <c r="N176" i="1"/>
  <c r="N306" i="1"/>
  <c r="N339" i="1"/>
  <c r="N399" i="1"/>
  <c r="N179" i="1"/>
  <c r="N205" i="1"/>
  <c r="N240" i="1"/>
  <c r="N541" i="1"/>
  <c r="N437" i="1"/>
  <c r="N510" i="1"/>
  <c r="N281" i="1"/>
  <c r="N571" i="1"/>
  <c r="N96" i="1"/>
  <c r="N252" i="1"/>
  <c r="N591" i="1"/>
  <c r="N562" i="1"/>
  <c r="N473" i="1"/>
  <c r="N719" i="1"/>
  <c r="N770" i="1"/>
  <c r="N784" i="1"/>
  <c r="N795" i="1"/>
  <c r="N801" i="1"/>
  <c r="N812" i="1"/>
  <c r="N342" i="1"/>
  <c r="N731" i="1"/>
  <c r="N424" i="1"/>
  <c r="N896" i="1"/>
  <c r="N37" i="1"/>
  <c r="N387" i="1"/>
  <c r="N573" i="1"/>
  <c r="N923" i="1"/>
  <c r="N926" i="1"/>
  <c r="N947" i="1"/>
  <c r="N688" i="1"/>
  <c r="N981" i="1"/>
  <c r="N630" i="1"/>
  <c r="N1025" i="1"/>
  <c r="N1033" i="1"/>
  <c r="N1039" i="1"/>
  <c r="N1040" i="1"/>
  <c r="N1055" i="1"/>
  <c r="N596" i="1"/>
  <c r="N683" i="1"/>
  <c r="N1084" i="1"/>
  <c r="N1085" i="1"/>
  <c r="N1086" i="1"/>
  <c r="N1097" i="1"/>
  <c r="N402" i="1"/>
  <c r="N1115" i="1"/>
  <c r="N326" i="1"/>
  <c r="N773" i="1"/>
  <c r="N1009" i="1"/>
  <c r="N361" i="1"/>
  <c r="N797" i="1"/>
  <c r="N689" i="1"/>
  <c r="N1264" i="1"/>
  <c r="N878" i="1"/>
  <c r="N403" i="1"/>
  <c r="N1307" i="1"/>
  <c r="N1314" i="1"/>
  <c r="N1315" i="1"/>
  <c r="N1322" i="1"/>
  <c r="N462" i="1"/>
  <c r="N1326" i="1"/>
  <c r="N1302" i="1"/>
  <c r="N666" i="1"/>
  <c r="N1352" i="1"/>
  <c r="N1358" i="1"/>
  <c r="N944" i="1"/>
  <c r="N970" i="1"/>
  <c r="N1387" i="1"/>
  <c r="N1424" i="1"/>
  <c r="N1435" i="1"/>
  <c r="N1441" i="1"/>
  <c r="N1442" i="1"/>
  <c r="N1003" i="1"/>
  <c r="N987" i="1"/>
  <c r="N1353" i="1"/>
  <c r="N733" i="1"/>
  <c r="N962" i="1"/>
  <c r="N443" i="1"/>
  <c r="N1067" i="1"/>
  <c r="N1539" i="1"/>
  <c r="N765" i="1"/>
  <c r="N1577" i="1"/>
  <c r="N1177" i="1"/>
  <c r="N1216" i="1"/>
  <c r="N1199" i="1"/>
  <c r="N1594" i="1"/>
  <c r="N1284" i="1"/>
  <c r="N1229" i="1"/>
  <c r="N1304" i="1"/>
  <c r="N1629" i="1"/>
  <c r="N1630" i="1"/>
  <c r="N212" i="1"/>
  <c r="N1201" i="1"/>
  <c r="N1466" i="1"/>
  <c r="N1666" i="1"/>
  <c r="N1674" i="1"/>
  <c r="N1436" i="1"/>
  <c r="N1694" i="1"/>
  <c r="N1697" i="1"/>
  <c r="N1709" i="1"/>
  <c r="N1718" i="1"/>
  <c r="N1724" i="1"/>
  <c r="N417" i="1"/>
  <c r="N1738" i="1"/>
  <c r="N1739" i="1"/>
  <c r="N1740" i="1"/>
  <c r="N1761" i="1"/>
  <c r="N1764" i="1"/>
  <c r="N1755" i="1"/>
  <c r="N25" i="1"/>
  <c r="N1786" i="1"/>
  <c r="N1799" i="1"/>
  <c r="N1800" i="1"/>
  <c r="N1801" i="1"/>
  <c r="N1835" i="1"/>
  <c r="N1508" i="1"/>
  <c r="N1521" i="1"/>
  <c r="N1355" i="1"/>
  <c r="N1857" i="1"/>
  <c r="N1858" i="1"/>
  <c r="N1865" i="1"/>
  <c r="N1867" i="1"/>
  <c r="N1462" i="1"/>
  <c r="N1908" i="1"/>
  <c r="N1910" i="1"/>
  <c r="N1181" i="1"/>
  <c r="N1584" i="1"/>
  <c r="N1937" i="1"/>
  <c r="N512" i="1"/>
  <c r="N1716" i="1"/>
  <c r="N1955" i="1"/>
  <c r="N1502" i="1"/>
  <c r="N1970" i="1"/>
  <c r="N1843" i="1"/>
  <c r="N1741" i="1"/>
  <c r="N1971" i="1"/>
  <c r="N1972" i="1"/>
  <c r="N2000" i="1"/>
  <c r="N2001" i="1"/>
  <c r="N2003" i="1"/>
  <c r="N748" i="1"/>
  <c r="N2007" i="1"/>
  <c r="N2015" i="1"/>
  <c r="N1327" i="1"/>
  <c r="N2032" i="1"/>
  <c r="N1385" i="1"/>
  <c r="N2054" i="1"/>
  <c r="N2066" i="1"/>
  <c r="N2114" i="1"/>
  <c r="N2115" i="1"/>
  <c r="N2116" i="1"/>
  <c r="N2117" i="1"/>
  <c r="N2118" i="1"/>
  <c r="N1802" i="1"/>
  <c r="N1920" i="1"/>
  <c r="N2119" i="1"/>
  <c r="N2120" i="1"/>
  <c r="N2121" i="1"/>
  <c r="N2175" i="1"/>
  <c r="N1523" i="1"/>
  <c r="N558" i="1"/>
  <c r="N2177" i="1"/>
  <c r="N1949" i="1"/>
  <c r="N2193" i="1"/>
  <c r="N2200" i="1"/>
  <c r="N2212" i="1"/>
  <c r="N2213" i="1"/>
  <c r="N2214" i="1"/>
  <c r="N1781" i="1"/>
  <c r="N1010" i="1"/>
  <c r="N2237" i="1"/>
  <c r="N1727" i="1"/>
  <c r="N1333" i="1"/>
  <c r="N2008" i="1"/>
  <c r="N2269" i="1"/>
  <c r="N2282" i="1"/>
  <c r="N2283" i="1"/>
  <c r="N2284" i="1"/>
  <c r="N2122" i="1"/>
  <c r="N2285" i="1"/>
  <c r="N2286" i="1"/>
  <c r="N2287" i="1"/>
  <c r="N2288" i="1"/>
  <c r="N2289" i="1"/>
  <c r="N2302" i="1"/>
  <c r="N2336" i="1"/>
  <c r="N1873" i="1"/>
  <c r="N2357" i="1"/>
  <c r="N2362" i="1"/>
  <c r="N2369" i="1"/>
  <c r="N2385" i="1"/>
  <c r="N2427" i="1"/>
  <c r="N2435" i="1"/>
  <c r="N2440" i="1"/>
  <c r="N2049" i="1"/>
  <c r="N2454" i="1"/>
  <c r="N2459" i="1"/>
  <c r="N2483" i="1"/>
  <c r="N2484" i="1"/>
  <c r="N2488" i="1"/>
  <c r="N2489" i="1"/>
  <c r="N28" i="1"/>
  <c r="N167" i="1"/>
  <c r="N268" i="1"/>
  <c r="N159" i="1"/>
  <c r="N360" i="1"/>
  <c r="N184" i="1"/>
  <c r="N95" i="1"/>
  <c r="N343" i="1"/>
  <c r="N464" i="1"/>
  <c r="N485" i="1"/>
  <c r="N496" i="1"/>
  <c r="N550" i="1"/>
  <c r="N428" i="1"/>
  <c r="N614" i="1"/>
  <c r="N635" i="1"/>
  <c r="N649" i="1"/>
  <c r="N593" i="1"/>
  <c r="N524" i="1"/>
  <c r="N667" i="1"/>
  <c r="N555" i="1"/>
  <c r="N727" i="1"/>
  <c r="N728" i="1"/>
  <c r="N656" i="1"/>
  <c r="N751" i="1"/>
  <c r="N782" i="1"/>
  <c r="N238" i="1"/>
  <c r="N419" i="1"/>
  <c r="N832" i="1"/>
  <c r="N851" i="1"/>
  <c r="N780" i="1"/>
  <c r="N789" i="1"/>
  <c r="N885" i="1"/>
  <c r="N886" i="1"/>
  <c r="N760" i="1"/>
  <c r="N369" i="1"/>
  <c r="N930" i="1"/>
  <c r="N959" i="1"/>
  <c r="N960" i="1"/>
  <c r="N963" i="1"/>
  <c r="N1014" i="1"/>
  <c r="N694" i="1"/>
  <c r="N633" i="1"/>
  <c r="N1050" i="1"/>
  <c r="N746" i="1"/>
  <c r="N1070" i="1"/>
  <c r="N1087" i="1"/>
  <c r="N1107" i="1"/>
  <c r="N615" i="1"/>
  <c r="N1137" i="1"/>
  <c r="N1138" i="1"/>
  <c r="N1139" i="1"/>
  <c r="N1147" i="1"/>
  <c r="N1151" i="1"/>
  <c r="N711" i="1"/>
  <c r="N823" i="1"/>
  <c r="N726" i="1"/>
  <c r="N992" i="1"/>
  <c r="N379" i="1"/>
  <c r="N1091" i="1"/>
  <c r="N1285" i="1"/>
  <c r="N988" i="1"/>
  <c r="N1339" i="1"/>
  <c r="N1359" i="1"/>
  <c r="N1017" i="1"/>
  <c r="N1391" i="1"/>
  <c r="N1402" i="1"/>
  <c r="N1407" i="1"/>
  <c r="N1417" i="1"/>
  <c r="N1431" i="1"/>
  <c r="N1437" i="1"/>
  <c r="N1267" i="1"/>
  <c r="N950" i="1"/>
  <c r="N1449" i="1"/>
  <c r="N1452" i="1"/>
  <c r="N1455" i="1"/>
  <c r="N847" i="1"/>
  <c r="N1459" i="1"/>
  <c r="N1483" i="1"/>
  <c r="N1495" i="1"/>
  <c r="N1501" i="1"/>
  <c r="N1507" i="1"/>
  <c r="N1334" i="1"/>
  <c r="N1410" i="1"/>
  <c r="N1547" i="1"/>
  <c r="N406" i="1"/>
  <c r="N492" i="1"/>
  <c r="N1565" i="1"/>
  <c r="N1572" i="1"/>
  <c r="N1607" i="1"/>
  <c r="N1618" i="1"/>
  <c r="N1631" i="1"/>
  <c r="N1648" i="1"/>
  <c r="N1651" i="1"/>
  <c r="N1655" i="1"/>
  <c r="N1656" i="1"/>
  <c r="N1657" i="1"/>
  <c r="N1658" i="1"/>
  <c r="N1681" i="1"/>
  <c r="N390" i="1"/>
  <c r="N1688" i="1"/>
  <c r="N1531" i="1"/>
  <c r="N1695" i="1"/>
  <c r="N1703" i="1"/>
  <c r="N1710" i="1"/>
  <c r="N1711" i="1"/>
  <c r="N1265" i="1"/>
  <c r="N1742" i="1"/>
  <c r="N1340" i="1"/>
  <c r="N1476" i="1"/>
  <c r="N1757" i="1"/>
  <c r="N1760" i="1"/>
  <c r="N1763" i="1"/>
  <c r="N1571" i="1"/>
  <c r="N1771" i="1"/>
  <c r="N1782" i="1"/>
  <c r="N1803" i="1"/>
  <c r="N1804" i="1"/>
  <c r="N1830" i="1"/>
  <c r="N1271" i="1"/>
  <c r="N1852" i="1"/>
  <c r="N1860" i="1"/>
  <c r="N1864" i="1"/>
  <c r="N1874" i="1"/>
  <c r="N1887" i="1"/>
  <c r="N1888" i="1"/>
  <c r="N1889" i="1"/>
  <c r="N1890" i="1"/>
  <c r="N1328" i="1"/>
  <c r="N1632" i="1"/>
  <c r="N1692" i="1"/>
  <c r="N1925" i="1"/>
  <c r="N1926" i="1"/>
  <c r="N1927" i="1"/>
  <c r="N1935" i="1"/>
  <c r="N1941" i="1"/>
  <c r="N1700" i="1"/>
  <c r="N1130" i="1"/>
  <c r="N899" i="1"/>
  <c r="N1952" i="1"/>
  <c r="N1954" i="1"/>
  <c r="N1973" i="1"/>
  <c r="N1974" i="1"/>
  <c r="N1975" i="1"/>
  <c r="N1976" i="1"/>
  <c r="N1977" i="1"/>
  <c r="N1978" i="1"/>
  <c r="N287" i="1"/>
  <c r="N1704" i="1"/>
  <c r="N2011" i="1"/>
  <c r="N2018" i="1"/>
  <c r="N2033" i="1"/>
  <c r="N1805" i="1"/>
  <c r="N2034" i="1"/>
  <c r="N2035" i="1"/>
  <c r="N2036" i="1"/>
  <c r="N1836" i="1"/>
  <c r="N1094" i="1"/>
  <c r="N1548" i="1"/>
  <c r="N2055" i="1"/>
  <c r="N2057" i="1"/>
  <c r="N2058" i="1"/>
  <c r="N1690" i="1"/>
  <c r="N2067" i="1"/>
  <c r="N1868" i="1"/>
  <c r="N1517" i="1"/>
  <c r="N2071" i="1"/>
  <c r="N2073" i="1"/>
  <c r="N2080" i="1"/>
  <c r="N2081" i="1"/>
  <c r="N2082" i="1"/>
  <c r="N2089" i="1"/>
  <c r="N2091" i="1"/>
  <c r="N2092" i="1"/>
  <c r="N2093" i="1"/>
  <c r="N2094" i="1"/>
  <c r="N2123" i="1"/>
  <c r="N2124" i="1"/>
  <c r="N2125" i="1"/>
  <c r="N1891" i="1"/>
  <c r="N2126" i="1"/>
  <c r="N2127" i="1"/>
  <c r="N2128" i="1"/>
  <c r="N2129" i="1"/>
  <c r="N1766" i="1"/>
  <c r="N2130" i="1"/>
  <c r="N2131" i="1"/>
  <c r="N2132" i="1"/>
  <c r="N1456" i="1"/>
  <c r="N2174" i="1"/>
  <c r="N2182" i="1"/>
  <c r="N1918" i="1"/>
  <c r="N2215" i="1"/>
  <c r="N1184" i="1"/>
  <c r="N2216" i="1"/>
  <c r="N2217" i="1"/>
  <c r="N933" i="1"/>
  <c r="N2238" i="1"/>
  <c r="N2250" i="1"/>
  <c r="N2251" i="1"/>
  <c r="N2050" i="1"/>
  <c r="N2260" i="1"/>
  <c r="N2261" i="1"/>
  <c r="N2062" i="1"/>
  <c r="N2262" i="1"/>
  <c r="N2263" i="1"/>
  <c r="N2264" i="1"/>
  <c r="N2265" i="1"/>
  <c r="N2272" i="1"/>
  <c r="N2273" i="1"/>
  <c r="N1650" i="1"/>
  <c r="N2278" i="1"/>
  <c r="N2290" i="1"/>
  <c r="N2291" i="1"/>
  <c r="N1491" i="1"/>
  <c r="N2305" i="1"/>
  <c r="N2311" i="1"/>
  <c r="N2318" i="1"/>
  <c r="N2322" i="1"/>
  <c r="N1244" i="1"/>
  <c r="N2324" i="1"/>
  <c r="N2327" i="1"/>
  <c r="N2337" i="1"/>
  <c r="N2345" i="1"/>
  <c r="N2351" i="1"/>
  <c r="N2365" i="1"/>
  <c r="N2377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438" i="1"/>
  <c r="N2441" i="1"/>
  <c r="N2447" i="1"/>
  <c r="N2452" i="1"/>
  <c r="N1758" i="1"/>
  <c r="N1251" i="1"/>
  <c r="N1921" i="1"/>
  <c r="N12" i="1"/>
  <c r="N35" i="1"/>
  <c r="N83" i="1"/>
  <c r="N82" i="1"/>
  <c r="N273" i="1"/>
  <c r="N233" i="1"/>
  <c r="N284" i="1"/>
  <c r="N143" i="1"/>
  <c r="N327" i="1"/>
  <c r="N282" i="1"/>
  <c r="N317" i="1"/>
  <c r="N425" i="1"/>
  <c r="N91" i="1"/>
  <c r="N477" i="1"/>
  <c r="N197" i="1"/>
  <c r="N495" i="1"/>
  <c r="N540" i="1"/>
  <c r="N522" i="1"/>
  <c r="N564" i="1"/>
  <c r="N182" i="1"/>
  <c r="N570" i="1"/>
  <c r="N582" i="1"/>
  <c r="N583" i="1"/>
  <c r="N579" i="1"/>
  <c r="N588" i="1"/>
  <c r="N584" i="1"/>
  <c r="N395" i="1"/>
  <c r="N634" i="1"/>
  <c r="N645" i="1"/>
  <c r="N414" i="1"/>
  <c r="N332" i="1"/>
  <c r="N665" i="1"/>
  <c r="N668" i="1"/>
  <c r="N676" i="1"/>
  <c r="N386" i="1"/>
  <c r="N690" i="1"/>
  <c r="N341" i="1"/>
  <c r="N616" i="1"/>
  <c r="N525" i="1"/>
  <c r="N742" i="1"/>
  <c r="N745" i="1"/>
  <c r="N759" i="1"/>
  <c r="N761" i="1"/>
  <c r="N554" i="1"/>
  <c r="N802" i="1"/>
  <c r="N803" i="1"/>
  <c r="N824" i="1"/>
  <c r="N825" i="1"/>
  <c r="N845" i="1"/>
  <c r="N854" i="1"/>
  <c r="N858" i="1"/>
  <c r="N862" i="1"/>
  <c r="N919" i="1"/>
  <c r="N925" i="1"/>
  <c r="N931" i="1"/>
  <c r="N715" i="1"/>
  <c r="N346" i="1"/>
  <c r="N1000" i="1"/>
  <c r="N1006" i="1"/>
  <c r="N777" i="1"/>
  <c r="N1027" i="1"/>
  <c r="N1028" i="1"/>
  <c r="N707" i="1"/>
  <c r="N1046" i="1"/>
  <c r="N975" i="1"/>
  <c r="N1047" i="1"/>
  <c r="N718" i="1"/>
  <c r="N516" i="1"/>
  <c r="N1061" i="1"/>
  <c r="N646" i="1"/>
  <c r="N831" i="1"/>
  <c r="N740" i="1"/>
  <c r="N1088" i="1"/>
  <c r="N874" i="1"/>
  <c r="N1134" i="1"/>
  <c r="N1080" i="1"/>
  <c r="N1163" i="1"/>
  <c r="N1173" i="1"/>
  <c r="N846" i="1"/>
  <c r="N943" i="1"/>
  <c r="N767" i="1"/>
  <c r="N1193" i="1"/>
  <c r="N1032" i="1"/>
  <c r="N964" i="1"/>
  <c r="N1129" i="1"/>
  <c r="N1231" i="1"/>
  <c r="N1066" i="1"/>
  <c r="N1288" i="1"/>
  <c r="N700" i="1"/>
  <c r="N1277" i="1"/>
  <c r="N597" i="1"/>
  <c r="N1300" i="1"/>
  <c r="N1301" i="1"/>
  <c r="N1120" i="1"/>
  <c r="N1319" i="1"/>
  <c r="N1329" i="1"/>
  <c r="N624" i="1"/>
  <c r="N1092" i="1"/>
  <c r="N1169" i="1"/>
  <c r="N1366" i="1"/>
  <c r="N1369" i="1"/>
  <c r="N636" i="1"/>
  <c r="N1069" i="1"/>
  <c r="N1381" i="1"/>
  <c r="N1389" i="1"/>
  <c r="N1209" i="1"/>
  <c r="N1392" i="1"/>
  <c r="N1255" i="1"/>
  <c r="N511" i="1"/>
  <c r="N1411" i="1"/>
  <c r="N1416" i="1"/>
  <c r="N1426" i="1"/>
  <c r="N1167" i="1"/>
  <c r="N922" i="1"/>
  <c r="N1453" i="1"/>
  <c r="N1465" i="1"/>
  <c r="N863" i="1"/>
  <c r="N1021" i="1"/>
  <c r="N1525" i="1"/>
  <c r="N1530" i="1"/>
  <c r="N1540" i="1"/>
  <c r="N1541" i="1"/>
  <c r="N1549" i="1"/>
  <c r="N1296" i="1"/>
  <c r="N1557" i="1"/>
  <c r="N887" i="1"/>
  <c r="N1574" i="1"/>
  <c r="N1148" i="1"/>
  <c r="N1595" i="1"/>
  <c r="N1372" i="1"/>
  <c r="N1602" i="1"/>
  <c r="N1604" i="1"/>
  <c r="N1463" i="1"/>
  <c r="N1608" i="1"/>
  <c r="N1615" i="1"/>
  <c r="N1623" i="1"/>
  <c r="N1443" i="1"/>
  <c r="N1633" i="1"/>
  <c r="N1575" i="1"/>
  <c r="N1659" i="1"/>
  <c r="N1214" i="1"/>
  <c r="N1011" i="1"/>
  <c r="N1675" i="1"/>
  <c r="N1439" i="1"/>
  <c r="N202" i="1"/>
  <c r="N1712" i="1"/>
  <c r="N1713" i="1"/>
  <c r="N1715" i="1"/>
  <c r="N1114" i="1"/>
  <c r="N1494" i="1"/>
  <c r="N1726" i="1"/>
  <c r="N469" i="1"/>
  <c r="N1759" i="1"/>
  <c r="N1509" i="1"/>
  <c r="N1772" i="1"/>
  <c r="N1806" i="1"/>
  <c r="N1807" i="1"/>
  <c r="N1808" i="1"/>
  <c r="N1819" i="1"/>
  <c r="N1820" i="1"/>
  <c r="N1826" i="1"/>
  <c r="N1831" i="1"/>
  <c r="N1832" i="1"/>
  <c r="N1839" i="1"/>
  <c r="N1585" i="1"/>
  <c r="N1844" i="1"/>
  <c r="N1854" i="1"/>
  <c r="N1560" i="1"/>
  <c r="N1861" i="1"/>
  <c r="N1862" i="1"/>
  <c r="N1863" i="1"/>
  <c r="N1892" i="1"/>
  <c r="N1893" i="1"/>
  <c r="N1634" i="1"/>
  <c r="N1894" i="1"/>
  <c r="N1586" i="1"/>
  <c r="N1895" i="1"/>
  <c r="N1667" i="1"/>
  <c r="N1904" i="1"/>
  <c r="N1909" i="1"/>
  <c r="N1913" i="1"/>
  <c r="N1914" i="1"/>
  <c r="N1916" i="1"/>
  <c r="N1928" i="1"/>
  <c r="N1940" i="1"/>
  <c r="N1454" i="1"/>
  <c r="N1364" i="1"/>
  <c r="N1979" i="1"/>
  <c r="N1980" i="1"/>
  <c r="N1981" i="1"/>
  <c r="N1982" i="1"/>
  <c r="N1983" i="1"/>
  <c r="N1998" i="1"/>
  <c r="N2004" i="1"/>
  <c r="N2005" i="1"/>
  <c r="N1942" i="1"/>
  <c r="N1702" i="1"/>
  <c r="N2012" i="1"/>
  <c r="N2013" i="1"/>
  <c r="N1845" i="1"/>
  <c r="N2037" i="1"/>
  <c r="N2038" i="1"/>
  <c r="N1660" i="1"/>
  <c r="N2039" i="1"/>
  <c r="N2040" i="1"/>
  <c r="N2044" i="1"/>
  <c r="N2047" i="1"/>
  <c r="N2051" i="1"/>
  <c r="N1569" i="1"/>
  <c r="N603" i="1"/>
  <c r="N2072" i="1"/>
  <c r="N2075" i="1"/>
  <c r="N2076" i="1"/>
  <c r="N2083" i="1"/>
  <c r="N2086" i="1"/>
  <c r="N2090" i="1"/>
  <c r="N2133" i="1"/>
  <c r="N2134" i="1"/>
  <c r="N1929" i="1"/>
  <c r="N1308" i="1"/>
  <c r="N1743" i="1"/>
  <c r="N2135" i="1"/>
  <c r="N2136" i="1"/>
  <c r="N1930" i="1"/>
  <c r="N2137" i="1"/>
  <c r="N2138" i="1"/>
  <c r="N1744" i="1"/>
  <c r="N2139" i="1"/>
  <c r="N2140" i="1"/>
  <c r="N2141" i="1"/>
  <c r="N1529" i="1"/>
  <c r="N1825" i="1"/>
  <c r="N2170" i="1"/>
  <c r="N2173" i="1"/>
  <c r="N2176" i="1"/>
  <c r="N2186" i="1"/>
  <c r="N2188" i="1"/>
  <c r="N1320" i="1"/>
  <c r="N2190" i="1"/>
  <c r="N2194" i="1"/>
  <c r="N2199" i="1"/>
  <c r="N2202" i="1"/>
  <c r="N2203" i="1"/>
  <c r="N2218" i="1"/>
  <c r="N2219" i="1"/>
  <c r="N1984" i="1"/>
  <c r="N2220" i="1"/>
  <c r="N2228" i="1"/>
  <c r="N2229" i="1"/>
  <c r="N2230" i="1"/>
  <c r="N2232" i="1"/>
  <c r="N2233" i="1"/>
  <c r="N2234" i="1"/>
  <c r="N2245" i="1"/>
  <c r="N2184" i="1"/>
  <c r="N2247" i="1"/>
  <c r="N2252" i="1"/>
  <c r="N2077" i="1"/>
  <c r="N2253" i="1"/>
  <c r="N2254" i="1"/>
  <c r="N2266" i="1"/>
  <c r="N2267" i="1"/>
  <c r="N2268" i="1"/>
  <c r="N2065" i="1"/>
  <c r="N1905" i="1"/>
  <c r="N2276" i="1"/>
  <c r="N2292" i="1"/>
  <c r="N2293" i="1"/>
  <c r="N2043" i="1"/>
  <c r="N1262" i="1"/>
  <c r="N2310" i="1"/>
  <c r="N2319" i="1"/>
  <c r="N1440" i="1"/>
  <c r="N1783" i="1"/>
  <c r="N2335" i="1"/>
  <c r="N2338" i="1"/>
  <c r="N2068" i="1"/>
  <c r="N1699" i="1"/>
  <c r="N2354" i="1"/>
  <c r="N2358" i="1"/>
  <c r="N2361" i="1"/>
  <c r="N2371" i="1"/>
  <c r="N1950" i="1"/>
  <c r="N2378" i="1"/>
  <c r="N2382" i="1"/>
  <c r="N2383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8" i="1"/>
  <c r="N2423" i="1"/>
  <c r="N2428" i="1"/>
  <c r="N2429" i="1"/>
  <c r="N2431" i="1"/>
  <c r="N2442" i="1"/>
  <c r="N2446" i="1"/>
  <c r="N2460" i="1"/>
  <c r="N2461" i="1"/>
  <c r="N2462" i="1"/>
  <c r="N2463" i="1"/>
  <c r="N2235" i="1"/>
  <c r="N2464" i="1"/>
  <c r="N1723" i="1"/>
  <c r="N2482" i="1"/>
  <c r="N193" i="1"/>
  <c r="N226" i="1"/>
  <c r="N312" i="1"/>
  <c r="N349" i="1"/>
  <c r="N372" i="1"/>
  <c r="N350" i="1"/>
  <c r="N274" i="1"/>
  <c r="N449" i="1"/>
  <c r="N468" i="1"/>
  <c r="N486" i="1"/>
  <c r="N99" i="1"/>
  <c r="N505" i="1"/>
  <c r="N311" i="1"/>
  <c r="N648" i="1"/>
  <c r="N670" i="1"/>
  <c r="N671" i="1"/>
  <c r="N436" i="1"/>
  <c r="N682" i="1"/>
  <c r="N684" i="1"/>
  <c r="N685" i="1"/>
  <c r="N686" i="1"/>
  <c r="N720" i="1"/>
  <c r="N722" i="1"/>
  <c r="N535" i="1"/>
  <c r="N724" i="1"/>
  <c r="N762" i="1"/>
  <c r="N771" i="1"/>
  <c r="N774" i="1"/>
  <c r="N156" i="1"/>
  <c r="N607" i="1"/>
  <c r="N619" i="1"/>
  <c r="N830" i="1"/>
  <c r="N852" i="1"/>
  <c r="N859" i="1"/>
  <c r="N602" i="1"/>
  <c r="N940" i="1"/>
  <c r="N948" i="1"/>
  <c r="N951" i="1"/>
  <c r="N725" i="1"/>
  <c r="N932" i="1"/>
  <c r="N983" i="1"/>
  <c r="N984" i="1"/>
  <c r="N997" i="1"/>
  <c r="N1004" i="1"/>
  <c r="N880" i="1"/>
  <c r="N1024" i="1"/>
  <c r="N1042" i="1"/>
  <c r="N1044" i="1"/>
  <c r="N1052" i="1"/>
  <c r="N1057" i="1"/>
  <c r="N641" i="1"/>
  <c r="N1089" i="1"/>
  <c r="N1099" i="1"/>
  <c r="N785" i="1"/>
  <c r="N1119" i="1"/>
  <c r="N1121" i="1"/>
  <c r="N1124" i="1"/>
  <c r="N1125" i="1"/>
  <c r="N1128" i="1"/>
  <c r="N1133" i="1"/>
  <c r="N1157" i="1"/>
  <c r="N1168" i="1"/>
  <c r="N1171" i="1"/>
  <c r="N1185" i="1"/>
  <c r="N1093" i="1"/>
  <c r="N1194" i="1"/>
  <c r="N563" i="1"/>
  <c r="N901" i="1"/>
  <c r="N1056" i="1"/>
  <c r="N1241" i="1"/>
  <c r="N1253" i="1"/>
  <c r="N1257" i="1"/>
  <c r="N1112" i="1"/>
  <c r="N1259" i="1"/>
  <c r="N1043" i="1"/>
  <c r="N1275" i="1"/>
  <c r="N892" i="1"/>
  <c r="N1279" i="1"/>
  <c r="N1281" i="1"/>
  <c r="N1309" i="1"/>
  <c r="N1310" i="1"/>
  <c r="N1311" i="1"/>
  <c r="N1090" i="1"/>
  <c r="N873" i="1"/>
  <c r="N941" i="1"/>
  <c r="N1316" i="1"/>
  <c r="N1211" i="1"/>
  <c r="N1367" i="1"/>
  <c r="N1371" i="1"/>
  <c r="N1373" i="1"/>
  <c r="N1382" i="1"/>
  <c r="N1254" i="1"/>
  <c r="N912" i="1"/>
  <c r="N1390" i="1"/>
  <c r="N1408" i="1"/>
  <c r="N595" i="1"/>
  <c r="N1413" i="1"/>
  <c r="N1438" i="1"/>
  <c r="N1131" i="1"/>
  <c r="N1060" i="1"/>
  <c r="N1450" i="1"/>
  <c r="N1293" i="1"/>
  <c r="N1458" i="1"/>
  <c r="N1461" i="1"/>
  <c r="N1473" i="1"/>
  <c r="N1063" i="1"/>
  <c r="N1484" i="1"/>
  <c r="N1485" i="1"/>
  <c r="N1490" i="1"/>
  <c r="N1276" i="1"/>
  <c r="N1499" i="1"/>
  <c r="N965" i="1"/>
  <c r="N1513" i="1"/>
  <c r="N1365" i="1"/>
  <c r="N1552" i="1"/>
  <c r="N1556" i="1"/>
  <c r="N1562" i="1"/>
  <c r="N1472" i="1"/>
  <c r="N1568" i="1"/>
  <c r="N1590" i="1"/>
  <c r="N1599" i="1"/>
  <c r="N1600" i="1"/>
  <c r="N1616" i="1"/>
  <c r="N1621" i="1"/>
  <c r="N1635" i="1"/>
  <c r="N1636" i="1"/>
  <c r="N1370" i="1"/>
  <c r="N1661" i="1"/>
  <c r="N1662" i="1"/>
  <c r="N1663" i="1"/>
  <c r="N1403" i="1"/>
  <c r="N1451" i="1"/>
  <c r="N1420" i="1"/>
  <c r="N1682" i="1"/>
  <c r="N1685" i="1"/>
  <c r="N1696" i="1"/>
  <c r="N1698" i="1"/>
  <c r="N1714" i="1"/>
  <c r="N1474" i="1"/>
  <c r="N1639" i="1"/>
  <c r="N1728" i="1"/>
  <c r="N1745" i="1"/>
  <c r="N1752" i="1"/>
  <c r="N1213" i="1"/>
  <c r="N1762" i="1"/>
  <c r="N1767" i="1"/>
  <c r="N1522" i="1"/>
  <c r="N1721" i="1"/>
  <c r="N1778" i="1"/>
  <c r="N1779" i="1"/>
  <c r="N1566" i="1"/>
  <c r="N735" i="1"/>
  <c r="N1518" i="1"/>
  <c r="N1809" i="1"/>
  <c r="N1810" i="1"/>
  <c r="N1821" i="1"/>
  <c r="N1823" i="1"/>
  <c r="N1833" i="1"/>
  <c r="N1834" i="1"/>
  <c r="N1578" i="1"/>
  <c r="N1846" i="1"/>
  <c r="N1683" i="1"/>
  <c r="N1847" i="1"/>
  <c r="N1587" i="1"/>
  <c r="N1348" i="1"/>
  <c r="N1869" i="1"/>
  <c r="N1208" i="1"/>
  <c r="N1693" i="1"/>
  <c r="N1896" i="1"/>
  <c r="N1897" i="1"/>
  <c r="N791" i="1"/>
  <c r="N1903" i="1"/>
  <c r="N1649" i="1"/>
  <c r="N1906" i="1"/>
  <c r="N1263" i="1"/>
  <c r="N1931" i="1"/>
  <c r="N1932" i="1"/>
  <c r="N1811" i="1"/>
  <c r="N1934" i="1"/>
  <c r="N1945" i="1"/>
  <c r="N1947" i="1"/>
  <c r="N1793" i="1"/>
  <c r="N1985" i="1"/>
  <c r="N1746" i="1"/>
  <c r="N1986" i="1"/>
  <c r="N1996" i="1"/>
  <c r="N1997" i="1"/>
  <c r="N2002" i="1"/>
  <c r="N1132" i="1"/>
  <c r="N1775" i="1"/>
  <c r="N2016" i="1"/>
  <c r="N2021" i="1"/>
  <c r="N1789" i="1"/>
  <c r="N2026" i="1"/>
  <c r="N2045" i="1"/>
  <c r="N2046" i="1"/>
  <c r="N1917" i="1"/>
  <c r="N1671" i="1"/>
  <c r="N2052" i="1"/>
  <c r="N2060" i="1"/>
  <c r="N2061" i="1"/>
  <c r="N2063" i="1"/>
  <c r="N2078" i="1"/>
  <c r="N1938" i="1"/>
  <c r="N2084" i="1"/>
  <c r="N2085" i="1"/>
  <c r="N2087" i="1"/>
  <c r="N2142" i="1"/>
  <c r="N2143" i="1"/>
  <c r="N2144" i="1"/>
  <c r="N2145" i="1"/>
  <c r="N2146" i="1"/>
  <c r="N2156" i="1"/>
  <c r="N2166" i="1"/>
  <c r="N1511" i="1"/>
  <c r="N2168" i="1"/>
  <c r="N2183" i="1"/>
  <c r="N1719" i="1"/>
  <c r="N2187" i="1"/>
  <c r="N1871" i="1"/>
  <c r="N2201" i="1"/>
  <c r="N2221" i="1"/>
  <c r="N1160" i="1"/>
  <c r="N2222" i="1"/>
  <c r="N1987" i="1"/>
  <c r="N1988" i="1"/>
  <c r="N1900" i="1"/>
  <c r="N2236" i="1"/>
  <c r="N2239" i="1"/>
  <c r="N2240" i="1"/>
  <c r="N1503" i="1"/>
  <c r="N2255" i="1"/>
  <c r="N2256" i="1"/>
  <c r="N697" i="1"/>
  <c r="N2274" i="1"/>
  <c r="N2275" i="1"/>
  <c r="N2162" i="1"/>
  <c r="N2147" i="1"/>
  <c r="N2294" i="1"/>
  <c r="N2295" i="1"/>
  <c r="N1553" i="1"/>
  <c r="N2306" i="1"/>
  <c r="N1943" i="1"/>
  <c r="N2320" i="1"/>
  <c r="N2328" i="1"/>
  <c r="N2329" i="1"/>
  <c r="N2330" i="1"/>
  <c r="N2331" i="1"/>
  <c r="N2332" i="1"/>
  <c r="N2333" i="1"/>
  <c r="N2346" i="1"/>
  <c r="N1242" i="1"/>
  <c r="N2348" i="1"/>
  <c r="N2296" i="1"/>
  <c r="N2372" i="1"/>
  <c r="N2307" i="1"/>
  <c r="N1872" i="1"/>
  <c r="N2417" i="1"/>
  <c r="N2421" i="1"/>
  <c r="N2424" i="1"/>
  <c r="N2425" i="1"/>
  <c r="N2436" i="1"/>
  <c r="N2437" i="1"/>
  <c r="N2445" i="1"/>
  <c r="N2163" i="1"/>
  <c r="N2448" i="1"/>
  <c r="N2366" i="1"/>
  <c r="N2465" i="1"/>
  <c r="N2466" i="1"/>
  <c r="N2467" i="1"/>
  <c r="N2473" i="1"/>
  <c r="N2474" i="1"/>
  <c r="N2475" i="1"/>
  <c r="N2485" i="1"/>
  <c r="N2490" i="1"/>
  <c r="N75" i="1"/>
  <c r="N100" i="1"/>
  <c r="N157" i="1"/>
  <c r="N354" i="1"/>
  <c r="N393" i="1"/>
  <c r="N431" i="1"/>
  <c r="N461" i="1"/>
  <c r="N501" i="1"/>
  <c r="N508" i="1"/>
  <c r="N556" i="1"/>
  <c r="N572" i="1"/>
  <c r="N609" i="1"/>
  <c r="N679" i="1"/>
  <c r="N693" i="1"/>
  <c r="N698" i="1"/>
  <c r="N703" i="1"/>
  <c r="N706" i="1"/>
  <c r="N709" i="1"/>
  <c r="N714" i="1"/>
  <c r="N734" i="1"/>
  <c r="N747" i="1"/>
  <c r="N749" i="1"/>
  <c r="N763" i="1"/>
  <c r="N764" i="1"/>
  <c r="N779" i="1"/>
  <c r="N796" i="1"/>
  <c r="N807" i="1"/>
  <c r="N829" i="1"/>
  <c r="N840" i="1"/>
  <c r="N855" i="1"/>
  <c r="N868" i="1"/>
  <c r="N890" i="1"/>
  <c r="N909" i="1"/>
  <c r="N915" i="1"/>
  <c r="N938" i="1"/>
  <c r="N955" i="1"/>
  <c r="N986" i="1"/>
  <c r="N989" i="1"/>
  <c r="N998" i="1"/>
  <c r="N999" i="1"/>
  <c r="N1001" i="1"/>
  <c r="N1002" i="1"/>
  <c r="N1007" i="1"/>
  <c r="N1012" i="1"/>
  <c r="N1048" i="1"/>
  <c r="N1072" i="1"/>
  <c r="N1073" i="1"/>
  <c r="N1077" i="1"/>
  <c r="N1098" i="1"/>
  <c r="N1140" i="1"/>
  <c r="N1144" i="1"/>
  <c r="N1149" i="1"/>
  <c r="N1161" i="1"/>
  <c r="N1164" i="1"/>
  <c r="N1179" i="1"/>
  <c r="N1187" i="1"/>
  <c r="N1189" i="1"/>
  <c r="N1200" i="1"/>
  <c r="N1219" i="1"/>
  <c r="N1222" i="1"/>
  <c r="N1223" i="1"/>
  <c r="N1232" i="1"/>
  <c r="N1245" i="1"/>
  <c r="N1250" i="1"/>
  <c r="N1258" i="1"/>
  <c r="N1261" i="1"/>
  <c r="N1272" i="1"/>
  <c r="N1273" i="1"/>
  <c r="N1280" i="1"/>
  <c r="N1286" i="1"/>
  <c r="N1312" i="1"/>
  <c r="N1330" i="1"/>
  <c r="N1354" i="1"/>
  <c r="N1374" i="1"/>
  <c r="N1386" i="1"/>
  <c r="N1404" i="1"/>
  <c r="N1406" i="1"/>
  <c r="N1414" i="1"/>
  <c r="N1444" i="1"/>
  <c r="N1447" i="1"/>
  <c r="N1464" i="1"/>
  <c r="N1469" i="1"/>
  <c r="N1486" i="1"/>
  <c r="N1487" i="1"/>
  <c r="N1492" i="1"/>
  <c r="N1500" i="1"/>
  <c r="N1504" i="1"/>
  <c r="N1515" i="1"/>
  <c r="N1516" i="1"/>
  <c r="N1526" i="1"/>
  <c r="N1528" i="1"/>
  <c r="N1542" i="1"/>
  <c r="N1543" i="1"/>
  <c r="N1544" i="1"/>
  <c r="N1550" i="1"/>
  <c r="N1558" i="1"/>
  <c r="N1570" i="1"/>
  <c r="N1579" i="1"/>
  <c r="N1589" i="1"/>
  <c r="N1593" i="1"/>
  <c r="N1598" i="1"/>
  <c r="N1603" i="1"/>
  <c r="N1620" i="1"/>
  <c r="N1641" i="1"/>
  <c r="N1642" i="1"/>
  <c r="N1644" i="1"/>
  <c r="N1665" i="1"/>
  <c r="N1668" i="1"/>
  <c r="N1676" i="1"/>
  <c r="N1684" i="1"/>
  <c r="N1687" i="1"/>
  <c r="N1689" i="1"/>
  <c r="N1691" i="1"/>
  <c r="N1701" i="1"/>
  <c r="N1720" i="1"/>
  <c r="N1722" i="1"/>
  <c r="N1747" i="1"/>
  <c r="N1748" i="1"/>
  <c r="N1749" i="1"/>
  <c r="N1750" i="1"/>
  <c r="N1751" i="1"/>
  <c r="N1754" i="1"/>
  <c r="N1768" i="1"/>
  <c r="N1773" i="1"/>
  <c r="N1784" i="1"/>
  <c r="N1785" i="1"/>
  <c r="N1787" i="1"/>
  <c r="N1791" i="1"/>
  <c r="N1812" i="1"/>
  <c r="N1813" i="1"/>
  <c r="N1814" i="1"/>
  <c r="N1815" i="1"/>
  <c r="N1816" i="1"/>
  <c r="N1817" i="1"/>
  <c r="N1818" i="1"/>
  <c r="N1822" i="1"/>
  <c r="N1824" i="1"/>
  <c r="N1827" i="1"/>
  <c r="N1828" i="1"/>
  <c r="N1829" i="1"/>
  <c r="N1837" i="1"/>
  <c r="N1848" i="1"/>
  <c r="N1849" i="1"/>
  <c r="N1850" i="1"/>
  <c r="N1859" i="1"/>
  <c r="N1866" i="1"/>
  <c r="N1876" i="1"/>
  <c r="N1898" i="1"/>
  <c r="N1901" i="1"/>
  <c r="N1902" i="1"/>
  <c r="N1911" i="1"/>
  <c r="N1919" i="1"/>
  <c r="N1922" i="1"/>
  <c r="N1933" i="1"/>
  <c r="N1936" i="1"/>
  <c r="N1939" i="1"/>
  <c r="N1944" i="1"/>
  <c r="N1948" i="1"/>
  <c r="N1956" i="1"/>
  <c r="N1958" i="1"/>
  <c r="N1989" i="1"/>
  <c r="N1990" i="1"/>
  <c r="N1991" i="1"/>
  <c r="N1992" i="1"/>
  <c r="N1993" i="1"/>
  <c r="N1994" i="1"/>
  <c r="N1995" i="1"/>
  <c r="N2006" i="1"/>
  <c r="N2009" i="1"/>
  <c r="N2014" i="1"/>
  <c r="N2019" i="1"/>
  <c r="N2022" i="1"/>
  <c r="N2024" i="1"/>
  <c r="N2025" i="1"/>
  <c r="N2041" i="1"/>
  <c r="N2042" i="1"/>
  <c r="N2053" i="1"/>
  <c r="N2056" i="1"/>
  <c r="N2064" i="1"/>
  <c r="N2069" i="1"/>
  <c r="N2070" i="1"/>
  <c r="N2095" i="1"/>
  <c r="N2148" i="1"/>
  <c r="N2149" i="1"/>
  <c r="N2150" i="1"/>
  <c r="N2151" i="1"/>
  <c r="N2152" i="1"/>
  <c r="N2153" i="1"/>
  <c r="N2154" i="1"/>
  <c r="N2155" i="1"/>
  <c r="N2157" i="1"/>
  <c r="N2158" i="1"/>
  <c r="N2159" i="1"/>
  <c r="N2160" i="1"/>
  <c r="N2161" i="1"/>
  <c r="N2178" i="1"/>
  <c r="N2195" i="1"/>
  <c r="N2196" i="1"/>
  <c r="N2197" i="1"/>
  <c r="N2204" i="1"/>
  <c r="N2223" i="1"/>
  <c r="N2224" i="1"/>
  <c r="N2225" i="1"/>
  <c r="N2231" i="1"/>
  <c r="N2243" i="1"/>
  <c r="N2244" i="1"/>
  <c r="N2257" i="1"/>
  <c r="N2258" i="1"/>
  <c r="N2259" i="1"/>
  <c r="N2270" i="1"/>
  <c r="N2297" i="1"/>
  <c r="N2298" i="1"/>
  <c r="N2299" i="1"/>
  <c r="N2300" i="1"/>
  <c r="N2308" i="1"/>
  <c r="N2309" i="1"/>
  <c r="N2313" i="1"/>
  <c r="N2314" i="1"/>
  <c r="N2325" i="1"/>
  <c r="N2326" i="1"/>
  <c r="N2334" i="1"/>
  <c r="N2341" i="1"/>
  <c r="N2342" i="1"/>
  <c r="N2343" i="1"/>
  <c r="N2344" i="1"/>
  <c r="N2347" i="1"/>
  <c r="N2359" i="1"/>
  <c r="N2360" i="1"/>
  <c r="N2373" i="1"/>
  <c r="N2374" i="1"/>
  <c r="N2375" i="1"/>
  <c r="N2379" i="1"/>
  <c r="N2380" i="1"/>
  <c r="N2419" i="1"/>
  <c r="N2420" i="1"/>
  <c r="N2426" i="1"/>
  <c r="N2432" i="1"/>
  <c r="N2433" i="1"/>
  <c r="N2443" i="1"/>
  <c r="N2444" i="1"/>
  <c r="N2468" i="1"/>
  <c r="N2472" i="1"/>
  <c r="N2476" i="1"/>
  <c r="N2477" i="1"/>
  <c r="N2481" i="1"/>
  <c r="N2486" i="1"/>
  <c r="N2491" i="1"/>
  <c r="N2492" i="1"/>
  <c r="N2493" i="1"/>
  <c r="O2425" i="1" l="1"/>
  <c r="O2309" i="1"/>
  <c r="O2492" i="1"/>
  <c r="O2379" i="1"/>
  <c r="O1187" i="1"/>
  <c r="O1696" i="1"/>
  <c r="O1984" i="1"/>
  <c r="O1515" i="1"/>
  <c r="O2274" i="1"/>
  <c r="O1128" i="1"/>
  <c r="O2038" i="1"/>
  <c r="O874" i="1"/>
  <c r="O1995" i="1"/>
  <c r="O1620" i="1"/>
  <c r="O1504" i="1"/>
  <c r="O1312" i="1"/>
  <c r="O1179" i="1"/>
  <c r="O998" i="1"/>
  <c r="O763" i="1"/>
  <c r="O461" i="1"/>
  <c r="O2448" i="1"/>
  <c r="O2333" i="1"/>
  <c r="O697" i="1"/>
  <c r="O1719" i="1"/>
  <c r="O2063" i="1"/>
  <c r="O1996" i="1"/>
  <c r="O1897" i="1"/>
  <c r="O1809" i="1"/>
  <c r="O1714" i="1"/>
  <c r="O1600" i="1"/>
  <c r="O1063" i="1"/>
  <c r="O1373" i="1"/>
  <c r="O764" i="1"/>
  <c r="O2371" i="1"/>
  <c r="O759" i="1"/>
  <c r="O1749" i="1"/>
  <c r="O1603" i="1"/>
  <c r="O1500" i="1"/>
  <c r="O1286" i="1"/>
  <c r="O1164" i="1"/>
  <c r="O989" i="1"/>
  <c r="O749" i="1"/>
  <c r="O431" i="1"/>
  <c r="O2163" i="1"/>
  <c r="O2332" i="1"/>
  <c r="O2256" i="1"/>
  <c r="O2183" i="1"/>
  <c r="O2061" i="1"/>
  <c r="O1986" i="1"/>
  <c r="O1896" i="1"/>
  <c r="O1518" i="1"/>
  <c r="O1698" i="1"/>
  <c r="O1599" i="1"/>
  <c r="O1473" i="1"/>
  <c r="O1371" i="1"/>
  <c r="O1112" i="1"/>
  <c r="O1124" i="1"/>
  <c r="O983" i="1"/>
  <c r="O724" i="1"/>
  <c r="O468" i="1"/>
  <c r="O1889" i="1"/>
  <c r="O1641" i="1"/>
  <c r="O2410" i="1"/>
  <c r="O1598" i="1"/>
  <c r="O2331" i="1"/>
  <c r="O1916" i="1"/>
  <c r="O931" i="1"/>
  <c r="O2092" i="1"/>
  <c r="O428" i="1"/>
  <c r="O2212" i="1"/>
  <c r="O2115" i="1"/>
  <c r="O1843" i="1"/>
  <c r="O1355" i="1"/>
  <c r="O1724" i="1"/>
  <c r="O1594" i="1"/>
  <c r="O1435" i="1"/>
  <c r="O878" i="1"/>
  <c r="O1055" i="1"/>
  <c r="O731" i="1"/>
  <c r="O437" i="1"/>
  <c r="O2457" i="1"/>
  <c r="O804" i="1"/>
  <c r="O1798" i="1"/>
  <c r="O1968" i="1"/>
  <c r="O527" i="1"/>
  <c r="O1498" i="1"/>
  <c r="O1591" i="1"/>
  <c r="O1434" i="1"/>
  <c r="O1240" i="1"/>
  <c r="O295" i="1"/>
  <c r="O889" i="1"/>
  <c r="O833" i="1"/>
  <c r="O348" i="1"/>
  <c r="O434" i="1"/>
  <c r="O290" i="1"/>
  <c r="O2455" i="1"/>
  <c r="O1419" i="1"/>
  <c r="O1205" i="1"/>
  <c r="O1228" i="1"/>
  <c r="O412" i="1"/>
  <c r="O2407" i="1"/>
  <c r="O583" i="1"/>
  <c r="O1459" i="1"/>
  <c r="O1593" i="1"/>
  <c r="O1503" i="1"/>
  <c r="O1608" i="1"/>
  <c r="O1750" i="1"/>
  <c r="O2346" i="1"/>
  <c r="O1043" i="1"/>
  <c r="O2134" i="1"/>
  <c r="O1277" i="1"/>
  <c r="O2148" i="1"/>
  <c r="O1902" i="1"/>
  <c r="O1993" i="1"/>
  <c r="O1161" i="1"/>
  <c r="O2168" i="1"/>
  <c r="O1367" i="1"/>
  <c r="O2354" i="1"/>
  <c r="O1854" i="1"/>
  <c r="O525" i="1"/>
  <c r="O1094" i="1"/>
  <c r="O2483" i="1"/>
  <c r="O1815" i="1"/>
  <c r="O1568" i="1"/>
  <c r="O274" i="1"/>
  <c r="O2012" i="1"/>
  <c r="O616" i="1"/>
  <c r="O832" i="1"/>
  <c r="O1521" i="1"/>
  <c r="O541" i="1"/>
  <c r="O1412" i="1"/>
  <c r="O247" i="1"/>
  <c r="O788" i="1"/>
  <c r="O857" i="1"/>
  <c r="O2363" i="1"/>
  <c r="O1479" i="1"/>
  <c r="O304" i="1"/>
  <c r="O280" i="1"/>
  <c r="O2476" i="1"/>
  <c r="O1991" i="1"/>
  <c r="O938" i="1"/>
  <c r="O1671" i="1"/>
  <c r="O1241" i="1"/>
  <c r="O2266" i="1"/>
  <c r="O1463" i="1"/>
  <c r="O273" i="1"/>
  <c r="O1952" i="1"/>
  <c r="O419" i="1"/>
  <c r="O1502" i="1"/>
  <c r="O2451" i="1"/>
  <c r="O2347" i="1"/>
  <c r="O1579" i="1"/>
  <c r="O2156" i="1"/>
  <c r="O1450" i="1"/>
  <c r="O2338" i="1"/>
  <c r="O1839" i="1"/>
  <c r="O82" i="1"/>
  <c r="O2035" i="1"/>
  <c r="O238" i="1"/>
  <c r="O1835" i="1"/>
  <c r="O2450" i="1"/>
  <c r="O1029" i="1"/>
  <c r="O446" i="1"/>
  <c r="O1105" i="1"/>
  <c r="O1427" i="1"/>
  <c r="O1318" i="1"/>
  <c r="O1919" i="1"/>
  <c r="O2187" i="1"/>
  <c r="O99" i="1"/>
  <c r="O1454" i="1"/>
  <c r="O2375" i="1"/>
  <c r="O2486" i="1"/>
  <c r="O2373" i="1"/>
  <c r="O1816" i="1"/>
  <c r="O2445" i="1"/>
  <c r="O1590" i="1"/>
  <c r="O2446" i="1"/>
  <c r="O1726" i="1"/>
  <c r="O2396" i="1"/>
  <c r="O1651" i="1"/>
  <c r="O2069" i="1"/>
  <c r="O955" i="1"/>
  <c r="O1985" i="1"/>
  <c r="O1119" i="1"/>
  <c r="O2141" i="1"/>
  <c r="O636" i="1"/>
  <c r="O2395" i="1"/>
  <c r="O1648" i="1"/>
  <c r="O2286" i="1"/>
  <c r="O1424" i="1"/>
  <c r="O448" i="1"/>
  <c r="O530" i="1"/>
  <c r="O1546" i="1"/>
  <c r="O454" i="1"/>
  <c r="O1146" i="1"/>
  <c r="O918" i="1"/>
  <c r="O772" i="1"/>
  <c r="O416" i="1"/>
  <c r="O1720" i="1"/>
  <c r="O2329" i="1"/>
  <c r="O1293" i="1"/>
  <c r="O2405" i="1"/>
  <c r="O1585" i="1"/>
  <c r="O919" i="1"/>
  <c r="O2089" i="1"/>
  <c r="O1091" i="1"/>
  <c r="O1508" i="1"/>
  <c r="O240" i="1"/>
  <c r="O2160" i="1"/>
  <c r="O1140" i="1"/>
  <c r="O1056" i="1"/>
  <c r="O2131" i="1"/>
  <c r="O633" i="1"/>
  <c r="O1697" i="1"/>
  <c r="O2271" i="1"/>
  <c r="O321" i="1"/>
  <c r="O2403" i="1"/>
  <c r="O1822" i="1"/>
  <c r="O791" i="1"/>
  <c r="O2462" i="1"/>
  <c r="O1633" i="1"/>
  <c r="O2308" i="1"/>
  <c r="O2095" i="1"/>
  <c r="O2299" i="1"/>
  <c r="O1492" i="1"/>
  <c r="O2060" i="1"/>
  <c r="O1257" i="1"/>
  <c r="O2220" i="1"/>
  <c r="O1066" i="1"/>
  <c r="O1973" i="1"/>
  <c r="O2477" i="1"/>
  <c r="O1273" i="1"/>
  <c r="O1208" i="1"/>
  <c r="O725" i="1"/>
  <c r="O2083" i="1"/>
  <c r="O925" i="1"/>
  <c r="O1456" i="1"/>
  <c r="O847" i="1"/>
  <c r="O1970" i="1"/>
  <c r="O2453" i="1"/>
  <c r="O1106" i="1"/>
  <c r="O2109" i="1"/>
  <c r="O334" i="1"/>
  <c r="O744" i="1"/>
  <c r="O1448" i="1"/>
  <c r="O474" i="1"/>
  <c r="O277" i="1"/>
  <c r="O1814" i="1"/>
  <c r="O2436" i="1"/>
  <c r="O1472" i="1"/>
  <c r="O2431" i="1"/>
  <c r="O1114" i="1"/>
  <c r="O2394" i="1"/>
  <c r="O1455" i="1"/>
  <c r="O2193" i="1"/>
  <c r="O1039" i="1"/>
  <c r="O2056" i="1"/>
  <c r="O709" i="1"/>
  <c r="O1778" i="1"/>
  <c r="O2429" i="1"/>
  <c r="O1909" i="1"/>
  <c r="O862" i="1"/>
  <c r="O899" i="1"/>
  <c r="O485" i="1"/>
  <c r="O1033" i="1"/>
  <c r="O877" i="1"/>
  <c r="O2107" i="1"/>
  <c r="O2146" i="1"/>
  <c r="O2443" i="1"/>
  <c r="O2006" i="1"/>
  <c r="O2078" i="1"/>
  <c r="O771" i="1"/>
  <c r="O1862" i="1"/>
  <c r="O2491" i="1"/>
  <c r="O2374" i="1"/>
  <c r="O2481" i="1"/>
  <c r="O1901" i="1"/>
  <c r="O747" i="1"/>
  <c r="O735" i="1"/>
  <c r="O449" i="1"/>
  <c r="O2013" i="1"/>
  <c r="O284" i="1"/>
  <c r="O1476" i="1"/>
  <c r="O2178" i="1"/>
  <c r="O1149" i="1"/>
  <c r="O1511" i="1"/>
  <c r="O1253" i="1"/>
  <c r="O2267" i="1"/>
  <c r="O1021" i="1"/>
  <c r="O233" i="1"/>
  <c r="O1887" i="1"/>
  <c r="O2459" i="1"/>
  <c r="O1199" i="1"/>
  <c r="O1842" i="1"/>
  <c r="O617" i="1"/>
  <c r="O639" i="1"/>
  <c r="O533" i="1"/>
  <c r="O757" i="1"/>
  <c r="O1532" i="1"/>
  <c r="O1041" i="1"/>
  <c r="O410" i="1"/>
  <c r="O1876" i="1"/>
  <c r="O714" i="1"/>
  <c r="O1793" i="1"/>
  <c r="O785" i="1"/>
  <c r="O2219" i="1"/>
  <c r="O1369" i="1"/>
  <c r="O1244" i="1"/>
  <c r="O1631" i="1"/>
  <c r="O2454" i="1"/>
  <c r="O1216" i="1"/>
  <c r="O2111" i="1"/>
  <c r="O1990" i="1"/>
  <c r="O915" i="1"/>
  <c r="O1917" i="1"/>
  <c r="O1099" i="1"/>
  <c r="O2139" i="1"/>
  <c r="O1604" i="1"/>
  <c r="O690" i="1"/>
  <c r="O2082" i="1"/>
  <c r="O379" i="1"/>
  <c r="O1955" i="1"/>
  <c r="O205" i="1"/>
  <c r="O680" i="1"/>
  <c r="O405" i="1"/>
  <c r="O1672" i="1"/>
  <c r="O1060" i="1"/>
  <c r="O1513" i="1"/>
  <c r="O1330" i="1"/>
  <c r="O1997" i="1"/>
  <c r="O997" i="1"/>
  <c r="O2173" i="1"/>
  <c r="O1541" i="1"/>
  <c r="O2197" i="1"/>
  <c r="O2300" i="1"/>
  <c r="O1817" i="1"/>
  <c r="O2070" i="1"/>
  <c r="O1280" i="1"/>
  <c r="O2255" i="1"/>
  <c r="O1461" i="1"/>
  <c r="O535" i="1"/>
  <c r="O1529" i="1"/>
  <c r="O1069" i="1"/>
  <c r="O2263" i="1"/>
  <c r="O1888" i="1"/>
  <c r="O2287" i="1"/>
  <c r="O1898" i="1"/>
  <c r="O734" i="1"/>
  <c r="O2052" i="1"/>
  <c r="O1211" i="1"/>
  <c r="O1699" i="1"/>
  <c r="O1494" i="1"/>
  <c r="O2262" i="1"/>
  <c r="O1954" i="1"/>
  <c r="O550" i="1"/>
  <c r="O2114" i="1"/>
  <c r="O1040" i="1"/>
  <c r="O1967" i="1"/>
  <c r="O1239" i="1"/>
  <c r="O73" i="1"/>
  <c r="O1686" i="1"/>
  <c r="O565" i="1"/>
  <c r="O2167" i="1"/>
  <c r="O1792" i="1"/>
  <c r="O1058" i="1"/>
  <c r="O407" i="1"/>
  <c r="O736" i="1"/>
  <c r="O2064" i="1"/>
  <c r="O1272" i="1"/>
  <c r="O2166" i="1"/>
  <c r="O1316" i="1"/>
  <c r="O2068" i="1"/>
  <c r="O1913" i="1"/>
  <c r="O341" i="1"/>
  <c r="O1966" i="1"/>
  <c r="O2270" i="1"/>
  <c r="O1469" i="1"/>
  <c r="O2239" i="1"/>
  <c r="O1562" i="1"/>
  <c r="O2404" i="1"/>
  <c r="O1942" i="1"/>
  <c r="O964" i="1"/>
  <c r="O2261" i="1"/>
  <c r="O1618" i="1"/>
  <c r="O1949" i="1"/>
  <c r="O970" i="1"/>
  <c r="O2110" i="1"/>
  <c r="O811" i="1"/>
  <c r="O1756" i="1"/>
  <c r="O1556" i="1"/>
  <c r="O2155" i="1"/>
  <c r="O1804" i="1"/>
  <c r="O406" i="1"/>
  <c r="O1098" i="1"/>
  <c r="O1810" i="1"/>
  <c r="O1818" i="1"/>
  <c r="O988" i="1"/>
  <c r="O1992" i="1"/>
  <c r="O354" i="1"/>
  <c r="O1285" i="1"/>
  <c r="O342" i="1"/>
  <c r="O1583" i="1"/>
  <c r="O813" i="1"/>
  <c r="O1008" i="1"/>
  <c r="O309" i="1"/>
  <c r="O860" i="1"/>
  <c r="O2359" i="1"/>
  <c r="O1589" i="1"/>
  <c r="O157" i="1"/>
  <c r="O1869" i="1"/>
  <c r="O951" i="1"/>
  <c r="O2140" i="1"/>
  <c r="O863" i="1"/>
  <c r="O570" i="1"/>
  <c r="O2036" i="1"/>
  <c r="O496" i="1"/>
  <c r="O1709" i="1"/>
  <c r="O812" i="1"/>
  <c r="O2472" i="1"/>
  <c r="O1701" i="1"/>
  <c r="O2328" i="1"/>
  <c r="O1348" i="1"/>
  <c r="O686" i="1"/>
  <c r="O2075" i="1"/>
  <c r="O1366" i="1"/>
  <c r="O2322" i="1"/>
  <c r="O1265" i="1"/>
  <c r="O2122" i="1"/>
  <c r="O797" i="1"/>
  <c r="O1317" i="1"/>
  <c r="O921" i="1"/>
  <c r="O1306" i="1"/>
  <c r="O2428" i="1"/>
  <c r="O1547" i="1"/>
  <c r="O1072" i="1"/>
  <c r="O2149" i="1"/>
  <c r="O1616" i="1"/>
  <c r="O1615" i="1"/>
  <c r="O2174" i="1"/>
  <c r="O851" i="1"/>
  <c r="O2437" i="1"/>
  <c r="O1458" i="1"/>
  <c r="O2406" i="1"/>
  <c r="O1844" i="1"/>
  <c r="O1231" i="1"/>
  <c r="O2324" i="1"/>
  <c r="O1836" i="1"/>
  <c r="O746" i="1"/>
  <c r="O2200" i="1"/>
  <c r="O1264" i="1"/>
  <c r="O2112" i="1"/>
  <c r="O935" i="1"/>
  <c r="O1270" i="1"/>
  <c r="O737" i="1"/>
  <c r="O793" i="1"/>
  <c r="O2099" i="1"/>
  <c r="O1611" i="1"/>
  <c r="O576" i="1"/>
  <c r="O692" i="1"/>
  <c r="O81" i="1"/>
  <c r="O2161" i="1"/>
  <c r="O1486" i="1"/>
  <c r="O2240" i="1"/>
  <c r="O1779" i="1"/>
  <c r="O350" i="1"/>
  <c r="O1702" i="1"/>
  <c r="O1061" i="1"/>
  <c r="O2132" i="1"/>
  <c r="O1874" i="1"/>
  <c r="O1050" i="1"/>
  <c r="O2066" i="1"/>
  <c r="O689" i="1"/>
  <c r="O318" i="1"/>
  <c r="O1866" i="1"/>
  <c r="O1261" i="1"/>
  <c r="O1420" i="1"/>
  <c r="O372" i="1"/>
  <c r="O1465" i="1"/>
  <c r="O182" i="1"/>
  <c r="O1452" i="1"/>
  <c r="O2054" i="1"/>
  <c r="O801" i="1"/>
  <c r="O1573" i="1"/>
  <c r="O130" i="1"/>
  <c r="O1962" i="1"/>
  <c r="O1464" i="1"/>
  <c r="O2433" i="1"/>
  <c r="O2278" i="1"/>
  <c r="O501" i="1"/>
  <c r="O1382" i="1"/>
  <c r="O2196" i="1"/>
  <c r="O1748" i="1"/>
  <c r="O986" i="1"/>
  <c r="O1746" i="1"/>
  <c r="O932" i="1"/>
  <c r="O2086" i="1"/>
  <c r="O831" i="1"/>
  <c r="O2360" i="1"/>
  <c r="O1487" i="1"/>
  <c r="O1566" i="1"/>
  <c r="O722" i="1"/>
  <c r="O1914" i="1"/>
  <c r="O646" i="1"/>
  <c r="O1340" i="1"/>
  <c r="O1248" i="1"/>
  <c r="O1225" i="1"/>
  <c r="O1682" i="1"/>
  <c r="O720" i="1"/>
  <c r="O2076" i="1"/>
  <c r="O1129" i="1"/>
  <c r="O2062" i="1"/>
  <c r="O1742" i="1"/>
  <c r="O2285" i="1"/>
  <c r="O1387" i="1"/>
  <c r="O907" i="1"/>
  <c r="O1813" i="1"/>
  <c r="O100" i="1"/>
  <c r="O1947" i="1"/>
  <c r="O948" i="1"/>
  <c r="O2218" i="1"/>
  <c r="O1715" i="1"/>
  <c r="O2393" i="1"/>
  <c r="O1864" i="1"/>
  <c r="O2049" i="1"/>
  <c r="O1177" i="1"/>
  <c r="O1376" i="1"/>
  <c r="O2384" i="1"/>
  <c r="O1570" i="1"/>
  <c r="O2341" i="1"/>
  <c r="O1300" i="1"/>
  <c r="O2204" i="1"/>
  <c r="O2366" i="1"/>
  <c r="O1484" i="1"/>
  <c r="O2276" i="1"/>
  <c r="O1509" i="1"/>
  <c r="O1000" i="1"/>
  <c r="O1911" i="1"/>
  <c r="O1994" i="1"/>
  <c r="O2195" i="1"/>
  <c r="O1747" i="1"/>
  <c r="O393" i="1"/>
  <c r="O1693" i="1"/>
  <c r="O1121" i="1"/>
  <c r="O2268" i="1"/>
  <c r="O1525" i="1"/>
  <c r="O2327" i="1"/>
  <c r="O1070" i="1"/>
  <c r="O2298" i="1"/>
  <c r="O1722" i="1"/>
  <c r="O2330" i="1"/>
  <c r="O1685" i="1"/>
  <c r="O2442" i="1"/>
  <c r="O582" i="1"/>
  <c r="O2091" i="1"/>
  <c r="O1718" i="1"/>
  <c r="O1654" i="1"/>
  <c r="O2165" i="1"/>
  <c r="O991" i="1"/>
  <c r="O70" i="1"/>
  <c r="O1178" i="1"/>
  <c r="O884" i="1"/>
  <c r="O2297" i="1"/>
  <c r="O1144" i="1"/>
  <c r="O941" i="1"/>
  <c r="O2254" i="1"/>
  <c r="O516" i="1"/>
  <c r="O2108" i="1"/>
  <c r="O2159" i="1"/>
  <c r="O2244" i="1"/>
  <c r="O1893" i="1"/>
  <c r="O999" i="1"/>
  <c r="O1474" i="1"/>
  <c r="O2230" i="1"/>
  <c r="O1209" i="1"/>
  <c r="O584" i="1"/>
  <c r="O282" i="1"/>
  <c r="O2438" i="1"/>
  <c r="O2351" i="1"/>
  <c r="O2272" i="1"/>
  <c r="O2215" i="1"/>
  <c r="O2123" i="1"/>
  <c r="O2057" i="1"/>
  <c r="O1976" i="1"/>
  <c r="O1328" i="1"/>
  <c r="O1763" i="1"/>
  <c r="O1657" i="1"/>
  <c r="O1501" i="1"/>
  <c r="O1017" i="1"/>
  <c r="O615" i="1"/>
  <c r="O885" i="1"/>
  <c r="O649" i="1"/>
  <c r="O2489" i="1"/>
  <c r="O2302" i="1"/>
  <c r="O1781" i="1"/>
  <c r="O2118" i="1"/>
  <c r="O1972" i="1"/>
  <c r="O1865" i="1"/>
  <c r="O1739" i="1"/>
  <c r="O1304" i="1"/>
  <c r="O1003" i="1"/>
  <c r="O1314" i="1"/>
  <c r="O1084" i="1"/>
  <c r="O37" i="1"/>
  <c r="O571" i="1"/>
  <c r="O2471" i="1"/>
  <c r="O2304" i="1"/>
  <c r="O532" i="1"/>
  <c r="O1670" i="1"/>
  <c r="O1482" i="1"/>
  <c r="O1291" i="1"/>
  <c r="O494" i="1"/>
  <c r="O1488" i="1"/>
  <c r="O1143" i="1"/>
  <c r="O429" i="1"/>
  <c r="O303" i="1"/>
  <c r="O133" i="1"/>
  <c r="O218" i="1"/>
  <c r="O418" i="1"/>
  <c r="O421" i="1"/>
  <c r="O2479" i="1"/>
  <c r="O2312" i="1"/>
  <c r="O2191" i="1"/>
  <c r="O2017" i="1"/>
  <c r="O1554" i="1"/>
  <c r="O977" i="1"/>
  <c r="O903" i="1"/>
  <c r="O1597" i="1"/>
  <c r="O1480" i="1"/>
  <c r="O1361" i="1"/>
  <c r="O865" i="1"/>
  <c r="O1100" i="1"/>
  <c r="O625" i="1"/>
  <c r="O509" i="1"/>
  <c r="O411" i="1"/>
  <c r="O440" i="1"/>
  <c r="O216" i="1"/>
  <c r="O2422" i="1"/>
  <c r="O1883" i="1"/>
  <c r="O597" i="1"/>
  <c r="O2030" i="1"/>
  <c r="O1772" i="1"/>
  <c r="O1034" i="1"/>
  <c r="O2344" i="1"/>
  <c r="O1989" i="1"/>
  <c r="O1812" i="1"/>
  <c r="O1258" i="1"/>
  <c r="O706" i="1"/>
  <c r="O2424" i="1"/>
  <c r="O2236" i="1"/>
  <c r="O1945" i="1"/>
  <c r="O1721" i="1"/>
  <c r="O873" i="1"/>
  <c r="O1089" i="1"/>
  <c r="O685" i="1"/>
  <c r="O2253" i="1"/>
  <c r="O1744" i="1"/>
  <c r="O2005" i="1"/>
  <c r="O1832" i="1"/>
  <c r="O1602" i="1"/>
  <c r="O1169" i="1"/>
  <c r="O718" i="1"/>
  <c r="O386" i="1"/>
  <c r="O83" i="1"/>
  <c r="O2318" i="1"/>
  <c r="O2081" i="1"/>
  <c r="O1130" i="1"/>
  <c r="O1711" i="1"/>
  <c r="O1607" i="1"/>
  <c r="O992" i="1"/>
  <c r="O694" i="1"/>
  <c r="O782" i="1"/>
  <c r="O464" i="1"/>
  <c r="O2440" i="1"/>
  <c r="O2284" i="1"/>
  <c r="O2177" i="1"/>
  <c r="O1385" i="1"/>
  <c r="O1716" i="1"/>
  <c r="O1801" i="1"/>
  <c r="O1694" i="1"/>
  <c r="O1577" i="1"/>
  <c r="O944" i="1"/>
  <c r="O361" i="1"/>
  <c r="O1025" i="1"/>
  <c r="O795" i="1"/>
  <c r="O179" i="1"/>
  <c r="O2430" i="1"/>
  <c r="O2242" i="1"/>
  <c r="O2079" i="1"/>
  <c r="O1580" i="1"/>
  <c r="O1429" i="1"/>
  <c r="O1669" i="1"/>
  <c r="O1564" i="1"/>
  <c r="O1218" i="1"/>
  <c r="O1224" i="1"/>
  <c r="O1076" i="1"/>
  <c r="O705" i="1"/>
  <c r="O109" i="1"/>
  <c r="O1398" i="1"/>
  <c r="O1175" i="1"/>
  <c r="O136" i="1"/>
  <c r="O2468" i="1"/>
  <c r="O2259" i="1"/>
  <c r="O2053" i="1"/>
  <c r="O1859" i="1"/>
  <c r="O1691" i="1"/>
  <c r="O909" i="1"/>
  <c r="O75" i="1"/>
  <c r="O2320" i="1"/>
  <c r="O2046" i="1"/>
  <c r="O1587" i="1"/>
  <c r="O1451" i="1"/>
  <c r="O901" i="1"/>
  <c r="O940" i="1"/>
  <c r="O349" i="1"/>
  <c r="O2335" i="1"/>
  <c r="O2203" i="1"/>
  <c r="O2072" i="1"/>
  <c r="O1904" i="1"/>
  <c r="O1713" i="1"/>
  <c r="O1453" i="1"/>
  <c r="O1032" i="1"/>
  <c r="O858" i="1"/>
  <c r="O564" i="1"/>
  <c r="O2392" i="1"/>
  <c r="O2260" i="1"/>
  <c r="O2130" i="1"/>
  <c r="O2034" i="1"/>
  <c r="O1860" i="1"/>
  <c r="O1449" i="1"/>
  <c r="O2444" i="1"/>
  <c r="O2343" i="1"/>
  <c r="O2258" i="1"/>
  <c r="O2158" i="1"/>
  <c r="O2042" i="1"/>
  <c r="O1958" i="1"/>
  <c r="O1850" i="1"/>
  <c r="O1791" i="1"/>
  <c r="O1689" i="1"/>
  <c r="O1558" i="1"/>
  <c r="O1447" i="1"/>
  <c r="O1250" i="1"/>
  <c r="O1077" i="1"/>
  <c r="O890" i="1"/>
  <c r="O703" i="1"/>
  <c r="O2490" i="1"/>
  <c r="O2421" i="1"/>
  <c r="O1943" i="1"/>
  <c r="O1900" i="1"/>
  <c r="O2145" i="1"/>
  <c r="O2045" i="1"/>
  <c r="O1934" i="1"/>
  <c r="O1847" i="1"/>
  <c r="O1522" i="1"/>
  <c r="O1403" i="1"/>
  <c r="O1552" i="1"/>
  <c r="O1131" i="1"/>
  <c r="O1090" i="1"/>
  <c r="O563" i="1"/>
  <c r="O2138" i="1"/>
  <c r="O2342" i="1"/>
  <c r="O2257" i="1"/>
  <c r="O2157" i="1"/>
  <c r="O2041" i="1"/>
  <c r="O1956" i="1"/>
  <c r="O1849" i="1"/>
  <c r="O1787" i="1"/>
  <c r="O1687" i="1"/>
  <c r="O1550" i="1"/>
  <c r="O1444" i="1"/>
  <c r="O1245" i="1"/>
  <c r="O1073" i="1"/>
  <c r="O868" i="1"/>
  <c r="O698" i="1"/>
  <c r="O2485" i="1"/>
  <c r="O2417" i="1"/>
  <c r="O2306" i="1"/>
  <c r="O1988" i="1"/>
  <c r="O2144" i="1"/>
  <c r="O2026" i="1"/>
  <c r="O1811" i="1"/>
  <c r="O1683" i="1"/>
  <c r="O1767" i="1"/>
  <c r="O1663" i="1"/>
  <c r="O1365" i="1"/>
  <c r="O1438" i="1"/>
  <c r="O1311" i="1"/>
  <c r="O1194" i="1"/>
  <c r="O2025" i="1"/>
  <c r="O1848" i="1"/>
  <c r="O1785" i="1"/>
  <c r="O1684" i="1"/>
  <c r="O1544" i="1"/>
  <c r="O1414" i="1"/>
  <c r="O1232" i="1"/>
  <c r="O855" i="1"/>
  <c r="O693" i="1"/>
  <c r="O2475" i="1"/>
  <c r="O1872" i="1"/>
  <c r="O1553" i="1"/>
  <c r="O1987" i="1"/>
  <c r="O2143" i="1"/>
  <c r="O1789" i="1"/>
  <c r="O1932" i="1"/>
  <c r="O1846" i="1"/>
  <c r="O1762" i="1"/>
  <c r="O1662" i="1"/>
  <c r="O1413" i="1"/>
  <c r="O1310" i="1"/>
  <c r="O1093" i="1"/>
  <c r="O1052" i="1"/>
  <c r="O852" i="1"/>
  <c r="O436" i="1"/>
  <c r="O193" i="1"/>
  <c r="O2416" i="1"/>
  <c r="O2400" i="1"/>
  <c r="O2319" i="1"/>
  <c r="O2247" i="1"/>
  <c r="O2194" i="1"/>
  <c r="O1930" i="1"/>
  <c r="O2051" i="1"/>
  <c r="O1983" i="1"/>
  <c r="O1586" i="1"/>
  <c r="O1820" i="1"/>
  <c r="O1439" i="1"/>
  <c r="O1148" i="1"/>
  <c r="O1426" i="1"/>
  <c r="O1329" i="1"/>
  <c r="O943" i="1"/>
  <c r="O1046" i="1"/>
  <c r="O825" i="1"/>
  <c r="O665" i="1"/>
  <c r="O495" i="1"/>
  <c r="O1921" i="1"/>
  <c r="O2389" i="1"/>
  <c r="O1491" i="1"/>
  <c r="O2250" i="1"/>
  <c r="O2128" i="1"/>
  <c r="O2071" i="1"/>
  <c r="O2018" i="1"/>
  <c r="O1935" i="1"/>
  <c r="O1830" i="1"/>
  <c r="O1695" i="1"/>
  <c r="O492" i="1"/>
  <c r="O1437" i="1"/>
  <c r="O711" i="1"/>
  <c r="O960" i="1"/>
  <c r="O728" i="1"/>
  <c r="O184" i="1"/>
  <c r="O2385" i="1"/>
  <c r="O2269" i="1"/>
  <c r="O2175" i="1"/>
  <c r="O2015" i="1"/>
  <c r="O1584" i="1"/>
  <c r="O2243" i="1"/>
  <c r="O1784" i="1"/>
  <c r="O1048" i="1"/>
  <c r="O2474" i="1"/>
  <c r="O2307" i="1"/>
  <c r="O2295" i="1"/>
  <c r="O2222" i="1"/>
  <c r="O2142" i="1"/>
  <c r="O2021" i="1"/>
  <c r="O1931" i="1"/>
  <c r="O1578" i="1"/>
  <c r="O1213" i="1"/>
  <c r="O1661" i="1"/>
  <c r="O965" i="1"/>
  <c r="O595" i="1"/>
  <c r="O1309" i="1"/>
  <c r="O1185" i="1"/>
  <c r="O1044" i="1"/>
  <c r="O830" i="1"/>
  <c r="O671" i="1"/>
  <c r="O2482" i="1"/>
  <c r="O2415" i="1"/>
  <c r="O2399" i="1"/>
  <c r="O2310" i="1"/>
  <c r="O2184" i="1"/>
  <c r="O2190" i="1"/>
  <c r="O2136" i="1"/>
  <c r="O2047" i="1"/>
  <c r="O1982" i="1"/>
  <c r="O1894" i="1"/>
  <c r="O1819" i="1"/>
  <c r="O1675" i="1"/>
  <c r="O1574" i="1"/>
  <c r="O1416" i="1"/>
  <c r="O1319" i="1"/>
  <c r="O846" i="1"/>
  <c r="O707" i="1"/>
  <c r="O824" i="1"/>
  <c r="O332" i="1"/>
  <c r="O197" i="1"/>
  <c r="O1251" i="1"/>
  <c r="O2388" i="1"/>
  <c r="O2291" i="1"/>
  <c r="O2238" i="1"/>
  <c r="O2127" i="1"/>
  <c r="O1517" i="1"/>
  <c r="O2011" i="1"/>
  <c r="O1927" i="1"/>
  <c r="O1531" i="1"/>
  <c r="O1431" i="1"/>
  <c r="O1151" i="1"/>
  <c r="O959" i="1"/>
  <c r="O727" i="1"/>
  <c r="O360" i="1"/>
  <c r="O2369" i="1"/>
  <c r="O2008" i="1"/>
  <c r="O2121" i="1"/>
  <c r="O2210" i="1"/>
  <c r="O2432" i="1"/>
  <c r="O2024" i="1"/>
  <c r="O1676" i="1"/>
  <c r="O1223" i="1"/>
  <c r="O2231" i="1"/>
  <c r="O1829" i="1"/>
  <c r="O1542" i="1"/>
  <c r="O829" i="1"/>
  <c r="O609" i="1"/>
  <c r="O2473" i="1"/>
  <c r="O2372" i="1"/>
  <c r="O2294" i="1"/>
  <c r="O1160" i="1"/>
  <c r="O2087" i="1"/>
  <c r="O2016" i="1"/>
  <c r="O1263" i="1"/>
  <c r="O1834" i="1"/>
  <c r="O1752" i="1"/>
  <c r="O1370" i="1"/>
  <c r="O1499" i="1"/>
  <c r="O1408" i="1"/>
  <c r="O1281" i="1"/>
  <c r="O1171" i="1"/>
  <c r="O1042" i="1"/>
  <c r="O619" i="1"/>
  <c r="O670" i="1"/>
  <c r="O1723" i="1"/>
  <c r="O2414" i="1"/>
  <c r="O2383" i="1"/>
  <c r="O1262" i="1"/>
  <c r="O2245" i="1"/>
  <c r="O1320" i="1"/>
  <c r="O2135" i="1"/>
  <c r="O2044" i="1"/>
  <c r="O1981" i="1"/>
  <c r="O1634" i="1"/>
  <c r="O1808" i="1"/>
  <c r="O1011" i="1"/>
  <c r="O887" i="1"/>
  <c r="O1411" i="1"/>
  <c r="O1120" i="1"/>
  <c r="O1173" i="1"/>
  <c r="O1028" i="1"/>
  <c r="O803" i="1"/>
  <c r="O414" i="1"/>
  <c r="O477" i="1"/>
  <c r="O1758" i="1"/>
  <c r="O2387" i="1"/>
  <c r="O2290" i="1"/>
  <c r="O933" i="1"/>
  <c r="O2126" i="1"/>
  <c r="O1868" i="1"/>
  <c r="O1704" i="1"/>
  <c r="O1926" i="1"/>
  <c r="O1803" i="1"/>
  <c r="O1688" i="1"/>
  <c r="O1417" i="1"/>
  <c r="O1147" i="1"/>
  <c r="O930" i="1"/>
  <c r="O555" i="1"/>
  <c r="O159" i="1"/>
  <c r="O2362" i="1"/>
  <c r="O1333" i="1"/>
  <c r="O2120" i="1"/>
  <c r="O748" i="1"/>
  <c r="O1910" i="1"/>
  <c r="O1755" i="1"/>
  <c r="O1201" i="1"/>
  <c r="O962" i="1"/>
  <c r="O1326" i="1"/>
  <c r="O402" i="1"/>
  <c r="O2334" i="1"/>
  <c r="O1944" i="1"/>
  <c r="O1543" i="1"/>
  <c r="O679" i="1"/>
  <c r="O2153" i="1"/>
  <c r="O1939" i="1"/>
  <c r="O1668" i="1"/>
  <c r="O1012" i="1"/>
  <c r="O2420" i="1"/>
  <c r="O2325" i="1"/>
  <c r="O2225" i="1"/>
  <c r="O2152" i="1"/>
  <c r="O2019" i="1"/>
  <c r="O1936" i="1"/>
  <c r="O1828" i="1"/>
  <c r="O1768" i="1"/>
  <c r="O1665" i="1"/>
  <c r="O1528" i="1"/>
  <c r="O1386" i="1"/>
  <c r="O1219" i="1"/>
  <c r="O1007" i="1"/>
  <c r="O807" i="1"/>
  <c r="O572" i="1"/>
  <c r="O2467" i="1"/>
  <c r="O2296" i="1"/>
  <c r="O2147" i="1"/>
  <c r="O2221" i="1"/>
  <c r="O2085" i="1"/>
  <c r="O1775" i="1"/>
  <c r="O1906" i="1"/>
  <c r="O1833" i="1"/>
  <c r="O1745" i="1"/>
  <c r="O1636" i="1"/>
  <c r="O1276" i="1"/>
  <c r="O1390" i="1"/>
  <c r="O1279" i="1"/>
  <c r="O1168" i="1"/>
  <c r="O1024" i="1"/>
  <c r="O607" i="1"/>
  <c r="O648" i="1"/>
  <c r="O2464" i="1"/>
  <c r="O2413" i="1"/>
  <c r="O2382" i="1"/>
  <c r="O2043" i="1"/>
  <c r="O2234" i="1"/>
  <c r="O2188" i="1"/>
  <c r="O1743" i="1"/>
  <c r="O2040" i="1"/>
  <c r="O1980" i="1"/>
  <c r="O1807" i="1"/>
  <c r="O1214" i="1"/>
  <c r="O1557" i="1"/>
  <c r="O511" i="1"/>
  <c r="O1301" i="1"/>
  <c r="O1163" i="1"/>
  <c r="O1027" i="1"/>
  <c r="O802" i="1"/>
  <c r="O645" i="1"/>
  <c r="O91" i="1"/>
  <c r="O2452" i="1"/>
  <c r="O2386" i="1"/>
  <c r="O2217" i="1"/>
  <c r="O1891" i="1"/>
  <c r="O2067" i="1"/>
  <c r="O287" i="1"/>
  <c r="O1925" i="1"/>
  <c r="O1782" i="1"/>
  <c r="O390" i="1"/>
  <c r="O1410" i="1"/>
  <c r="O1407" i="1"/>
  <c r="O1139" i="1"/>
  <c r="O369" i="1"/>
  <c r="O667" i="1"/>
  <c r="O268" i="1"/>
  <c r="O2357" i="1"/>
  <c r="O1727" i="1"/>
  <c r="O2119" i="1"/>
  <c r="O2003" i="1"/>
  <c r="O1908" i="1"/>
  <c r="O1764" i="1"/>
  <c r="O904" i="1"/>
  <c r="O1117" i="1"/>
  <c r="O1406" i="1"/>
  <c r="O2426" i="1"/>
  <c r="O2022" i="1"/>
  <c r="O1404" i="1"/>
  <c r="O2014" i="1"/>
  <c r="O1827" i="1"/>
  <c r="O1754" i="1"/>
  <c r="O1526" i="1"/>
  <c r="O1200" i="1"/>
  <c r="O796" i="1"/>
  <c r="O2466" i="1"/>
  <c r="O2162" i="1"/>
  <c r="O2084" i="1"/>
  <c r="O1649" i="1"/>
  <c r="O1728" i="1"/>
  <c r="O1635" i="1"/>
  <c r="O912" i="1"/>
  <c r="O1157" i="1"/>
  <c r="O156" i="1"/>
  <c r="O2235" i="1"/>
  <c r="O2378" i="1"/>
  <c r="O2233" i="1"/>
  <c r="O1308" i="1"/>
  <c r="O2039" i="1"/>
  <c r="O1979" i="1"/>
  <c r="O1892" i="1"/>
  <c r="O1806" i="1"/>
  <c r="O1659" i="1"/>
  <c r="O1296" i="1"/>
  <c r="O1255" i="1"/>
  <c r="O1080" i="1"/>
  <c r="O777" i="1"/>
  <c r="O554" i="1"/>
  <c r="O634" i="1"/>
  <c r="O425" i="1"/>
  <c r="O2447" i="1"/>
  <c r="O2377" i="1"/>
  <c r="O1650" i="1"/>
  <c r="O2216" i="1"/>
  <c r="O2125" i="1"/>
  <c r="O1690" i="1"/>
  <c r="O1978" i="1"/>
  <c r="O1692" i="1"/>
  <c r="O1771" i="1"/>
  <c r="O1681" i="1"/>
  <c r="O1334" i="1"/>
  <c r="O1402" i="1"/>
  <c r="O1138" i="1"/>
  <c r="O760" i="1"/>
  <c r="O524" i="1"/>
  <c r="O167" i="1"/>
  <c r="O814" i="1"/>
  <c r="O968" i="1"/>
  <c r="O1948" i="1"/>
  <c r="O2154" i="1"/>
  <c r="O1837" i="1"/>
  <c r="O840" i="1"/>
  <c r="O2326" i="1"/>
  <c r="O1773" i="1"/>
  <c r="O1222" i="1"/>
  <c r="O2419" i="1"/>
  <c r="O2314" i="1"/>
  <c r="O2224" i="1"/>
  <c r="O2151" i="1"/>
  <c r="O1933" i="1"/>
  <c r="O1644" i="1"/>
  <c r="O1374" i="1"/>
  <c r="O1002" i="1"/>
  <c r="O556" i="1"/>
  <c r="O2348" i="1"/>
  <c r="O2201" i="1"/>
  <c r="O1132" i="1"/>
  <c r="O1823" i="1"/>
  <c r="O1490" i="1"/>
  <c r="O892" i="1"/>
  <c r="O880" i="1"/>
  <c r="O311" i="1"/>
  <c r="O2412" i="1"/>
  <c r="O2293" i="1"/>
  <c r="O2186" i="1"/>
  <c r="O2493" i="1"/>
  <c r="O2380" i="1"/>
  <c r="O2313" i="1"/>
  <c r="O2223" i="1"/>
  <c r="O2150" i="1"/>
  <c r="O2009" i="1"/>
  <c r="O1922" i="1"/>
  <c r="O1824" i="1"/>
  <c r="O1751" i="1"/>
  <c r="O1642" i="1"/>
  <c r="O1516" i="1"/>
  <c r="O1354" i="1"/>
  <c r="O1189" i="1"/>
  <c r="O1001" i="1"/>
  <c r="O779" i="1"/>
  <c r="O508" i="1"/>
  <c r="O2465" i="1"/>
  <c r="O1242" i="1"/>
  <c r="O2275" i="1"/>
  <c r="O1871" i="1"/>
  <c r="O1938" i="1"/>
  <c r="O2002" i="1"/>
  <c r="O1903" i="1"/>
  <c r="O1821" i="1"/>
  <c r="O1639" i="1"/>
  <c r="O1621" i="1"/>
  <c r="O1485" i="1"/>
  <c r="O1254" i="1"/>
  <c r="O1275" i="1"/>
  <c r="O1133" i="1"/>
  <c r="O2336" i="1"/>
  <c r="O146" i="1"/>
  <c r="O2205" i="1"/>
  <c r="O2102" i="1"/>
  <c r="O1432" i="1"/>
  <c r="O1054" i="1"/>
  <c r="O1019" i="1"/>
  <c r="O1506" i="1"/>
  <c r="O1226" i="1"/>
  <c r="O972" i="1"/>
  <c r="O214" i="1"/>
  <c r="O1013" i="1"/>
  <c r="O138" i="1"/>
  <c r="O1305" i="1"/>
  <c r="O1005" i="1"/>
  <c r="O973" i="1"/>
  <c r="O1246" i="1"/>
  <c r="O1349" i="1"/>
  <c r="O1303" i="1"/>
  <c r="O528" i="1"/>
  <c r="O105" i="1"/>
  <c r="O441" i="1"/>
  <c r="O568" i="1"/>
  <c r="O293" i="1"/>
  <c r="O380" i="1"/>
  <c r="O271" i="1"/>
  <c r="O392" i="1"/>
  <c r="O381" i="1"/>
  <c r="O826" i="1"/>
  <c r="O367" i="1"/>
  <c r="O491" i="1"/>
  <c r="O204" i="1"/>
  <c r="O475" i="1"/>
  <c r="O272" i="1"/>
  <c r="O375" i="1"/>
  <c r="O253" i="1"/>
  <c r="O180" i="1"/>
  <c r="O362" i="1"/>
  <c r="O86" i="1"/>
  <c r="O57" i="1"/>
  <c r="O44" i="1"/>
  <c r="O113" i="1"/>
  <c r="O38" i="1"/>
  <c r="O1259" i="1"/>
  <c r="O1125" i="1"/>
  <c r="O984" i="1"/>
  <c r="O762" i="1"/>
  <c r="O486" i="1"/>
  <c r="O2461" i="1"/>
  <c r="O2409" i="1"/>
  <c r="O2361" i="1"/>
  <c r="O1905" i="1"/>
  <c r="O2229" i="1"/>
  <c r="O2170" i="1"/>
  <c r="O2133" i="1"/>
  <c r="O2037" i="1"/>
  <c r="O1940" i="1"/>
  <c r="O1861" i="1"/>
  <c r="O1759" i="1"/>
  <c r="O1443" i="1"/>
  <c r="O1540" i="1"/>
  <c r="O1389" i="1"/>
  <c r="O700" i="1"/>
  <c r="O1088" i="1"/>
  <c r="O346" i="1"/>
  <c r="O745" i="1"/>
  <c r="O588" i="1"/>
  <c r="O327" i="1"/>
  <c r="O2398" i="1"/>
  <c r="O2345" i="1"/>
  <c r="O2265" i="1"/>
  <c r="O1918" i="1"/>
  <c r="O2094" i="1"/>
  <c r="O2055" i="1"/>
  <c r="O1975" i="1"/>
  <c r="O1890" i="1"/>
  <c r="O1760" i="1"/>
  <c r="O1656" i="1"/>
  <c r="O1495" i="1"/>
  <c r="O1359" i="1"/>
  <c r="O1107" i="1"/>
  <c r="O789" i="1"/>
  <c r="O635" i="1"/>
  <c r="O2488" i="1"/>
  <c r="O2289" i="1"/>
  <c r="O2214" i="1"/>
  <c r="O2117" i="1"/>
  <c r="O1971" i="1"/>
  <c r="O1858" i="1"/>
  <c r="O1738" i="1"/>
  <c r="O1229" i="1"/>
  <c r="O1442" i="1"/>
  <c r="O1307" i="1"/>
  <c r="O683" i="1"/>
  <c r="O896" i="1"/>
  <c r="O281" i="1"/>
  <c r="O2469" i="1"/>
  <c r="O2281" i="1"/>
  <c r="O900" i="1"/>
  <c r="O939" i="1"/>
  <c r="O1885" i="1"/>
  <c r="O1717" i="1"/>
  <c r="O1605" i="1"/>
  <c r="O721" i="1"/>
  <c r="O1283" i="1"/>
  <c r="O400" i="1"/>
  <c r="O1610" i="1"/>
  <c r="O2460" i="1"/>
  <c r="O2408" i="1"/>
  <c r="O2358" i="1"/>
  <c r="O2065" i="1"/>
  <c r="O2228" i="1"/>
  <c r="O1825" i="1"/>
  <c r="O2090" i="1"/>
  <c r="O1845" i="1"/>
  <c r="O1928" i="1"/>
  <c r="O1560" i="1"/>
  <c r="O469" i="1"/>
  <c r="O1623" i="1"/>
  <c r="O1530" i="1"/>
  <c r="O1381" i="1"/>
  <c r="O1288" i="1"/>
  <c r="O740" i="1"/>
  <c r="O715" i="1"/>
  <c r="O742" i="1"/>
  <c r="O579" i="1"/>
  <c r="O143" i="1"/>
  <c r="O2397" i="1"/>
  <c r="O2337" i="1"/>
  <c r="O2264" i="1"/>
  <c r="O2182" i="1"/>
  <c r="O2093" i="1"/>
  <c r="O1548" i="1"/>
  <c r="O1974" i="1"/>
  <c r="O1757" i="1"/>
  <c r="O1655" i="1"/>
  <c r="O1483" i="1"/>
  <c r="O1339" i="1"/>
  <c r="O1087" i="1"/>
  <c r="O780" i="1"/>
  <c r="O614" i="1"/>
  <c r="O2288" i="1"/>
  <c r="O937" i="1"/>
  <c r="O756" i="1"/>
  <c r="O1142" i="1"/>
  <c r="O946" i="1"/>
  <c r="O849" i="1"/>
  <c r="O244" i="1"/>
  <c r="O613" i="1"/>
  <c r="O61" i="1"/>
  <c r="O2470" i="1"/>
  <c r="O2303" i="1"/>
  <c r="O2180" i="1"/>
  <c r="O1790" i="1"/>
  <c r="O1388" i="1"/>
  <c r="O308" i="1"/>
  <c r="O1705" i="1"/>
  <c r="O1274" i="1"/>
  <c r="O872" i="1"/>
  <c r="O1350" i="1"/>
  <c r="O766" i="1"/>
  <c r="O1079" i="1"/>
  <c r="O420" i="1"/>
  <c r="O805" i="1"/>
  <c r="O677" i="1"/>
  <c r="O258" i="1"/>
  <c r="O24" i="1"/>
  <c r="O2277" i="1"/>
  <c r="O1679" i="1"/>
  <c r="O1796" i="1"/>
  <c r="O2101" i="1"/>
  <c r="O1477" i="1"/>
  <c r="O1053" i="1"/>
  <c r="O333" i="1"/>
  <c r="O1612" i="1"/>
  <c r="O222" i="1"/>
  <c r="O967" i="1"/>
  <c r="O1638" i="1"/>
  <c r="O850" i="1"/>
  <c r="O1533" i="1"/>
  <c r="O879" i="1"/>
  <c r="O806" i="1"/>
  <c r="O787" i="1"/>
  <c r="O893" i="1"/>
  <c r="O1018" i="1"/>
  <c r="O650" i="1"/>
  <c r="O398" i="1"/>
  <c r="O578" i="1"/>
  <c r="O640" i="1"/>
  <c r="O178" i="1"/>
  <c r="O866" i="1"/>
  <c r="O404" i="1"/>
  <c r="O864" i="1"/>
  <c r="O409" i="1"/>
  <c r="O743" i="1"/>
  <c r="O236" i="1"/>
  <c r="O294" i="1"/>
  <c r="O482" i="1"/>
  <c r="O230" i="1"/>
  <c r="O118" i="1"/>
  <c r="O465" i="1"/>
  <c r="O188" i="1"/>
  <c r="O103" i="1"/>
  <c r="O124" i="1"/>
  <c r="O250" i="1"/>
  <c r="O164" i="1"/>
  <c r="O121" i="1"/>
  <c r="O11" i="1"/>
  <c r="O2484" i="1"/>
  <c r="O2213" i="1"/>
  <c r="O2116" i="1"/>
  <c r="O1741" i="1"/>
  <c r="O1857" i="1"/>
  <c r="O417" i="1"/>
  <c r="O1284" i="1"/>
  <c r="O1441" i="1"/>
  <c r="O403" i="1"/>
  <c r="O596" i="1"/>
  <c r="O424" i="1"/>
  <c r="O510" i="1"/>
  <c r="O2458" i="1"/>
  <c r="O2181" i="1"/>
  <c r="O2113" i="1"/>
  <c r="O1999" i="1"/>
  <c r="O1347" i="1"/>
  <c r="O786" i="1"/>
  <c r="O1015" i="1"/>
  <c r="O450" i="1"/>
  <c r="O219" i="1"/>
  <c r="O1313" i="1"/>
  <c r="O1601" i="1"/>
  <c r="O641" i="1"/>
  <c r="O602" i="1"/>
  <c r="O684" i="1"/>
  <c r="O312" i="1"/>
  <c r="O2423" i="1"/>
  <c r="O2402" i="1"/>
  <c r="O1783" i="1"/>
  <c r="O2077" i="1"/>
  <c r="O2202" i="1"/>
  <c r="O603" i="1"/>
  <c r="O2004" i="1"/>
  <c r="O1667" i="1"/>
  <c r="O1831" i="1"/>
  <c r="O1712" i="1"/>
  <c r="O1372" i="1"/>
  <c r="O922" i="1"/>
  <c r="O1092" i="1"/>
  <c r="O1193" i="1"/>
  <c r="O1047" i="1"/>
  <c r="O854" i="1"/>
  <c r="O676" i="1"/>
  <c r="O522" i="1"/>
  <c r="O35" i="1"/>
  <c r="O2391" i="1"/>
  <c r="O2311" i="1"/>
  <c r="O2050" i="1"/>
  <c r="O1766" i="1"/>
  <c r="O2080" i="1"/>
  <c r="O1805" i="1"/>
  <c r="O1700" i="1"/>
  <c r="O1852" i="1"/>
  <c r="O1710" i="1"/>
  <c r="O1572" i="1"/>
  <c r="O950" i="1"/>
  <c r="O726" i="1"/>
  <c r="O1014" i="1"/>
  <c r="O751" i="1"/>
  <c r="O343" i="1"/>
  <c r="O2435" i="1"/>
  <c r="O2283" i="1"/>
  <c r="O558" i="1"/>
  <c r="O2032" i="1"/>
  <c r="O512" i="1"/>
  <c r="O1800" i="1"/>
  <c r="O1436" i="1"/>
  <c r="O765" i="1"/>
  <c r="O1358" i="1"/>
  <c r="O1009" i="1"/>
  <c r="O630" i="1"/>
  <c r="O784" i="1"/>
  <c r="O399" i="1"/>
  <c r="O2381" i="1"/>
  <c r="O663" i="1"/>
  <c r="O2059" i="1"/>
  <c r="O1946" i="1"/>
  <c r="O1613" i="1"/>
  <c r="O1057" i="1"/>
  <c r="O859" i="1"/>
  <c r="O682" i="1"/>
  <c r="O226" i="1"/>
  <c r="O2418" i="1"/>
  <c r="O2401" i="1"/>
  <c r="O1440" i="1"/>
  <c r="O2252" i="1"/>
  <c r="O2199" i="1"/>
  <c r="O2137" i="1"/>
  <c r="O1569" i="1"/>
  <c r="O1998" i="1"/>
  <c r="O1895" i="1"/>
  <c r="O1826" i="1"/>
  <c r="O202" i="1"/>
  <c r="O1595" i="1"/>
  <c r="O1167" i="1"/>
  <c r="O624" i="1"/>
  <c r="O767" i="1"/>
  <c r="O975" i="1"/>
  <c r="O845" i="1"/>
  <c r="O668" i="1"/>
  <c r="O540" i="1"/>
  <c r="O12" i="1"/>
  <c r="O2390" i="1"/>
  <c r="O2305" i="1"/>
  <c r="O2251" i="1"/>
  <c r="O2129" i="1"/>
  <c r="O2073" i="1"/>
  <c r="O2033" i="1"/>
  <c r="O1941" i="1"/>
  <c r="O1271" i="1"/>
  <c r="O1703" i="1"/>
  <c r="O1565" i="1"/>
  <c r="O1267" i="1"/>
  <c r="O823" i="1"/>
  <c r="O963" i="1"/>
  <c r="O656" i="1"/>
  <c r="O95" i="1"/>
  <c r="O2427" i="1"/>
  <c r="O2282" i="1"/>
  <c r="O1523" i="1"/>
  <c r="O1327" i="1"/>
  <c r="O1937" i="1"/>
  <c r="O1799" i="1"/>
  <c r="O1674" i="1"/>
  <c r="O1539" i="1"/>
  <c r="O1352" i="1"/>
  <c r="O773" i="1"/>
  <c r="O981" i="1"/>
  <c r="O770" i="1"/>
  <c r="O339" i="1"/>
  <c r="O2370" i="1"/>
  <c r="O1969" i="1"/>
  <c r="O1247" i="1"/>
  <c r="O1606" i="1"/>
  <c r="O1797" i="1"/>
  <c r="O1652" i="1"/>
  <c r="O1415" i="1"/>
  <c r="O1031" i="1"/>
  <c r="O835" i="1"/>
  <c r="O1786" i="1"/>
  <c r="O1666" i="1"/>
  <c r="O1067" i="1"/>
  <c r="O666" i="1"/>
  <c r="O326" i="1"/>
  <c r="O688" i="1"/>
  <c r="O719" i="1"/>
  <c r="O306" i="1"/>
  <c r="O1156" i="1"/>
  <c r="O2211" i="1"/>
  <c r="O1953" i="1"/>
  <c r="O1680" i="1"/>
  <c r="O1154" i="1"/>
  <c r="O1401" i="1"/>
  <c r="O1368" i="1"/>
  <c r="O1176" i="1"/>
  <c r="O1207" i="1"/>
  <c r="O241" i="1"/>
  <c r="O166" i="1"/>
  <c r="O466" i="1"/>
  <c r="O476" i="1"/>
  <c r="O503" i="1"/>
  <c r="O221" i="1"/>
  <c r="O2355" i="1"/>
  <c r="O2241" i="1"/>
  <c r="O2104" i="1"/>
  <c r="O1774" i="1"/>
  <c r="O1841" i="1"/>
  <c r="O1734" i="1"/>
  <c r="O1645" i="1"/>
  <c r="O1071" i="1"/>
  <c r="O523" i="1"/>
  <c r="O1290" i="1"/>
  <c r="O994" i="1"/>
  <c r="O695" i="1"/>
  <c r="O837" i="1"/>
  <c r="O551" i="1"/>
  <c r="O566" i="1"/>
  <c r="O102" i="1"/>
  <c r="O8" i="1"/>
  <c r="O2315" i="1"/>
  <c r="O934" i="1"/>
  <c r="O2185" i="1"/>
  <c r="O2088" i="1"/>
  <c r="O1036" i="1"/>
  <c r="O1881" i="1"/>
  <c r="O1840" i="1"/>
  <c r="O1418" i="1"/>
  <c r="O347" i="1"/>
  <c r="O1030" i="1"/>
  <c r="O1677" i="1"/>
  <c r="O1379" i="1"/>
  <c r="O1197" i="1"/>
  <c r="O279" i="1"/>
  <c r="O1470" i="1"/>
  <c r="O1422" i="1"/>
  <c r="O928" i="1"/>
  <c r="O643" i="1"/>
  <c r="O1268" i="1"/>
  <c r="O256" i="1"/>
  <c r="O669" i="1"/>
  <c r="O1145" i="1"/>
  <c r="O1038" i="1"/>
  <c r="O401" i="1"/>
  <c r="O957" i="1"/>
  <c r="O911" i="1"/>
  <c r="O457" i="1"/>
  <c r="O383" i="1"/>
  <c r="O514" i="1"/>
  <c r="O141" i="1"/>
  <c r="O94" i="1"/>
  <c r="O498" i="1"/>
  <c r="O1561" i="1"/>
  <c r="O2007" i="1"/>
  <c r="O1181" i="1"/>
  <c r="O25" i="1"/>
  <c r="O1466" i="1"/>
  <c r="O443" i="1"/>
  <c r="O1302" i="1"/>
  <c r="O1115" i="1"/>
  <c r="O947" i="1"/>
  <c r="O473" i="1"/>
  <c r="O176" i="1"/>
  <c r="O2356" i="1"/>
  <c r="O2031" i="1"/>
  <c r="O750" i="1"/>
  <c r="O1776" i="1"/>
  <c r="O1609" i="1"/>
  <c r="O1551" i="1"/>
  <c r="O1155" i="1"/>
  <c r="O1198" i="1"/>
  <c r="O730" i="1"/>
  <c r="O891" i="1"/>
  <c r="O249" i="1"/>
  <c r="O632" i="1"/>
  <c r="O189" i="1"/>
  <c r="O174" i="1"/>
  <c r="O1788" i="1"/>
  <c r="O2048" i="1"/>
  <c r="O2103" i="1"/>
  <c r="O1538" i="1"/>
  <c r="O1510" i="1"/>
  <c r="O1497" i="1"/>
  <c r="O1166" i="1"/>
  <c r="O1202" i="1"/>
  <c r="O741" i="1"/>
  <c r="O1083" i="1"/>
  <c r="O810" i="1"/>
  <c r="O553" i="1"/>
  <c r="O754" i="1"/>
  <c r="O263" i="1"/>
  <c r="O225" i="1"/>
  <c r="O245" i="1"/>
  <c r="O2487" i="1"/>
  <c r="O1256" i="1"/>
  <c r="O783" i="1"/>
  <c r="O895" i="1"/>
  <c r="O1505" i="1"/>
  <c r="O1959" i="1"/>
  <c r="O1880" i="1"/>
  <c r="O1356" i="1"/>
  <c r="O1375" i="1"/>
  <c r="O1445" i="1"/>
  <c r="O708" i="1"/>
  <c r="O1215" i="1"/>
  <c r="O820" i="1"/>
  <c r="O519" i="1"/>
  <c r="O752" i="1"/>
  <c r="O1468" i="1"/>
  <c r="O1405" i="1"/>
  <c r="O359" i="1"/>
  <c r="O260" i="1"/>
  <c r="O1266" i="1"/>
  <c r="O1221" i="1"/>
  <c r="O781" i="1"/>
  <c r="O237" i="1"/>
  <c r="O344" i="1"/>
  <c r="O996" i="1"/>
  <c r="O953" i="1"/>
  <c r="O500" i="1"/>
  <c r="O876" i="1"/>
  <c r="O644" i="1"/>
  <c r="O658" i="1"/>
  <c r="O358" i="1"/>
  <c r="O199" i="1"/>
  <c r="O455" i="1"/>
  <c r="O172" i="1"/>
  <c r="O257" i="1"/>
  <c r="O68" i="1"/>
  <c r="O232" i="1"/>
  <c r="O147" i="1"/>
  <c r="O307" i="1"/>
  <c r="O269" i="1"/>
  <c r="O53" i="1"/>
  <c r="O39" i="1"/>
  <c r="O16" i="1"/>
  <c r="O926" i="1"/>
  <c r="O562" i="1"/>
  <c r="O152" i="1"/>
  <c r="O2352" i="1"/>
  <c r="O2209" i="1"/>
  <c r="O1924" i="1"/>
  <c r="O1195" i="1"/>
  <c r="O1363" i="1"/>
  <c r="O1026" i="1"/>
  <c r="O1159" i="1"/>
  <c r="O1204" i="1"/>
  <c r="O1196" i="1"/>
  <c r="O299" i="1"/>
  <c r="O827" i="1"/>
  <c r="O691" i="1"/>
  <c r="O323" i="1"/>
  <c r="O302" i="1"/>
  <c r="O55" i="1"/>
  <c r="O2353" i="1"/>
  <c r="O753" i="1"/>
  <c r="O2074" i="1"/>
  <c r="O1923" i="1"/>
  <c r="O1101" i="1"/>
  <c r="O1158" i="1"/>
  <c r="O1626" i="1"/>
  <c r="O1282" i="1"/>
  <c r="O328" i="1"/>
  <c r="O1278" i="1"/>
  <c r="O979" i="1"/>
  <c r="O699" i="1"/>
  <c r="O822" i="1"/>
  <c r="O713" i="1"/>
  <c r="O239" i="1"/>
  <c r="O78" i="1"/>
  <c r="O2478" i="1"/>
  <c r="O442" i="1"/>
  <c r="O2227" i="1"/>
  <c r="O2179" i="1"/>
  <c r="O1951" i="1"/>
  <c r="O1957" i="1"/>
  <c r="O1879" i="1"/>
  <c r="O1220" i="1"/>
  <c r="O1227" i="1"/>
  <c r="O384" i="1"/>
  <c r="O1190" i="1"/>
  <c r="O1563" i="1"/>
  <c r="O231" i="1"/>
  <c r="O841" i="1"/>
  <c r="O1287" i="1"/>
  <c r="O974" i="1"/>
  <c r="O1397" i="1"/>
  <c r="O1335" i="1"/>
  <c r="O552" i="1"/>
  <c r="O843" i="1"/>
  <c r="O778" i="1"/>
  <c r="O423" i="1"/>
  <c r="O502" i="1"/>
  <c r="O207" i="1"/>
  <c r="O908" i="1"/>
  <c r="O949" i="1"/>
  <c r="O905" i="1"/>
  <c r="O430" i="1"/>
  <c r="O716" i="1"/>
  <c r="O647" i="1"/>
  <c r="O97" i="1"/>
  <c r="O497" i="1"/>
  <c r="O1624" i="1"/>
  <c r="O212" i="1"/>
  <c r="O733" i="1"/>
  <c r="O462" i="1"/>
  <c r="O1097" i="1"/>
  <c r="O923" i="1"/>
  <c r="O591" i="1"/>
  <c r="O30" i="1"/>
  <c r="O2339" i="1"/>
  <c r="O585" i="1"/>
  <c r="O1899" i="1"/>
  <c r="O1384" i="1"/>
  <c r="O1637" i="1"/>
  <c r="O710" i="1"/>
  <c r="O1351" i="1"/>
  <c r="O228" i="1"/>
  <c r="O111" i="1"/>
  <c r="O871" i="1"/>
  <c r="O374" i="1"/>
  <c r="O376" i="1"/>
  <c r="O453" i="1"/>
  <c r="O41" i="1"/>
  <c r="O2350" i="1"/>
  <c r="O2208" i="1"/>
  <c r="O1457" i="1"/>
  <c r="O560" i="1"/>
  <c r="O1325" i="1"/>
  <c r="O1725" i="1"/>
  <c r="O1331" i="1"/>
  <c r="O243" i="1"/>
  <c r="O590" i="1"/>
  <c r="O1064" i="1"/>
  <c r="O1141" i="1"/>
  <c r="O729" i="1"/>
  <c r="O712" i="1"/>
  <c r="O355" i="1"/>
  <c r="O338" i="1"/>
  <c r="O2449" i="1"/>
  <c r="O2301" i="1"/>
  <c r="O2226" i="1"/>
  <c r="O1915" i="1"/>
  <c r="O1596" i="1"/>
  <c r="O1152" i="1"/>
  <c r="O1878" i="1"/>
  <c r="O1343" i="1"/>
  <c r="O1795" i="1"/>
  <c r="O1022" i="1"/>
  <c r="O487" i="1"/>
  <c r="O1664" i="1"/>
  <c r="O620" i="1"/>
  <c r="O914" i="1"/>
  <c r="O942" i="1"/>
  <c r="O504" i="1"/>
  <c r="O1396" i="1"/>
  <c r="O674" i="1"/>
  <c r="O881" i="1"/>
  <c r="O704" i="1"/>
  <c r="O506" i="1"/>
  <c r="O594" i="1"/>
  <c r="O1059" i="1"/>
  <c r="O569" i="1"/>
  <c r="O291" i="1"/>
  <c r="O628" i="1"/>
  <c r="O612" i="1"/>
  <c r="O839" i="1"/>
  <c r="O371" i="1"/>
  <c r="O227" i="1"/>
  <c r="O539" i="1"/>
  <c r="O131" i="1"/>
  <c r="O351" i="1"/>
  <c r="O235" i="1"/>
  <c r="O170" i="1"/>
  <c r="O84" i="1"/>
  <c r="O382" i="1"/>
  <c r="O165" i="1"/>
  <c r="O267" i="1"/>
  <c r="O50" i="1"/>
  <c r="O1873" i="1"/>
  <c r="O2237" i="1"/>
  <c r="O1920" i="1"/>
  <c r="O2001" i="1"/>
  <c r="O1462" i="1"/>
  <c r="O1761" i="1"/>
  <c r="O1630" i="1"/>
  <c r="O1353" i="1"/>
  <c r="O1322" i="1"/>
  <c r="O1086" i="1"/>
  <c r="O573" i="1"/>
  <c r="O252" i="1"/>
  <c r="O2480" i="1"/>
  <c r="O2198" i="1"/>
  <c r="O2192" i="1"/>
  <c r="O2029" i="1"/>
  <c r="O1886" i="1"/>
  <c r="O1446" i="1"/>
  <c r="O1627" i="1"/>
  <c r="O1520" i="1"/>
  <c r="O1342" i="1"/>
  <c r="O678" i="1"/>
  <c r="O92" i="1"/>
  <c r="O543" i="1"/>
  <c r="O732" i="1"/>
  <c r="O534" i="1"/>
  <c r="O69" i="1"/>
  <c r="O31" i="1"/>
  <c r="O2172" i="1"/>
  <c r="O2207" i="1"/>
  <c r="O2023" i="1"/>
  <c r="O1907" i="1"/>
  <c r="O1537" i="1"/>
  <c r="O1614" i="1"/>
  <c r="O808" i="1"/>
  <c r="O1362" i="1"/>
  <c r="O1238" i="1"/>
  <c r="O397" i="1"/>
  <c r="O818" i="1"/>
  <c r="O161" i="1"/>
  <c r="O545" i="1"/>
  <c r="O64" i="1"/>
  <c r="O2439" i="1"/>
  <c r="O1884" i="1"/>
  <c r="O2206" i="1"/>
  <c r="O2171" i="1"/>
  <c r="O2027" i="1"/>
  <c r="O1332" i="1"/>
  <c r="O1877" i="1"/>
  <c r="O1252" i="1"/>
  <c r="O1794" i="1"/>
  <c r="O1433" i="1"/>
  <c r="O1297" i="1"/>
  <c r="O1646" i="1"/>
  <c r="O1243" i="1"/>
  <c r="O1534" i="1"/>
  <c r="O856" i="1"/>
  <c r="O1212" i="1"/>
  <c r="O1395" i="1"/>
  <c r="O1360" i="1"/>
  <c r="O1135" i="1"/>
  <c r="O836" i="1"/>
  <c r="O681" i="1"/>
  <c r="O1170" i="1"/>
  <c r="O1127" i="1"/>
  <c r="O493" i="1"/>
  <c r="O702" i="1"/>
  <c r="O345" i="1"/>
  <c r="O217" i="1"/>
  <c r="O471" i="1"/>
  <c r="O651" i="1"/>
  <c r="O1004" i="1"/>
  <c r="O774" i="1"/>
  <c r="O505" i="1"/>
  <c r="O2463" i="1"/>
  <c r="O2411" i="1"/>
  <c r="O1950" i="1"/>
  <c r="O2292" i="1"/>
  <c r="O2232" i="1"/>
  <c r="O2176" i="1"/>
  <c r="O1929" i="1"/>
  <c r="O1660" i="1"/>
  <c r="O1364" i="1"/>
  <c r="O1863" i="1"/>
  <c r="O1575" i="1"/>
  <c r="O1549" i="1"/>
  <c r="O1392" i="1"/>
  <c r="O1134" i="1"/>
  <c r="O1006" i="1"/>
  <c r="O761" i="1"/>
  <c r="O395" i="1"/>
  <c r="O317" i="1"/>
  <c r="O2441" i="1"/>
  <c r="O2365" i="1"/>
  <c r="O2273" i="1"/>
  <c r="O1184" i="1"/>
  <c r="O2124" i="1"/>
  <c r="O2058" i="1"/>
  <c r="O1977" i="1"/>
  <c r="O1632" i="1"/>
  <c r="O1571" i="1"/>
  <c r="O1658" i="1"/>
  <c r="O1507" i="1"/>
  <c r="O1391" i="1"/>
  <c r="O1137" i="1"/>
  <c r="O886" i="1"/>
  <c r="O593" i="1"/>
  <c r="O28" i="1"/>
  <c r="O1010" i="1"/>
  <c r="O1802" i="1"/>
  <c r="O2000" i="1"/>
  <c r="O1867" i="1"/>
  <c r="O1740" i="1"/>
  <c r="O1629" i="1"/>
  <c r="O987" i="1"/>
  <c r="O1315" i="1"/>
  <c r="O1085" i="1"/>
  <c r="O387" i="1"/>
  <c r="O96" i="1"/>
  <c r="O1380" i="1"/>
  <c r="O2317" i="1"/>
  <c r="O2028" i="1"/>
  <c r="O1628" i="1"/>
  <c r="O848" i="1"/>
  <c r="O472" i="1"/>
  <c r="O924" i="1"/>
  <c r="O1294" i="1"/>
  <c r="O1180" i="1"/>
  <c r="O605" i="1"/>
  <c r="O861" i="1"/>
  <c r="O315" i="1"/>
  <c r="O2323" i="1"/>
  <c r="O792" i="1"/>
  <c r="O56" i="1"/>
  <c r="O1051" i="1"/>
  <c r="O262" i="1"/>
  <c r="O79" i="1"/>
  <c r="O46" i="1"/>
  <c r="O1524" i="1"/>
  <c r="O2020" i="1"/>
  <c r="O1481" i="1"/>
  <c r="O1400" i="1"/>
  <c r="O971" i="1"/>
  <c r="O1430" i="1"/>
  <c r="O916" i="1"/>
  <c r="O1235" i="1"/>
  <c r="O956" i="1"/>
  <c r="O581" i="1"/>
  <c r="O606" i="1"/>
  <c r="O526" i="1"/>
  <c r="O169" i="1"/>
  <c r="O815" i="1"/>
  <c r="O1582" i="1"/>
  <c r="O809" i="1"/>
  <c r="O898" i="1"/>
  <c r="O531" i="1"/>
  <c r="O1496" i="1"/>
  <c r="O1210" i="1"/>
  <c r="O1338" i="1"/>
  <c r="O1118" i="1"/>
  <c r="O1016" i="1"/>
  <c r="O1643" i="1"/>
  <c r="O1075" i="1"/>
  <c r="O1109" i="1"/>
  <c r="O1493" i="1"/>
  <c r="O298" i="1"/>
  <c r="O990" i="1"/>
  <c r="O1357" i="1"/>
  <c r="O758" i="1"/>
  <c r="O631" i="1"/>
  <c r="O518" i="1"/>
  <c r="O894" i="1"/>
  <c r="O1126" i="1"/>
  <c r="O929" i="1"/>
  <c r="O98" i="1"/>
  <c r="O378" i="1"/>
  <c r="O559" i="1"/>
  <c r="O127" i="1"/>
  <c r="O14" i="1"/>
  <c r="O1708" i="1"/>
  <c r="O1346" i="1"/>
  <c r="O883" i="1"/>
  <c r="O1136" i="1"/>
  <c r="O945" i="1"/>
  <c r="O838" i="1"/>
  <c r="O717" i="1"/>
  <c r="O546" i="1"/>
  <c r="O329" i="1"/>
  <c r="O2456" i="1"/>
  <c r="O1965" i="1"/>
  <c r="O2169" i="1"/>
  <c r="O1964" i="1"/>
  <c r="O1378" i="1"/>
  <c r="O1409" i="1"/>
  <c r="O1206" i="1"/>
  <c r="O828" i="1"/>
  <c r="O1341" i="1"/>
  <c r="O26" i="1"/>
  <c r="O980" i="1"/>
  <c r="O567" i="1"/>
  <c r="O447" i="1"/>
  <c r="O459" i="1"/>
  <c r="O187" i="1"/>
  <c r="O191" i="1"/>
  <c r="O2280" i="1"/>
  <c r="O1733" i="1"/>
  <c r="O995" i="1"/>
  <c r="O1292" i="1"/>
  <c r="O958" i="1"/>
  <c r="O1838" i="1"/>
  <c r="O1870" i="1"/>
  <c r="O1640" i="1"/>
  <c r="O1535" i="1"/>
  <c r="O1753" i="1"/>
  <c r="O673" i="1"/>
  <c r="O978" i="1"/>
  <c r="O1588" i="1"/>
  <c r="O618" i="1"/>
  <c r="O1489" i="1"/>
  <c r="O867" i="1"/>
  <c r="O1394" i="1"/>
  <c r="O927" i="1"/>
  <c r="O1249" i="1"/>
  <c r="O600" i="1"/>
  <c r="O661" i="1"/>
  <c r="O1116" i="1"/>
  <c r="O388" i="1"/>
  <c r="O520" i="1"/>
  <c r="O478" i="1"/>
  <c r="O137" i="1"/>
  <c r="O821" i="1"/>
  <c r="O255" i="1"/>
  <c r="O377" i="1"/>
  <c r="O175" i="1"/>
  <c r="O288" i="1"/>
  <c r="O394" i="1"/>
  <c r="O211" i="1"/>
  <c r="O108" i="1"/>
  <c r="O215" i="1"/>
  <c r="O209" i="1"/>
  <c r="O140" i="1"/>
  <c r="O155" i="1"/>
  <c r="O65" i="1"/>
  <c r="O9" i="1"/>
  <c r="O1217" i="1"/>
  <c r="O1770" i="1"/>
  <c r="O1113" i="1"/>
  <c r="O1324" i="1"/>
  <c r="O1150" i="1"/>
  <c r="O917" i="1"/>
  <c r="O1203" i="1"/>
  <c r="O1074" i="1"/>
  <c r="O888" i="1"/>
  <c r="O794" i="1"/>
  <c r="O513" i="1"/>
  <c r="O458" i="1"/>
  <c r="O168" i="1"/>
  <c r="O2367" i="1"/>
  <c r="O2279" i="1"/>
  <c r="O1471" i="1"/>
  <c r="O2100" i="1"/>
  <c r="O1344" i="1"/>
  <c r="O1912" i="1"/>
  <c r="O1162" i="1"/>
  <c r="O1078" i="1"/>
  <c r="O672" i="1"/>
  <c r="O1111" i="1"/>
  <c r="O1706" i="1"/>
  <c r="O1625" i="1"/>
  <c r="O985" i="1"/>
  <c r="O910" i="1"/>
  <c r="O1122" i="1"/>
  <c r="O1108" i="1"/>
  <c r="O800" i="1"/>
  <c r="O696" i="1"/>
  <c r="O1298" i="1"/>
  <c r="O790" i="1"/>
  <c r="O604" i="1"/>
  <c r="O961" i="1"/>
  <c r="O592" i="1"/>
  <c r="O460" i="1"/>
  <c r="O544" i="1"/>
  <c r="O439" i="1"/>
  <c r="O444" i="1"/>
  <c r="O413" i="1"/>
  <c r="O738" i="1"/>
  <c r="O608" i="1"/>
  <c r="O229" i="1"/>
  <c r="O336" i="1"/>
  <c r="O557" i="1"/>
  <c r="O521" i="1"/>
  <c r="O456" i="1"/>
  <c r="O154" i="1"/>
  <c r="O353" i="1"/>
  <c r="O104" i="1"/>
  <c r="O110" i="1"/>
  <c r="O45" i="1"/>
  <c r="O63" i="1"/>
  <c r="O10" i="1"/>
  <c r="O114" i="1"/>
  <c r="O286" i="1"/>
  <c r="O276" i="1"/>
  <c r="O297" i="1"/>
  <c r="O67" i="1"/>
  <c r="O186" i="1"/>
  <c r="O181" i="1"/>
  <c r="O58" i="1"/>
  <c r="O34" i="1"/>
  <c r="O15" i="1"/>
  <c r="O1377" i="1"/>
  <c r="O1559" i="1"/>
  <c r="O1581" i="1"/>
  <c r="O799" i="1"/>
  <c r="O1234" i="1"/>
  <c r="O1104" i="1"/>
  <c r="O723" i="1"/>
  <c r="O300" i="1"/>
  <c r="O561" i="1"/>
  <c r="O322" i="1"/>
  <c r="O2434" i="1"/>
  <c r="O1647" i="1"/>
  <c r="O2164" i="1"/>
  <c r="O1963" i="1"/>
  <c r="O1592" i="1"/>
  <c r="O1769" i="1"/>
  <c r="O1673" i="1"/>
  <c r="O1545" i="1"/>
  <c r="O1037" i="1"/>
  <c r="O1321" i="1"/>
  <c r="O324" i="1"/>
  <c r="O1062" i="1"/>
  <c r="O882" i="1"/>
  <c r="O621" i="1"/>
  <c r="O313" i="1"/>
  <c r="O325" i="1"/>
  <c r="O125" i="1"/>
  <c r="O2349" i="1"/>
  <c r="O2249" i="1"/>
  <c r="O976" i="1"/>
  <c r="O1875" i="1"/>
  <c r="O936" i="1"/>
  <c r="O1393" i="1"/>
  <c r="O1467" i="1"/>
  <c r="O1260" i="1"/>
  <c r="O1731" i="1"/>
  <c r="O1236" i="1"/>
  <c r="O1082" i="1"/>
  <c r="O451" i="1"/>
  <c r="O1527" i="1"/>
  <c r="O1478" i="1"/>
  <c r="O242" i="1"/>
  <c r="O1172" i="1"/>
  <c r="O869" i="1"/>
  <c r="O1233" i="1"/>
  <c r="O638" i="1"/>
  <c r="O775" i="1"/>
  <c r="O870" i="1"/>
  <c r="O1102" i="1"/>
  <c r="O549" i="1"/>
  <c r="O664" i="1"/>
  <c r="O507" i="1"/>
  <c r="O357" i="1"/>
  <c r="O536" i="1"/>
  <c r="O642" i="1"/>
  <c r="O574" i="1"/>
  <c r="O687" i="1"/>
  <c r="O580" i="1"/>
  <c r="O266" i="1"/>
  <c r="O151" i="1"/>
  <c r="O517" i="1"/>
  <c r="O265" i="1"/>
  <c r="O122" i="1"/>
  <c r="O107" i="1"/>
  <c r="O171" i="1"/>
  <c r="O119" i="1"/>
  <c r="O117" i="1"/>
  <c r="O29" i="1"/>
  <c r="O6" i="1"/>
  <c r="O1192" i="1"/>
  <c r="O599" i="1"/>
  <c r="O234" i="1"/>
  <c r="O577" i="1"/>
  <c r="O283" i="1"/>
  <c r="O134" i="1"/>
  <c r="O2340" i="1"/>
  <c r="O2248" i="1"/>
  <c r="O1514" i="1"/>
  <c r="O2098" i="1"/>
  <c r="O1882" i="1"/>
  <c r="O1856" i="1"/>
  <c r="O1174" i="1"/>
  <c r="O1780" i="1"/>
  <c r="O1023" i="1"/>
  <c r="O1065" i="1"/>
  <c r="O1576" i="1"/>
  <c r="O1191" i="1"/>
  <c r="O906" i="1"/>
  <c r="O385" i="1"/>
  <c r="O1188" i="1"/>
  <c r="O285" i="1"/>
  <c r="O1289" i="1"/>
  <c r="O601" i="1"/>
  <c r="O853" i="1"/>
  <c r="O489" i="1"/>
  <c r="O897" i="1"/>
  <c r="O278" i="1"/>
  <c r="O319" i="1"/>
  <c r="O335" i="1"/>
  <c r="O452" i="1"/>
  <c r="O529" i="1"/>
  <c r="O40" i="1"/>
  <c r="O74" i="1"/>
  <c r="O246" i="1"/>
  <c r="O637" i="1"/>
  <c r="O479" i="1"/>
  <c r="O251" i="1"/>
  <c r="O368" i="1"/>
  <c r="O158" i="1"/>
  <c r="O43" i="1"/>
  <c r="O115" i="1"/>
  <c r="O183" i="1"/>
  <c r="O20" i="1"/>
  <c r="O48" i="1"/>
  <c r="O27" i="1"/>
  <c r="O5" i="1"/>
  <c r="O396" i="1"/>
  <c r="O662" i="1"/>
  <c r="O301" i="1"/>
  <c r="O316" i="1"/>
  <c r="O2376" i="1"/>
  <c r="O1765" i="1"/>
  <c r="O2106" i="1"/>
  <c r="O1961" i="1"/>
  <c r="O1853" i="1"/>
  <c r="O1737" i="1"/>
  <c r="O1095" i="1"/>
  <c r="O1536" i="1"/>
  <c r="O1423" i="1"/>
  <c r="O844" i="1"/>
  <c r="O652" i="1"/>
  <c r="O542" i="1"/>
  <c r="O755" i="1"/>
  <c r="O201" i="1"/>
  <c r="O408" i="1"/>
  <c r="O769" i="1"/>
  <c r="O1153" i="1"/>
  <c r="O1777" i="1"/>
  <c r="O2097" i="1"/>
  <c r="O1299" i="1"/>
  <c r="O1110" i="1"/>
  <c r="O356" i="1"/>
  <c r="O969" i="1"/>
  <c r="O1730" i="1"/>
  <c r="O1383" i="1"/>
  <c r="O259" i="1"/>
  <c r="O1123" i="1"/>
  <c r="O1049" i="1"/>
  <c r="O480" i="1"/>
  <c r="O982" i="1"/>
  <c r="O1337" i="1"/>
  <c r="O426" i="1"/>
  <c r="O1186" i="1"/>
  <c r="O80" i="1"/>
  <c r="O627" i="1"/>
  <c r="O1020" i="1"/>
  <c r="O966" i="1"/>
  <c r="O310" i="1"/>
  <c r="O598" i="1"/>
  <c r="O352" i="1"/>
  <c r="O365" i="1"/>
  <c r="O200" i="1"/>
  <c r="O337" i="1"/>
  <c r="O629" i="1"/>
  <c r="O261" i="1"/>
  <c r="O538" i="1"/>
  <c r="O142" i="1"/>
  <c r="O173" i="1"/>
  <c r="O106" i="1"/>
  <c r="O144" i="1"/>
  <c r="O85" i="1"/>
  <c r="O60" i="1"/>
  <c r="O101" i="1"/>
  <c r="O18" i="1"/>
  <c r="O17" i="1"/>
  <c r="O490" i="1"/>
  <c r="O1653" i="1"/>
  <c r="O1555" i="1"/>
  <c r="O1103" i="1"/>
  <c r="O816" i="1"/>
  <c r="O483" i="1"/>
  <c r="O902" i="1"/>
  <c r="O370" i="1"/>
  <c r="O655" i="1"/>
  <c r="O537" i="1"/>
  <c r="O296" i="1"/>
  <c r="O2368" i="1"/>
  <c r="O739" i="1"/>
  <c r="O2105" i="1"/>
  <c r="O163" i="1"/>
  <c r="O415" i="1"/>
  <c r="O1736" i="1"/>
  <c r="O548" i="1"/>
  <c r="O1475" i="1"/>
  <c r="O1421" i="1"/>
  <c r="O993" i="1"/>
  <c r="O1183" i="1"/>
  <c r="O834" i="1"/>
  <c r="O206" i="1"/>
  <c r="O224" i="1"/>
  <c r="O185" i="1"/>
  <c r="O52" i="1"/>
  <c r="O42" i="1"/>
  <c r="O2321" i="1"/>
  <c r="O2246" i="1"/>
  <c r="O2189" i="1"/>
  <c r="O2096" i="1"/>
  <c r="O1960" i="1"/>
  <c r="O1165" i="1"/>
  <c r="O1855" i="1"/>
  <c r="O610" i="1"/>
  <c r="O1237" i="1"/>
  <c r="O1729" i="1"/>
  <c r="O1460" i="1"/>
  <c r="O1622" i="1"/>
  <c r="O363" i="1"/>
  <c r="O776" i="1"/>
  <c r="O1345" i="1"/>
  <c r="O875" i="1"/>
  <c r="O819" i="1"/>
  <c r="O1336" i="1"/>
  <c r="O660" i="1"/>
  <c r="O1230" i="1"/>
  <c r="O467" i="1"/>
  <c r="O515" i="1"/>
  <c r="O1081" i="1"/>
  <c r="O653" i="1"/>
  <c r="O768" i="1"/>
  <c r="O422" i="1"/>
  <c r="O547" i="1"/>
  <c r="O289" i="1"/>
  <c r="O314" i="1"/>
  <c r="O87" i="1"/>
  <c r="O194" i="1"/>
  <c r="O254" i="1"/>
  <c r="O330" i="1"/>
  <c r="O190" i="1"/>
  <c r="O120" i="1"/>
  <c r="O331" i="1"/>
  <c r="O71" i="1"/>
  <c r="O59" i="1"/>
  <c r="O292" i="1"/>
  <c r="O116" i="1"/>
  <c r="O112" i="1"/>
  <c r="O622" i="1"/>
  <c r="O623" i="1"/>
  <c r="O798" i="1"/>
  <c r="O654" i="1"/>
  <c r="O150" i="1"/>
  <c r="O248" i="1"/>
  <c r="O2364" i="1"/>
  <c r="O1619" i="1"/>
  <c r="O675" i="1"/>
  <c r="O1707" i="1"/>
  <c r="O1096" i="1"/>
  <c r="O1735" i="1"/>
  <c r="O1399" i="1"/>
  <c r="O1425" i="1"/>
  <c r="O1182" i="1"/>
  <c r="O1295" i="1"/>
  <c r="O954" i="1"/>
  <c r="O484" i="1"/>
  <c r="O445" i="1"/>
  <c r="O463" i="1"/>
  <c r="O432" i="1"/>
  <c r="O195" i="1"/>
  <c r="O21" i="1"/>
  <c r="O2316" i="1"/>
  <c r="O2010" i="1"/>
  <c r="O366" i="1"/>
  <c r="O1512" i="1"/>
  <c r="O1732" i="1"/>
  <c r="O1323" i="1"/>
  <c r="O1851" i="1"/>
  <c r="O1045" i="1"/>
  <c r="O435" i="1"/>
  <c r="O1519" i="1"/>
  <c r="O1678" i="1"/>
  <c r="O1617" i="1"/>
  <c r="O1567" i="1"/>
  <c r="O1035" i="1"/>
  <c r="O817" i="1"/>
  <c r="O1428" i="1"/>
  <c r="O920" i="1"/>
  <c r="O913" i="1"/>
  <c r="O1269" i="1"/>
  <c r="O126" i="1"/>
  <c r="O1068" i="1"/>
  <c r="O952" i="1"/>
  <c r="O659" i="1"/>
  <c r="O427" i="1"/>
  <c r="O626" i="1"/>
  <c r="O208" i="1"/>
  <c r="O470" i="1"/>
  <c r="O842" i="1"/>
  <c r="O499" i="1"/>
  <c r="O587" i="1"/>
  <c r="O198" i="1"/>
  <c r="O488" i="1"/>
  <c r="O589" i="1"/>
  <c r="O220" i="1"/>
  <c r="O210" i="1"/>
  <c r="O438" i="1"/>
  <c r="O145" i="1"/>
  <c r="O88" i="1"/>
  <c r="O3" i="1"/>
  <c r="O340" i="1"/>
  <c r="O93" i="1"/>
  <c r="O66" i="1"/>
  <c r="O77" i="1"/>
  <c r="O22" i="1"/>
  <c r="O4" i="1"/>
  <c r="O586" i="1"/>
  <c r="O433" i="1"/>
  <c r="O391" i="1"/>
  <c r="O153" i="1"/>
  <c r="O23" i="1"/>
  <c r="O72" i="1"/>
  <c r="O90" i="1"/>
  <c r="O123" i="1"/>
  <c r="O148" i="1"/>
  <c r="O13" i="1"/>
  <c r="O2" i="1"/>
  <c r="O160" i="1"/>
  <c r="O364" i="1"/>
  <c r="O223" i="1"/>
  <c r="O89" i="1"/>
  <c r="O305" i="1"/>
  <c r="O162" i="1"/>
  <c r="O177" i="1"/>
  <c r="O128" i="1"/>
  <c r="O51" i="1"/>
  <c r="O129" i="1"/>
  <c r="O7" i="1"/>
  <c r="O33" i="1"/>
  <c r="O19" i="1"/>
  <c r="O196" i="1"/>
  <c r="O701" i="1"/>
  <c r="O481" i="1"/>
  <c r="O611" i="1"/>
  <c r="O575" i="1"/>
  <c r="O213" i="1"/>
  <c r="O389" i="1"/>
  <c r="O32" i="1"/>
  <c r="O373" i="1"/>
  <c r="O264" i="1"/>
  <c r="O203" i="1"/>
  <c r="O36" i="1"/>
  <c r="O54" i="1"/>
  <c r="O49" i="1"/>
  <c r="O149" i="1"/>
  <c r="O270" i="1"/>
  <c r="O657" i="1"/>
  <c r="O320" i="1"/>
  <c r="O275" i="1"/>
  <c r="O192" i="1"/>
  <c r="O139" i="1"/>
  <c r="O132" i="1"/>
  <c r="O135" i="1"/>
  <c r="O62" i="1"/>
  <c r="O76" i="1"/>
  <c r="O47" i="1"/>
  <c r="P2" i="1" l="1"/>
  <c r="Q2" i="1" s="1"/>
  <c r="P18" i="1"/>
  <c r="Q18" i="1" s="1"/>
  <c r="P34" i="1"/>
  <c r="Q34" i="1" s="1"/>
  <c r="P50" i="1"/>
  <c r="Q50" i="1" s="1"/>
  <c r="P66" i="1"/>
  <c r="Q66" i="1" s="1"/>
  <c r="P82" i="1"/>
  <c r="Q82" i="1" s="1"/>
  <c r="P98" i="1"/>
  <c r="Q98" i="1" s="1"/>
  <c r="P114" i="1"/>
  <c r="Q114" i="1" s="1"/>
  <c r="P130" i="1"/>
  <c r="Q130" i="1" s="1"/>
  <c r="P146" i="1"/>
  <c r="Q146" i="1" s="1"/>
  <c r="P162" i="1"/>
  <c r="Q162" i="1" s="1"/>
  <c r="P178" i="1"/>
  <c r="Q178" i="1" s="1"/>
  <c r="P194" i="1"/>
  <c r="Q194" i="1" s="1"/>
  <c r="P210" i="1"/>
  <c r="Q210" i="1" s="1"/>
  <c r="P226" i="1"/>
  <c r="Q226" i="1" s="1"/>
  <c r="P242" i="1"/>
  <c r="Q242" i="1" s="1"/>
  <c r="P258" i="1"/>
  <c r="Q258" i="1" s="1"/>
  <c r="P274" i="1"/>
  <c r="Q274" i="1" s="1"/>
  <c r="P290" i="1"/>
  <c r="Q290" i="1" s="1"/>
  <c r="P306" i="1"/>
  <c r="Q306" i="1" s="1"/>
  <c r="P322" i="1"/>
  <c r="Q322" i="1" s="1"/>
  <c r="P338" i="1"/>
  <c r="Q338" i="1" s="1"/>
  <c r="P354" i="1"/>
  <c r="Q354" i="1" s="1"/>
  <c r="P370" i="1"/>
  <c r="Q370" i="1" s="1"/>
  <c r="P386" i="1"/>
  <c r="Q386" i="1" s="1"/>
  <c r="P402" i="1"/>
  <c r="Q402" i="1" s="1"/>
  <c r="P418" i="1"/>
  <c r="Q418" i="1" s="1"/>
  <c r="P434" i="1"/>
  <c r="Q434" i="1" s="1"/>
  <c r="P450" i="1"/>
  <c r="Q450" i="1" s="1"/>
  <c r="P466" i="1"/>
  <c r="Q466" i="1" s="1"/>
  <c r="P482" i="1"/>
  <c r="Q482" i="1" s="1"/>
  <c r="P498" i="1"/>
  <c r="Q498" i="1" s="1"/>
  <c r="P514" i="1"/>
  <c r="Q514" i="1" s="1"/>
  <c r="P530" i="1"/>
  <c r="Q530" i="1" s="1"/>
  <c r="P546" i="1"/>
  <c r="Q546" i="1" s="1"/>
  <c r="P562" i="1"/>
  <c r="Q562" i="1" s="1"/>
  <c r="P578" i="1"/>
  <c r="Q578" i="1" s="1"/>
  <c r="P594" i="1"/>
  <c r="Q594" i="1" s="1"/>
  <c r="P610" i="1"/>
  <c r="Q610" i="1" s="1"/>
  <c r="P626" i="1"/>
  <c r="Q626" i="1" s="1"/>
  <c r="P642" i="1"/>
  <c r="Q642" i="1" s="1"/>
  <c r="P658" i="1"/>
  <c r="Q658" i="1" s="1"/>
  <c r="P674" i="1"/>
  <c r="Q674" i="1" s="1"/>
  <c r="P690" i="1"/>
  <c r="Q690" i="1" s="1"/>
  <c r="P706" i="1"/>
  <c r="Q706" i="1" s="1"/>
  <c r="P722" i="1"/>
  <c r="Q722" i="1" s="1"/>
  <c r="P738" i="1"/>
  <c r="Q738" i="1" s="1"/>
  <c r="P754" i="1"/>
  <c r="Q754" i="1" s="1"/>
  <c r="P770" i="1"/>
  <c r="Q770" i="1" s="1"/>
  <c r="P786" i="1"/>
  <c r="Q786" i="1" s="1"/>
  <c r="P802" i="1"/>
  <c r="Q802" i="1" s="1"/>
  <c r="P818" i="1"/>
  <c r="Q818" i="1" s="1"/>
  <c r="P834" i="1"/>
  <c r="Q834" i="1" s="1"/>
  <c r="P850" i="1"/>
  <c r="Q850" i="1" s="1"/>
  <c r="P866" i="1"/>
  <c r="Q866" i="1" s="1"/>
  <c r="P882" i="1"/>
  <c r="Q882" i="1" s="1"/>
  <c r="P898" i="1"/>
  <c r="Q898" i="1" s="1"/>
  <c r="P914" i="1"/>
  <c r="Q914" i="1" s="1"/>
  <c r="P930" i="1"/>
  <c r="Q930" i="1" s="1"/>
  <c r="P946" i="1"/>
  <c r="Q946" i="1" s="1"/>
  <c r="P962" i="1"/>
  <c r="Q962" i="1" s="1"/>
  <c r="P978" i="1"/>
  <c r="Q978" i="1" s="1"/>
  <c r="P994" i="1"/>
  <c r="Q994" i="1" s="1"/>
  <c r="P1010" i="1"/>
  <c r="Q1010" i="1" s="1"/>
  <c r="P1026" i="1"/>
  <c r="Q1026" i="1" s="1"/>
  <c r="P1042" i="1"/>
  <c r="Q1042" i="1" s="1"/>
  <c r="P1058" i="1"/>
  <c r="Q1058" i="1" s="1"/>
  <c r="P1074" i="1"/>
  <c r="Q1074" i="1" s="1"/>
  <c r="P1090" i="1"/>
  <c r="Q1090" i="1" s="1"/>
  <c r="P3" i="1"/>
  <c r="Q3" i="1" s="1"/>
  <c r="P19" i="1"/>
  <c r="Q19" i="1" s="1"/>
  <c r="P35" i="1"/>
  <c r="Q35" i="1" s="1"/>
  <c r="P51" i="1"/>
  <c r="Q51" i="1" s="1"/>
  <c r="P67" i="1"/>
  <c r="Q67" i="1" s="1"/>
  <c r="P83" i="1"/>
  <c r="Q83" i="1" s="1"/>
  <c r="P99" i="1"/>
  <c r="Q99" i="1" s="1"/>
  <c r="P115" i="1"/>
  <c r="Q115" i="1" s="1"/>
  <c r="P131" i="1"/>
  <c r="Q131" i="1" s="1"/>
  <c r="P147" i="1"/>
  <c r="Q147" i="1" s="1"/>
  <c r="P163" i="1"/>
  <c r="Q163" i="1" s="1"/>
  <c r="P179" i="1"/>
  <c r="Q179" i="1" s="1"/>
  <c r="P195" i="1"/>
  <c r="Q195" i="1" s="1"/>
  <c r="P211" i="1"/>
  <c r="Q211" i="1" s="1"/>
  <c r="P227" i="1"/>
  <c r="Q227" i="1" s="1"/>
  <c r="P243" i="1"/>
  <c r="Q243" i="1" s="1"/>
  <c r="P259" i="1"/>
  <c r="Q259" i="1" s="1"/>
  <c r="P275" i="1"/>
  <c r="Q275" i="1" s="1"/>
  <c r="P291" i="1"/>
  <c r="Q291" i="1" s="1"/>
  <c r="P307" i="1"/>
  <c r="Q307" i="1" s="1"/>
  <c r="P323" i="1"/>
  <c r="Q323" i="1" s="1"/>
  <c r="P339" i="1"/>
  <c r="Q339" i="1" s="1"/>
  <c r="P355" i="1"/>
  <c r="Q355" i="1" s="1"/>
  <c r="P371" i="1"/>
  <c r="Q371" i="1" s="1"/>
  <c r="P387" i="1"/>
  <c r="Q387" i="1" s="1"/>
  <c r="P4" i="1"/>
  <c r="Q4" i="1" s="1"/>
  <c r="P20" i="1"/>
  <c r="Q20" i="1" s="1"/>
  <c r="P36" i="1"/>
  <c r="Q36" i="1" s="1"/>
  <c r="P52" i="1"/>
  <c r="Q52" i="1" s="1"/>
  <c r="P68" i="1"/>
  <c r="Q68" i="1" s="1"/>
  <c r="P84" i="1"/>
  <c r="Q84" i="1" s="1"/>
  <c r="P100" i="1"/>
  <c r="Q100" i="1" s="1"/>
  <c r="P116" i="1"/>
  <c r="Q116" i="1" s="1"/>
  <c r="P132" i="1"/>
  <c r="Q132" i="1" s="1"/>
  <c r="P148" i="1"/>
  <c r="Q148" i="1" s="1"/>
  <c r="P164" i="1"/>
  <c r="Q164" i="1" s="1"/>
  <c r="P180" i="1"/>
  <c r="Q180" i="1" s="1"/>
  <c r="P196" i="1"/>
  <c r="Q196" i="1" s="1"/>
  <c r="P212" i="1"/>
  <c r="Q212" i="1" s="1"/>
  <c r="P228" i="1"/>
  <c r="Q228" i="1" s="1"/>
  <c r="P244" i="1"/>
  <c r="Q244" i="1" s="1"/>
  <c r="P260" i="1"/>
  <c r="Q260" i="1" s="1"/>
  <c r="P276" i="1"/>
  <c r="Q276" i="1" s="1"/>
  <c r="P292" i="1"/>
  <c r="Q292" i="1" s="1"/>
  <c r="P308" i="1"/>
  <c r="Q308" i="1" s="1"/>
  <c r="P324" i="1"/>
  <c r="Q324" i="1" s="1"/>
  <c r="P340" i="1"/>
  <c r="Q340" i="1" s="1"/>
  <c r="P356" i="1"/>
  <c r="Q356" i="1" s="1"/>
  <c r="P372" i="1"/>
  <c r="Q372" i="1" s="1"/>
  <c r="P388" i="1"/>
  <c r="Q388" i="1" s="1"/>
  <c r="P404" i="1"/>
  <c r="Q404" i="1" s="1"/>
  <c r="P420" i="1"/>
  <c r="Q420" i="1" s="1"/>
  <c r="P436" i="1"/>
  <c r="Q436" i="1" s="1"/>
  <c r="P452" i="1"/>
  <c r="Q452" i="1" s="1"/>
  <c r="P468" i="1"/>
  <c r="Q468" i="1" s="1"/>
  <c r="P484" i="1"/>
  <c r="Q484" i="1" s="1"/>
  <c r="P500" i="1"/>
  <c r="Q500" i="1" s="1"/>
  <c r="P516" i="1"/>
  <c r="Q516" i="1" s="1"/>
  <c r="P532" i="1"/>
  <c r="Q532" i="1" s="1"/>
  <c r="P548" i="1"/>
  <c r="Q548" i="1" s="1"/>
  <c r="P564" i="1"/>
  <c r="Q564" i="1" s="1"/>
  <c r="P580" i="1"/>
  <c r="Q580" i="1" s="1"/>
  <c r="P596" i="1"/>
  <c r="Q596" i="1" s="1"/>
  <c r="P612" i="1"/>
  <c r="Q612" i="1" s="1"/>
  <c r="P628" i="1"/>
  <c r="Q628" i="1" s="1"/>
  <c r="P644" i="1"/>
  <c r="Q644" i="1" s="1"/>
  <c r="P660" i="1"/>
  <c r="Q660" i="1" s="1"/>
  <c r="P676" i="1"/>
  <c r="Q676" i="1" s="1"/>
  <c r="P692" i="1"/>
  <c r="Q692" i="1" s="1"/>
  <c r="P708" i="1"/>
  <c r="Q708" i="1" s="1"/>
  <c r="P724" i="1"/>
  <c r="Q724" i="1" s="1"/>
  <c r="P740" i="1"/>
  <c r="Q740" i="1" s="1"/>
  <c r="P756" i="1"/>
  <c r="Q756" i="1" s="1"/>
  <c r="P772" i="1"/>
  <c r="Q772" i="1" s="1"/>
  <c r="P5" i="1"/>
  <c r="Q5" i="1" s="1"/>
  <c r="P21" i="1"/>
  <c r="Q21" i="1" s="1"/>
  <c r="P37" i="1"/>
  <c r="Q37" i="1" s="1"/>
  <c r="P53" i="1"/>
  <c r="Q53" i="1" s="1"/>
  <c r="P69" i="1"/>
  <c r="Q69" i="1" s="1"/>
  <c r="P85" i="1"/>
  <c r="Q85" i="1" s="1"/>
  <c r="P101" i="1"/>
  <c r="Q101" i="1" s="1"/>
  <c r="P117" i="1"/>
  <c r="Q117" i="1" s="1"/>
  <c r="P133" i="1"/>
  <c r="Q133" i="1" s="1"/>
  <c r="P149" i="1"/>
  <c r="Q149" i="1" s="1"/>
  <c r="P165" i="1"/>
  <c r="Q165" i="1" s="1"/>
  <c r="P181" i="1"/>
  <c r="Q181" i="1" s="1"/>
  <c r="P197" i="1"/>
  <c r="Q197" i="1" s="1"/>
  <c r="P213" i="1"/>
  <c r="Q213" i="1" s="1"/>
  <c r="P229" i="1"/>
  <c r="Q229" i="1" s="1"/>
  <c r="P245" i="1"/>
  <c r="Q245" i="1" s="1"/>
  <c r="P261" i="1"/>
  <c r="Q261" i="1" s="1"/>
  <c r="P277" i="1"/>
  <c r="Q277" i="1" s="1"/>
  <c r="P293" i="1"/>
  <c r="Q293" i="1" s="1"/>
  <c r="P309" i="1"/>
  <c r="Q309" i="1" s="1"/>
  <c r="P325" i="1"/>
  <c r="Q325" i="1" s="1"/>
  <c r="P341" i="1"/>
  <c r="Q341" i="1" s="1"/>
  <c r="P357" i="1"/>
  <c r="Q357" i="1" s="1"/>
  <c r="P373" i="1"/>
  <c r="Q373" i="1" s="1"/>
  <c r="P389" i="1"/>
  <c r="Q389" i="1" s="1"/>
  <c r="P6" i="1"/>
  <c r="Q6" i="1" s="1"/>
  <c r="P22" i="1"/>
  <c r="Q22" i="1" s="1"/>
  <c r="P38" i="1"/>
  <c r="Q38" i="1" s="1"/>
  <c r="P54" i="1"/>
  <c r="Q54" i="1" s="1"/>
  <c r="P70" i="1"/>
  <c r="Q70" i="1" s="1"/>
  <c r="P86" i="1"/>
  <c r="Q86" i="1" s="1"/>
  <c r="P102" i="1"/>
  <c r="Q102" i="1" s="1"/>
  <c r="P118" i="1"/>
  <c r="Q118" i="1" s="1"/>
  <c r="P134" i="1"/>
  <c r="Q134" i="1" s="1"/>
  <c r="P150" i="1"/>
  <c r="Q150" i="1" s="1"/>
  <c r="P166" i="1"/>
  <c r="Q166" i="1" s="1"/>
  <c r="P182" i="1"/>
  <c r="Q182" i="1" s="1"/>
  <c r="P198" i="1"/>
  <c r="Q198" i="1" s="1"/>
  <c r="P214" i="1"/>
  <c r="Q214" i="1" s="1"/>
  <c r="P230" i="1"/>
  <c r="Q230" i="1" s="1"/>
  <c r="P246" i="1"/>
  <c r="Q246" i="1" s="1"/>
  <c r="P262" i="1"/>
  <c r="Q262" i="1" s="1"/>
  <c r="P278" i="1"/>
  <c r="Q278" i="1" s="1"/>
  <c r="P294" i="1"/>
  <c r="Q294" i="1" s="1"/>
  <c r="P310" i="1"/>
  <c r="Q310" i="1" s="1"/>
  <c r="P326" i="1"/>
  <c r="Q326" i="1" s="1"/>
  <c r="P342" i="1"/>
  <c r="Q342" i="1" s="1"/>
  <c r="P358" i="1"/>
  <c r="Q358" i="1" s="1"/>
  <c r="P374" i="1"/>
  <c r="Q374" i="1" s="1"/>
  <c r="P390" i="1"/>
  <c r="Q390" i="1" s="1"/>
  <c r="P406" i="1"/>
  <c r="Q406" i="1" s="1"/>
  <c r="P422" i="1"/>
  <c r="Q422" i="1" s="1"/>
  <c r="P438" i="1"/>
  <c r="Q438" i="1" s="1"/>
  <c r="P454" i="1"/>
  <c r="Q454" i="1" s="1"/>
  <c r="P470" i="1"/>
  <c r="Q470" i="1" s="1"/>
  <c r="P486" i="1"/>
  <c r="Q486" i="1" s="1"/>
  <c r="P502" i="1"/>
  <c r="Q502" i="1" s="1"/>
  <c r="P518" i="1"/>
  <c r="Q518" i="1" s="1"/>
  <c r="P534" i="1"/>
  <c r="Q534" i="1" s="1"/>
  <c r="P550" i="1"/>
  <c r="Q550" i="1" s="1"/>
  <c r="P566" i="1"/>
  <c r="Q566" i="1" s="1"/>
  <c r="P582" i="1"/>
  <c r="Q582" i="1" s="1"/>
  <c r="P598" i="1"/>
  <c r="Q598" i="1" s="1"/>
  <c r="P614" i="1"/>
  <c r="Q614" i="1" s="1"/>
  <c r="P630" i="1"/>
  <c r="Q630" i="1" s="1"/>
  <c r="P646" i="1"/>
  <c r="Q646" i="1" s="1"/>
  <c r="P662" i="1"/>
  <c r="Q662" i="1" s="1"/>
  <c r="P678" i="1"/>
  <c r="Q678" i="1" s="1"/>
  <c r="P694" i="1"/>
  <c r="Q694" i="1" s="1"/>
  <c r="P710" i="1"/>
  <c r="Q710" i="1" s="1"/>
  <c r="P726" i="1"/>
  <c r="Q726" i="1" s="1"/>
  <c r="P742" i="1"/>
  <c r="Q742" i="1" s="1"/>
  <c r="P758" i="1"/>
  <c r="Q758" i="1" s="1"/>
  <c r="P774" i="1"/>
  <c r="Q774" i="1" s="1"/>
  <c r="P790" i="1"/>
  <c r="Q790" i="1" s="1"/>
  <c r="P806" i="1"/>
  <c r="Q806" i="1" s="1"/>
  <c r="P822" i="1"/>
  <c r="Q822" i="1" s="1"/>
  <c r="P838" i="1"/>
  <c r="Q838" i="1" s="1"/>
  <c r="P854" i="1"/>
  <c r="Q854" i="1" s="1"/>
  <c r="P870" i="1"/>
  <c r="Q870" i="1" s="1"/>
  <c r="P886" i="1"/>
  <c r="Q886" i="1" s="1"/>
  <c r="P902" i="1"/>
  <c r="Q902" i="1" s="1"/>
  <c r="P918" i="1"/>
  <c r="Q918" i="1" s="1"/>
  <c r="P934" i="1"/>
  <c r="Q934" i="1" s="1"/>
  <c r="P950" i="1"/>
  <c r="Q950" i="1" s="1"/>
  <c r="P966" i="1"/>
  <c r="Q966" i="1" s="1"/>
  <c r="P982" i="1"/>
  <c r="Q982" i="1" s="1"/>
  <c r="P998" i="1"/>
  <c r="Q998" i="1" s="1"/>
  <c r="P1014" i="1"/>
  <c r="Q1014" i="1" s="1"/>
  <c r="P1030" i="1"/>
  <c r="Q1030" i="1" s="1"/>
  <c r="P1046" i="1"/>
  <c r="Q1046" i="1" s="1"/>
  <c r="P1062" i="1"/>
  <c r="Q1062" i="1" s="1"/>
  <c r="P7" i="1"/>
  <c r="Q7" i="1" s="1"/>
  <c r="P8" i="1"/>
  <c r="Q8" i="1" s="1"/>
  <c r="P24" i="1"/>
  <c r="Q24" i="1" s="1"/>
  <c r="P40" i="1"/>
  <c r="Q40" i="1" s="1"/>
  <c r="P56" i="1"/>
  <c r="Q56" i="1" s="1"/>
  <c r="P72" i="1"/>
  <c r="Q72" i="1" s="1"/>
  <c r="P88" i="1"/>
  <c r="Q88" i="1" s="1"/>
  <c r="P104" i="1"/>
  <c r="Q104" i="1" s="1"/>
  <c r="P120" i="1"/>
  <c r="Q120" i="1" s="1"/>
  <c r="P136" i="1"/>
  <c r="Q136" i="1" s="1"/>
  <c r="P152" i="1"/>
  <c r="Q152" i="1" s="1"/>
  <c r="P168" i="1"/>
  <c r="Q168" i="1" s="1"/>
  <c r="P184" i="1"/>
  <c r="Q184" i="1" s="1"/>
  <c r="P200" i="1"/>
  <c r="Q200" i="1" s="1"/>
  <c r="P216" i="1"/>
  <c r="Q216" i="1" s="1"/>
  <c r="P232" i="1"/>
  <c r="Q232" i="1" s="1"/>
  <c r="P248" i="1"/>
  <c r="Q248" i="1" s="1"/>
  <c r="P264" i="1"/>
  <c r="Q264" i="1" s="1"/>
  <c r="P280" i="1"/>
  <c r="Q280" i="1" s="1"/>
  <c r="P296" i="1"/>
  <c r="Q296" i="1" s="1"/>
  <c r="P312" i="1"/>
  <c r="Q312" i="1" s="1"/>
  <c r="P328" i="1"/>
  <c r="Q328" i="1" s="1"/>
  <c r="P344" i="1"/>
  <c r="Q344" i="1" s="1"/>
  <c r="P360" i="1"/>
  <c r="Q360" i="1" s="1"/>
  <c r="P376" i="1"/>
  <c r="Q376" i="1" s="1"/>
  <c r="P392" i="1"/>
  <c r="Q392" i="1" s="1"/>
  <c r="P408" i="1"/>
  <c r="Q408" i="1" s="1"/>
  <c r="P424" i="1"/>
  <c r="Q424" i="1" s="1"/>
  <c r="P440" i="1"/>
  <c r="Q440" i="1" s="1"/>
  <c r="P456" i="1"/>
  <c r="Q456" i="1" s="1"/>
  <c r="P472" i="1"/>
  <c r="Q472" i="1" s="1"/>
  <c r="P488" i="1"/>
  <c r="Q488" i="1" s="1"/>
  <c r="P504" i="1"/>
  <c r="Q504" i="1" s="1"/>
  <c r="P520" i="1"/>
  <c r="Q520" i="1" s="1"/>
  <c r="P536" i="1"/>
  <c r="Q536" i="1" s="1"/>
  <c r="P552" i="1"/>
  <c r="Q552" i="1" s="1"/>
  <c r="P568" i="1"/>
  <c r="Q568" i="1" s="1"/>
  <c r="P584" i="1"/>
  <c r="Q584" i="1" s="1"/>
  <c r="P600" i="1"/>
  <c r="Q600" i="1" s="1"/>
  <c r="P616" i="1"/>
  <c r="Q616" i="1" s="1"/>
  <c r="P632" i="1"/>
  <c r="Q632" i="1" s="1"/>
  <c r="P648" i="1"/>
  <c r="Q648" i="1" s="1"/>
  <c r="P664" i="1"/>
  <c r="Q664" i="1" s="1"/>
  <c r="P680" i="1"/>
  <c r="Q680" i="1" s="1"/>
  <c r="P696" i="1"/>
  <c r="Q696" i="1" s="1"/>
  <c r="P712" i="1"/>
  <c r="Q712" i="1" s="1"/>
  <c r="P728" i="1"/>
  <c r="Q728" i="1" s="1"/>
  <c r="P744" i="1"/>
  <c r="Q744" i="1" s="1"/>
  <c r="P760" i="1"/>
  <c r="Q760" i="1" s="1"/>
  <c r="P776" i="1"/>
  <c r="Q776" i="1" s="1"/>
  <c r="P9" i="1"/>
  <c r="Q9" i="1" s="1"/>
  <c r="P25" i="1"/>
  <c r="Q25" i="1" s="1"/>
  <c r="P41" i="1"/>
  <c r="Q41" i="1" s="1"/>
  <c r="P57" i="1"/>
  <c r="Q57" i="1" s="1"/>
  <c r="P73" i="1"/>
  <c r="Q73" i="1" s="1"/>
  <c r="P89" i="1"/>
  <c r="Q89" i="1" s="1"/>
  <c r="P105" i="1"/>
  <c r="Q105" i="1" s="1"/>
  <c r="P121" i="1"/>
  <c r="Q121" i="1" s="1"/>
  <c r="P137" i="1"/>
  <c r="Q137" i="1" s="1"/>
  <c r="P153" i="1"/>
  <c r="Q153" i="1" s="1"/>
  <c r="P169" i="1"/>
  <c r="Q169" i="1" s="1"/>
  <c r="P185" i="1"/>
  <c r="Q185" i="1" s="1"/>
  <c r="P201" i="1"/>
  <c r="Q201" i="1" s="1"/>
  <c r="P10" i="1"/>
  <c r="Q10" i="1" s="1"/>
  <c r="P26" i="1"/>
  <c r="Q26" i="1" s="1"/>
  <c r="P42" i="1"/>
  <c r="Q42" i="1" s="1"/>
  <c r="P58" i="1"/>
  <c r="Q58" i="1" s="1"/>
  <c r="P74" i="1"/>
  <c r="Q74" i="1" s="1"/>
  <c r="P90" i="1"/>
  <c r="Q90" i="1" s="1"/>
  <c r="P106" i="1"/>
  <c r="Q106" i="1" s="1"/>
  <c r="P122" i="1"/>
  <c r="Q122" i="1" s="1"/>
  <c r="P138" i="1"/>
  <c r="Q138" i="1" s="1"/>
  <c r="P154" i="1"/>
  <c r="Q154" i="1" s="1"/>
  <c r="P170" i="1"/>
  <c r="Q170" i="1" s="1"/>
  <c r="P186" i="1"/>
  <c r="Q186" i="1" s="1"/>
  <c r="P202" i="1"/>
  <c r="Q202" i="1" s="1"/>
  <c r="P218" i="1"/>
  <c r="Q218" i="1" s="1"/>
  <c r="P234" i="1"/>
  <c r="Q234" i="1" s="1"/>
  <c r="P250" i="1"/>
  <c r="Q250" i="1" s="1"/>
  <c r="P266" i="1"/>
  <c r="Q266" i="1" s="1"/>
  <c r="P282" i="1"/>
  <c r="Q282" i="1" s="1"/>
  <c r="P298" i="1"/>
  <c r="Q298" i="1" s="1"/>
  <c r="P314" i="1"/>
  <c r="Q314" i="1" s="1"/>
  <c r="P330" i="1"/>
  <c r="Q330" i="1" s="1"/>
  <c r="P346" i="1"/>
  <c r="Q346" i="1" s="1"/>
  <c r="P362" i="1"/>
  <c r="Q362" i="1" s="1"/>
  <c r="P378" i="1"/>
  <c r="Q378" i="1" s="1"/>
  <c r="P394" i="1"/>
  <c r="Q394" i="1" s="1"/>
  <c r="P410" i="1"/>
  <c r="Q410" i="1" s="1"/>
  <c r="P426" i="1"/>
  <c r="Q426" i="1" s="1"/>
  <c r="P442" i="1"/>
  <c r="Q442" i="1" s="1"/>
  <c r="P458" i="1"/>
  <c r="Q458" i="1" s="1"/>
  <c r="P474" i="1"/>
  <c r="Q474" i="1" s="1"/>
  <c r="P490" i="1"/>
  <c r="Q490" i="1" s="1"/>
  <c r="P506" i="1"/>
  <c r="Q506" i="1" s="1"/>
  <c r="P522" i="1"/>
  <c r="Q522" i="1" s="1"/>
  <c r="P538" i="1"/>
  <c r="Q538" i="1" s="1"/>
  <c r="P554" i="1"/>
  <c r="Q554" i="1" s="1"/>
  <c r="P570" i="1"/>
  <c r="Q570" i="1" s="1"/>
  <c r="P586" i="1"/>
  <c r="Q586" i="1" s="1"/>
  <c r="P602" i="1"/>
  <c r="Q602" i="1" s="1"/>
  <c r="P618" i="1"/>
  <c r="Q618" i="1" s="1"/>
  <c r="P634" i="1"/>
  <c r="Q634" i="1" s="1"/>
  <c r="P650" i="1"/>
  <c r="Q650" i="1" s="1"/>
  <c r="P666" i="1"/>
  <c r="Q666" i="1" s="1"/>
  <c r="P682" i="1"/>
  <c r="Q682" i="1" s="1"/>
  <c r="P698" i="1"/>
  <c r="Q698" i="1" s="1"/>
  <c r="P714" i="1"/>
  <c r="Q714" i="1" s="1"/>
  <c r="P730" i="1"/>
  <c r="Q730" i="1" s="1"/>
  <c r="P746" i="1"/>
  <c r="Q746" i="1" s="1"/>
  <c r="P762" i="1"/>
  <c r="Q762" i="1" s="1"/>
  <c r="P778" i="1"/>
  <c r="Q778" i="1" s="1"/>
  <c r="P794" i="1"/>
  <c r="Q794" i="1" s="1"/>
  <c r="P810" i="1"/>
  <c r="Q810" i="1" s="1"/>
  <c r="P826" i="1"/>
  <c r="Q826" i="1" s="1"/>
  <c r="P842" i="1"/>
  <c r="Q842" i="1" s="1"/>
  <c r="P858" i="1"/>
  <c r="Q858" i="1" s="1"/>
  <c r="P874" i="1"/>
  <c r="Q874" i="1" s="1"/>
  <c r="P890" i="1"/>
  <c r="Q890" i="1" s="1"/>
  <c r="P906" i="1"/>
  <c r="Q906" i="1" s="1"/>
  <c r="P922" i="1"/>
  <c r="Q922" i="1" s="1"/>
  <c r="P938" i="1"/>
  <c r="Q938" i="1" s="1"/>
  <c r="P954" i="1"/>
  <c r="Q954" i="1" s="1"/>
  <c r="P970" i="1"/>
  <c r="Q970" i="1" s="1"/>
  <c r="P986" i="1"/>
  <c r="Q986" i="1" s="1"/>
  <c r="P1002" i="1"/>
  <c r="Q1002" i="1" s="1"/>
  <c r="P1018" i="1"/>
  <c r="Q1018" i="1" s="1"/>
  <c r="P1034" i="1"/>
  <c r="Q1034" i="1" s="1"/>
  <c r="P1050" i="1"/>
  <c r="Q1050" i="1" s="1"/>
  <c r="P1066" i="1"/>
  <c r="Q1066" i="1" s="1"/>
  <c r="P1082" i="1"/>
  <c r="Q1082" i="1" s="1"/>
  <c r="P1098" i="1"/>
  <c r="Q1098" i="1" s="1"/>
  <c r="P1114" i="1"/>
  <c r="Q1114" i="1" s="1"/>
  <c r="P1130" i="1"/>
  <c r="Q1130" i="1" s="1"/>
  <c r="P1146" i="1"/>
  <c r="Q1146" i="1" s="1"/>
  <c r="P1162" i="1"/>
  <c r="Q1162" i="1" s="1"/>
  <c r="P1178" i="1"/>
  <c r="Q1178" i="1" s="1"/>
  <c r="P1194" i="1"/>
  <c r="Q1194" i="1" s="1"/>
  <c r="P1210" i="1"/>
  <c r="Q1210" i="1" s="1"/>
  <c r="P1226" i="1"/>
  <c r="Q1226" i="1" s="1"/>
  <c r="P1242" i="1"/>
  <c r="Q1242" i="1" s="1"/>
  <c r="P1258" i="1"/>
  <c r="Q1258" i="1" s="1"/>
  <c r="P1274" i="1"/>
  <c r="Q1274" i="1" s="1"/>
  <c r="P1290" i="1"/>
  <c r="Q1290" i="1" s="1"/>
  <c r="P1306" i="1"/>
  <c r="Q1306" i="1" s="1"/>
  <c r="P1322" i="1"/>
  <c r="Q1322" i="1" s="1"/>
  <c r="P1338" i="1"/>
  <c r="Q1338" i="1" s="1"/>
  <c r="P11" i="1"/>
  <c r="Q11" i="1" s="1"/>
  <c r="P27" i="1"/>
  <c r="Q27" i="1" s="1"/>
  <c r="P43" i="1"/>
  <c r="Q43" i="1" s="1"/>
  <c r="P59" i="1"/>
  <c r="Q59" i="1" s="1"/>
  <c r="P75" i="1"/>
  <c r="Q75" i="1" s="1"/>
  <c r="P91" i="1"/>
  <c r="Q91" i="1" s="1"/>
  <c r="P107" i="1"/>
  <c r="Q107" i="1" s="1"/>
  <c r="P123" i="1"/>
  <c r="Q123" i="1" s="1"/>
  <c r="P139" i="1"/>
  <c r="Q139" i="1" s="1"/>
  <c r="P155" i="1"/>
  <c r="Q155" i="1" s="1"/>
  <c r="P171" i="1"/>
  <c r="Q171" i="1" s="1"/>
  <c r="P187" i="1"/>
  <c r="Q187" i="1" s="1"/>
  <c r="P203" i="1"/>
  <c r="Q203" i="1" s="1"/>
  <c r="P219" i="1"/>
  <c r="Q219" i="1" s="1"/>
  <c r="P235" i="1"/>
  <c r="Q235" i="1" s="1"/>
  <c r="P251" i="1"/>
  <c r="Q251" i="1" s="1"/>
  <c r="P267" i="1"/>
  <c r="Q267" i="1" s="1"/>
  <c r="P283" i="1"/>
  <c r="Q283" i="1" s="1"/>
  <c r="P299" i="1"/>
  <c r="Q299" i="1" s="1"/>
  <c r="P315" i="1"/>
  <c r="Q315" i="1" s="1"/>
  <c r="P331" i="1"/>
  <c r="Q331" i="1" s="1"/>
  <c r="P347" i="1"/>
  <c r="Q347" i="1" s="1"/>
  <c r="P363" i="1"/>
  <c r="Q363" i="1" s="1"/>
  <c r="P379" i="1"/>
  <c r="Q379" i="1" s="1"/>
  <c r="P395" i="1"/>
  <c r="Q395" i="1" s="1"/>
  <c r="P411" i="1"/>
  <c r="Q411" i="1" s="1"/>
  <c r="P427" i="1"/>
  <c r="Q427" i="1" s="1"/>
  <c r="P443" i="1"/>
  <c r="Q443" i="1" s="1"/>
  <c r="P459" i="1"/>
  <c r="Q459" i="1" s="1"/>
  <c r="P475" i="1"/>
  <c r="Q475" i="1" s="1"/>
  <c r="P491" i="1"/>
  <c r="Q491" i="1" s="1"/>
  <c r="P507" i="1"/>
  <c r="Q507" i="1" s="1"/>
  <c r="P523" i="1"/>
  <c r="Q523" i="1" s="1"/>
  <c r="P539" i="1"/>
  <c r="Q539" i="1" s="1"/>
  <c r="P555" i="1"/>
  <c r="Q555" i="1" s="1"/>
  <c r="P571" i="1"/>
  <c r="Q571" i="1" s="1"/>
  <c r="P587" i="1"/>
  <c r="Q587" i="1" s="1"/>
  <c r="P603" i="1"/>
  <c r="Q603" i="1" s="1"/>
  <c r="P619" i="1"/>
  <c r="Q619" i="1" s="1"/>
  <c r="P635" i="1"/>
  <c r="Q635" i="1" s="1"/>
  <c r="P651" i="1"/>
  <c r="Q651" i="1" s="1"/>
  <c r="P667" i="1"/>
  <c r="Q667" i="1" s="1"/>
  <c r="P683" i="1"/>
  <c r="Q683" i="1" s="1"/>
  <c r="P699" i="1"/>
  <c r="Q699" i="1" s="1"/>
  <c r="P715" i="1"/>
  <c r="Q715" i="1" s="1"/>
  <c r="P731" i="1"/>
  <c r="Q731" i="1" s="1"/>
  <c r="P747" i="1"/>
  <c r="Q747" i="1" s="1"/>
  <c r="P763" i="1"/>
  <c r="Q763" i="1" s="1"/>
  <c r="P779" i="1"/>
  <c r="Q779" i="1" s="1"/>
  <c r="P795" i="1"/>
  <c r="Q795" i="1" s="1"/>
  <c r="P811" i="1"/>
  <c r="Q811" i="1" s="1"/>
  <c r="P827" i="1"/>
  <c r="Q827" i="1" s="1"/>
  <c r="P843" i="1"/>
  <c r="Q843" i="1" s="1"/>
  <c r="P859" i="1"/>
  <c r="Q859" i="1" s="1"/>
  <c r="P875" i="1"/>
  <c r="Q875" i="1" s="1"/>
  <c r="P891" i="1"/>
  <c r="Q891" i="1" s="1"/>
  <c r="P907" i="1"/>
  <c r="Q907" i="1" s="1"/>
  <c r="P923" i="1"/>
  <c r="Q923" i="1" s="1"/>
  <c r="P939" i="1"/>
  <c r="Q939" i="1" s="1"/>
  <c r="P955" i="1"/>
  <c r="Q955" i="1" s="1"/>
  <c r="P971" i="1"/>
  <c r="Q971" i="1" s="1"/>
  <c r="P987" i="1"/>
  <c r="Q987" i="1" s="1"/>
  <c r="P12" i="1"/>
  <c r="Q12" i="1" s="1"/>
  <c r="P28" i="1"/>
  <c r="Q28" i="1" s="1"/>
  <c r="P44" i="1"/>
  <c r="Q44" i="1" s="1"/>
  <c r="P60" i="1"/>
  <c r="Q60" i="1" s="1"/>
  <c r="P76" i="1"/>
  <c r="Q76" i="1" s="1"/>
  <c r="P92" i="1"/>
  <c r="Q92" i="1" s="1"/>
  <c r="P108" i="1"/>
  <c r="Q108" i="1" s="1"/>
  <c r="P124" i="1"/>
  <c r="Q124" i="1" s="1"/>
  <c r="P140" i="1"/>
  <c r="Q140" i="1" s="1"/>
  <c r="P156" i="1"/>
  <c r="Q156" i="1" s="1"/>
  <c r="P172" i="1"/>
  <c r="Q172" i="1" s="1"/>
  <c r="P188" i="1"/>
  <c r="Q188" i="1" s="1"/>
  <c r="P204" i="1"/>
  <c r="Q204" i="1" s="1"/>
  <c r="P220" i="1"/>
  <c r="Q220" i="1" s="1"/>
  <c r="P236" i="1"/>
  <c r="Q236" i="1" s="1"/>
  <c r="P252" i="1"/>
  <c r="Q252" i="1" s="1"/>
  <c r="P268" i="1"/>
  <c r="Q268" i="1" s="1"/>
  <c r="P284" i="1"/>
  <c r="Q284" i="1" s="1"/>
  <c r="P300" i="1"/>
  <c r="Q300" i="1" s="1"/>
  <c r="P316" i="1"/>
  <c r="Q316" i="1" s="1"/>
  <c r="P332" i="1"/>
  <c r="Q332" i="1" s="1"/>
  <c r="P348" i="1"/>
  <c r="Q348" i="1" s="1"/>
  <c r="P364" i="1"/>
  <c r="Q364" i="1" s="1"/>
  <c r="P380" i="1"/>
  <c r="Q380" i="1" s="1"/>
  <c r="P396" i="1"/>
  <c r="Q396" i="1" s="1"/>
  <c r="P412" i="1"/>
  <c r="Q412" i="1" s="1"/>
  <c r="P428" i="1"/>
  <c r="Q428" i="1" s="1"/>
  <c r="P444" i="1"/>
  <c r="Q444" i="1" s="1"/>
  <c r="P460" i="1"/>
  <c r="Q460" i="1" s="1"/>
  <c r="P476" i="1"/>
  <c r="Q476" i="1" s="1"/>
  <c r="P492" i="1"/>
  <c r="Q492" i="1" s="1"/>
  <c r="P508" i="1"/>
  <c r="Q508" i="1" s="1"/>
  <c r="P524" i="1"/>
  <c r="Q524" i="1" s="1"/>
  <c r="P540" i="1"/>
  <c r="Q540" i="1" s="1"/>
  <c r="P556" i="1"/>
  <c r="Q556" i="1" s="1"/>
  <c r="P572" i="1"/>
  <c r="Q572" i="1" s="1"/>
  <c r="P588" i="1"/>
  <c r="Q588" i="1" s="1"/>
  <c r="P604" i="1"/>
  <c r="Q604" i="1" s="1"/>
  <c r="P620" i="1"/>
  <c r="Q620" i="1" s="1"/>
  <c r="P636" i="1"/>
  <c r="Q636" i="1" s="1"/>
  <c r="P652" i="1"/>
  <c r="Q652" i="1" s="1"/>
  <c r="P668" i="1"/>
  <c r="Q668" i="1" s="1"/>
  <c r="P684" i="1"/>
  <c r="Q684" i="1" s="1"/>
  <c r="P700" i="1"/>
  <c r="Q700" i="1" s="1"/>
  <c r="P716" i="1"/>
  <c r="Q716" i="1" s="1"/>
  <c r="P732" i="1"/>
  <c r="Q732" i="1" s="1"/>
  <c r="P748" i="1"/>
  <c r="Q748" i="1" s="1"/>
  <c r="P764" i="1"/>
  <c r="Q764" i="1" s="1"/>
  <c r="P780" i="1"/>
  <c r="Q780" i="1" s="1"/>
  <c r="P796" i="1"/>
  <c r="Q796" i="1" s="1"/>
  <c r="P812" i="1"/>
  <c r="Q812" i="1" s="1"/>
  <c r="P828" i="1"/>
  <c r="Q828" i="1" s="1"/>
  <c r="P844" i="1"/>
  <c r="Q844" i="1" s="1"/>
  <c r="P860" i="1"/>
  <c r="Q860" i="1" s="1"/>
  <c r="P876" i="1"/>
  <c r="Q876" i="1" s="1"/>
  <c r="P892" i="1"/>
  <c r="Q892" i="1" s="1"/>
  <c r="P908" i="1"/>
  <c r="Q908" i="1" s="1"/>
  <c r="P924" i="1"/>
  <c r="Q924" i="1" s="1"/>
  <c r="P940" i="1"/>
  <c r="Q940" i="1" s="1"/>
  <c r="P956" i="1"/>
  <c r="Q956" i="1" s="1"/>
  <c r="P972" i="1"/>
  <c r="Q972" i="1" s="1"/>
  <c r="P988" i="1"/>
  <c r="Q988" i="1" s="1"/>
  <c r="P1004" i="1"/>
  <c r="Q1004" i="1" s="1"/>
  <c r="P1020" i="1"/>
  <c r="Q1020" i="1" s="1"/>
  <c r="P1036" i="1"/>
  <c r="Q1036" i="1" s="1"/>
  <c r="P1052" i="1"/>
  <c r="Q1052" i="1" s="1"/>
  <c r="P1068" i="1"/>
  <c r="Q1068" i="1" s="1"/>
  <c r="P1084" i="1"/>
  <c r="Q1084" i="1" s="1"/>
  <c r="P1100" i="1"/>
  <c r="Q1100" i="1" s="1"/>
  <c r="P1116" i="1"/>
  <c r="Q1116" i="1" s="1"/>
  <c r="P1132" i="1"/>
  <c r="Q1132" i="1" s="1"/>
  <c r="P1148" i="1"/>
  <c r="Q1148" i="1" s="1"/>
  <c r="P1164" i="1"/>
  <c r="Q1164" i="1" s="1"/>
  <c r="P1180" i="1"/>
  <c r="Q1180" i="1" s="1"/>
  <c r="P1196" i="1"/>
  <c r="Q1196" i="1" s="1"/>
  <c r="P1212" i="1"/>
  <c r="Q1212" i="1" s="1"/>
  <c r="P1228" i="1"/>
  <c r="Q1228" i="1" s="1"/>
  <c r="P1244" i="1"/>
  <c r="Q1244" i="1" s="1"/>
  <c r="P1260" i="1"/>
  <c r="Q1260" i="1" s="1"/>
  <c r="P1276" i="1"/>
  <c r="Q1276" i="1" s="1"/>
  <c r="P1292" i="1"/>
  <c r="Q1292" i="1" s="1"/>
  <c r="P1308" i="1"/>
  <c r="Q1308" i="1" s="1"/>
  <c r="P1324" i="1"/>
  <c r="Q1324" i="1" s="1"/>
  <c r="P13" i="1"/>
  <c r="Q13" i="1" s="1"/>
  <c r="P29" i="1"/>
  <c r="Q29" i="1" s="1"/>
  <c r="P45" i="1"/>
  <c r="Q45" i="1" s="1"/>
  <c r="P61" i="1"/>
  <c r="Q61" i="1" s="1"/>
  <c r="P77" i="1"/>
  <c r="Q77" i="1" s="1"/>
  <c r="P93" i="1"/>
  <c r="Q93" i="1" s="1"/>
  <c r="P109" i="1"/>
  <c r="Q109" i="1" s="1"/>
  <c r="P125" i="1"/>
  <c r="Q125" i="1" s="1"/>
  <c r="P141" i="1"/>
  <c r="Q141" i="1" s="1"/>
  <c r="P157" i="1"/>
  <c r="Q157" i="1" s="1"/>
  <c r="P173" i="1"/>
  <c r="Q173" i="1" s="1"/>
  <c r="P189" i="1"/>
  <c r="Q189" i="1" s="1"/>
  <c r="P205" i="1"/>
  <c r="Q205" i="1" s="1"/>
  <c r="P221" i="1"/>
  <c r="Q221" i="1" s="1"/>
  <c r="P237" i="1"/>
  <c r="Q237" i="1" s="1"/>
  <c r="P253" i="1"/>
  <c r="Q253" i="1" s="1"/>
  <c r="P269" i="1"/>
  <c r="Q269" i="1" s="1"/>
  <c r="P285" i="1"/>
  <c r="Q285" i="1" s="1"/>
  <c r="P301" i="1"/>
  <c r="Q301" i="1" s="1"/>
  <c r="P317" i="1"/>
  <c r="Q317" i="1" s="1"/>
  <c r="P333" i="1"/>
  <c r="Q333" i="1" s="1"/>
  <c r="P349" i="1"/>
  <c r="Q349" i="1" s="1"/>
  <c r="P365" i="1"/>
  <c r="Q365" i="1" s="1"/>
  <c r="P381" i="1"/>
  <c r="Q381" i="1" s="1"/>
  <c r="P397" i="1"/>
  <c r="Q397" i="1" s="1"/>
  <c r="P413" i="1"/>
  <c r="Q413" i="1" s="1"/>
  <c r="P429" i="1"/>
  <c r="Q429" i="1" s="1"/>
  <c r="P445" i="1"/>
  <c r="Q445" i="1" s="1"/>
  <c r="P461" i="1"/>
  <c r="Q461" i="1" s="1"/>
  <c r="P477" i="1"/>
  <c r="Q477" i="1" s="1"/>
  <c r="P493" i="1"/>
  <c r="Q493" i="1" s="1"/>
  <c r="P509" i="1"/>
  <c r="Q509" i="1" s="1"/>
  <c r="P525" i="1"/>
  <c r="Q525" i="1" s="1"/>
  <c r="P541" i="1"/>
  <c r="Q541" i="1" s="1"/>
  <c r="P557" i="1"/>
  <c r="Q557" i="1" s="1"/>
  <c r="P573" i="1"/>
  <c r="Q573" i="1" s="1"/>
  <c r="P589" i="1"/>
  <c r="Q589" i="1" s="1"/>
  <c r="P605" i="1"/>
  <c r="Q605" i="1" s="1"/>
  <c r="P621" i="1"/>
  <c r="Q621" i="1" s="1"/>
  <c r="P637" i="1"/>
  <c r="Q637" i="1" s="1"/>
  <c r="P653" i="1"/>
  <c r="Q653" i="1" s="1"/>
  <c r="P669" i="1"/>
  <c r="Q669" i="1" s="1"/>
  <c r="P685" i="1"/>
  <c r="Q685" i="1" s="1"/>
  <c r="P701" i="1"/>
  <c r="Q701" i="1" s="1"/>
  <c r="P717" i="1"/>
  <c r="Q717" i="1" s="1"/>
  <c r="P733" i="1"/>
  <c r="Q733" i="1" s="1"/>
  <c r="P749" i="1"/>
  <c r="Q749" i="1" s="1"/>
  <c r="P765" i="1"/>
  <c r="Q765" i="1" s="1"/>
  <c r="P781" i="1"/>
  <c r="Q781" i="1" s="1"/>
  <c r="P797" i="1"/>
  <c r="Q797" i="1" s="1"/>
  <c r="P813" i="1"/>
  <c r="Q813" i="1" s="1"/>
  <c r="P829" i="1"/>
  <c r="Q829" i="1" s="1"/>
  <c r="P845" i="1"/>
  <c r="Q845" i="1" s="1"/>
  <c r="P861" i="1"/>
  <c r="Q861" i="1" s="1"/>
  <c r="P877" i="1"/>
  <c r="Q877" i="1" s="1"/>
  <c r="P893" i="1"/>
  <c r="Q893" i="1" s="1"/>
  <c r="P909" i="1"/>
  <c r="Q909" i="1" s="1"/>
  <c r="P925" i="1"/>
  <c r="Q925" i="1" s="1"/>
  <c r="P941" i="1"/>
  <c r="Q941" i="1" s="1"/>
  <c r="P957" i="1"/>
  <c r="Q957" i="1" s="1"/>
  <c r="P973" i="1"/>
  <c r="Q973" i="1" s="1"/>
  <c r="P989" i="1"/>
  <c r="Q989" i="1" s="1"/>
  <c r="P1005" i="1"/>
  <c r="Q1005" i="1" s="1"/>
  <c r="P1021" i="1"/>
  <c r="Q1021" i="1" s="1"/>
  <c r="P14" i="1"/>
  <c r="Q14" i="1" s="1"/>
  <c r="P30" i="1"/>
  <c r="Q30" i="1" s="1"/>
  <c r="P46" i="1"/>
  <c r="Q46" i="1" s="1"/>
  <c r="P62" i="1"/>
  <c r="Q62" i="1" s="1"/>
  <c r="P78" i="1"/>
  <c r="Q78" i="1" s="1"/>
  <c r="P94" i="1"/>
  <c r="Q94" i="1" s="1"/>
  <c r="P110" i="1"/>
  <c r="Q110" i="1" s="1"/>
  <c r="P126" i="1"/>
  <c r="Q126" i="1" s="1"/>
  <c r="P142" i="1"/>
  <c r="Q142" i="1" s="1"/>
  <c r="P158" i="1"/>
  <c r="Q158" i="1" s="1"/>
  <c r="P174" i="1"/>
  <c r="Q174" i="1" s="1"/>
  <c r="P190" i="1"/>
  <c r="Q190" i="1" s="1"/>
  <c r="P206" i="1"/>
  <c r="Q206" i="1" s="1"/>
  <c r="P222" i="1"/>
  <c r="Q222" i="1" s="1"/>
  <c r="P238" i="1"/>
  <c r="Q238" i="1" s="1"/>
  <c r="P254" i="1"/>
  <c r="Q254" i="1" s="1"/>
  <c r="P270" i="1"/>
  <c r="Q270" i="1" s="1"/>
  <c r="P286" i="1"/>
  <c r="Q286" i="1" s="1"/>
  <c r="P302" i="1"/>
  <c r="Q302" i="1" s="1"/>
  <c r="P318" i="1"/>
  <c r="Q318" i="1" s="1"/>
  <c r="P334" i="1"/>
  <c r="Q334" i="1" s="1"/>
  <c r="P350" i="1"/>
  <c r="Q350" i="1" s="1"/>
  <c r="P366" i="1"/>
  <c r="Q366" i="1" s="1"/>
  <c r="P382" i="1"/>
  <c r="Q382" i="1" s="1"/>
  <c r="P398" i="1"/>
  <c r="Q398" i="1" s="1"/>
  <c r="P414" i="1"/>
  <c r="Q414" i="1" s="1"/>
  <c r="P430" i="1"/>
  <c r="Q430" i="1" s="1"/>
  <c r="P446" i="1"/>
  <c r="Q446" i="1" s="1"/>
  <c r="P462" i="1"/>
  <c r="Q462" i="1" s="1"/>
  <c r="P478" i="1"/>
  <c r="Q478" i="1" s="1"/>
  <c r="P494" i="1"/>
  <c r="Q494" i="1" s="1"/>
  <c r="P510" i="1"/>
  <c r="Q510" i="1" s="1"/>
  <c r="P526" i="1"/>
  <c r="Q526" i="1" s="1"/>
  <c r="P542" i="1"/>
  <c r="Q542" i="1" s="1"/>
  <c r="P558" i="1"/>
  <c r="Q558" i="1" s="1"/>
  <c r="P574" i="1"/>
  <c r="Q574" i="1" s="1"/>
  <c r="P590" i="1"/>
  <c r="Q590" i="1" s="1"/>
  <c r="P606" i="1"/>
  <c r="Q606" i="1" s="1"/>
  <c r="P622" i="1"/>
  <c r="Q622" i="1" s="1"/>
  <c r="P638" i="1"/>
  <c r="Q638" i="1" s="1"/>
  <c r="P654" i="1"/>
  <c r="Q654" i="1" s="1"/>
  <c r="P670" i="1"/>
  <c r="Q670" i="1" s="1"/>
  <c r="P686" i="1"/>
  <c r="Q686" i="1" s="1"/>
  <c r="P702" i="1"/>
  <c r="Q702" i="1" s="1"/>
  <c r="P718" i="1"/>
  <c r="Q718" i="1" s="1"/>
  <c r="P734" i="1"/>
  <c r="Q734" i="1" s="1"/>
  <c r="P750" i="1"/>
  <c r="Q750" i="1" s="1"/>
  <c r="P766" i="1"/>
  <c r="Q766" i="1" s="1"/>
  <c r="P782" i="1"/>
  <c r="Q782" i="1" s="1"/>
  <c r="P798" i="1"/>
  <c r="Q798" i="1" s="1"/>
  <c r="P814" i="1"/>
  <c r="Q814" i="1" s="1"/>
  <c r="P830" i="1"/>
  <c r="Q830" i="1" s="1"/>
  <c r="P846" i="1"/>
  <c r="Q846" i="1" s="1"/>
  <c r="P862" i="1"/>
  <c r="Q862" i="1" s="1"/>
  <c r="P878" i="1"/>
  <c r="Q878" i="1" s="1"/>
  <c r="P894" i="1"/>
  <c r="Q894" i="1" s="1"/>
  <c r="P910" i="1"/>
  <c r="Q910" i="1" s="1"/>
  <c r="P926" i="1"/>
  <c r="Q926" i="1" s="1"/>
  <c r="P15" i="1"/>
  <c r="Q15" i="1" s="1"/>
  <c r="P31" i="1"/>
  <c r="Q31" i="1" s="1"/>
  <c r="P47" i="1"/>
  <c r="Q47" i="1" s="1"/>
  <c r="P63" i="1"/>
  <c r="Q63" i="1" s="1"/>
  <c r="P79" i="1"/>
  <c r="Q79" i="1" s="1"/>
  <c r="P95" i="1"/>
  <c r="Q95" i="1" s="1"/>
  <c r="P111" i="1"/>
  <c r="Q111" i="1" s="1"/>
  <c r="P127" i="1"/>
  <c r="Q127" i="1" s="1"/>
  <c r="P143" i="1"/>
  <c r="Q143" i="1" s="1"/>
  <c r="P159" i="1"/>
  <c r="Q159" i="1" s="1"/>
  <c r="P175" i="1"/>
  <c r="Q175" i="1" s="1"/>
  <c r="P191" i="1"/>
  <c r="Q191" i="1" s="1"/>
  <c r="P207" i="1"/>
  <c r="Q207" i="1" s="1"/>
  <c r="P223" i="1"/>
  <c r="Q223" i="1" s="1"/>
  <c r="P239" i="1"/>
  <c r="Q239" i="1" s="1"/>
  <c r="P255" i="1"/>
  <c r="Q255" i="1" s="1"/>
  <c r="P271" i="1"/>
  <c r="Q271" i="1" s="1"/>
  <c r="P287" i="1"/>
  <c r="Q287" i="1" s="1"/>
  <c r="P303" i="1"/>
  <c r="Q303" i="1" s="1"/>
  <c r="P319" i="1"/>
  <c r="Q319" i="1" s="1"/>
  <c r="P335" i="1"/>
  <c r="Q335" i="1" s="1"/>
  <c r="P351" i="1"/>
  <c r="Q351" i="1" s="1"/>
  <c r="P367" i="1"/>
  <c r="Q367" i="1" s="1"/>
  <c r="P383" i="1"/>
  <c r="Q383" i="1" s="1"/>
  <c r="P399" i="1"/>
  <c r="Q399" i="1" s="1"/>
  <c r="P415" i="1"/>
  <c r="Q415" i="1" s="1"/>
  <c r="P431" i="1"/>
  <c r="Q431" i="1" s="1"/>
  <c r="P447" i="1"/>
  <c r="Q447" i="1" s="1"/>
  <c r="P463" i="1"/>
  <c r="Q463" i="1" s="1"/>
  <c r="P479" i="1"/>
  <c r="Q479" i="1" s="1"/>
  <c r="P495" i="1"/>
  <c r="Q495" i="1" s="1"/>
  <c r="P511" i="1"/>
  <c r="Q511" i="1" s="1"/>
  <c r="P527" i="1"/>
  <c r="Q527" i="1" s="1"/>
  <c r="P543" i="1"/>
  <c r="Q543" i="1" s="1"/>
  <c r="P559" i="1"/>
  <c r="Q559" i="1" s="1"/>
  <c r="P575" i="1"/>
  <c r="Q575" i="1" s="1"/>
  <c r="P591" i="1"/>
  <c r="Q591" i="1" s="1"/>
  <c r="P607" i="1"/>
  <c r="Q607" i="1" s="1"/>
  <c r="P623" i="1"/>
  <c r="Q623" i="1" s="1"/>
  <c r="P639" i="1"/>
  <c r="Q639" i="1" s="1"/>
  <c r="P655" i="1"/>
  <c r="Q655" i="1" s="1"/>
  <c r="P671" i="1"/>
  <c r="Q671" i="1" s="1"/>
  <c r="P687" i="1"/>
  <c r="Q687" i="1" s="1"/>
  <c r="P703" i="1"/>
  <c r="Q703" i="1" s="1"/>
  <c r="P719" i="1"/>
  <c r="Q719" i="1" s="1"/>
  <c r="P735" i="1"/>
  <c r="Q735" i="1" s="1"/>
  <c r="P751" i="1"/>
  <c r="Q751" i="1" s="1"/>
  <c r="P767" i="1"/>
  <c r="Q767" i="1" s="1"/>
  <c r="P783" i="1"/>
  <c r="Q783" i="1" s="1"/>
  <c r="P16" i="1"/>
  <c r="Q16" i="1" s="1"/>
  <c r="P32" i="1"/>
  <c r="Q32" i="1" s="1"/>
  <c r="P48" i="1"/>
  <c r="Q48" i="1" s="1"/>
  <c r="P64" i="1"/>
  <c r="Q64" i="1" s="1"/>
  <c r="P80" i="1"/>
  <c r="Q80" i="1" s="1"/>
  <c r="P96" i="1"/>
  <c r="Q96" i="1" s="1"/>
  <c r="P112" i="1"/>
  <c r="Q112" i="1" s="1"/>
  <c r="P128" i="1"/>
  <c r="Q128" i="1" s="1"/>
  <c r="P144" i="1"/>
  <c r="Q144" i="1" s="1"/>
  <c r="P160" i="1"/>
  <c r="Q160" i="1" s="1"/>
  <c r="P176" i="1"/>
  <c r="Q176" i="1" s="1"/>
  <c r="P192" i="1"/>
  <c r="Q192" i="1" s="1"/>
  <c r="P208" i="1"/>
  <c r="Q208" i="1" s="1"/>
  <c r="P224" i="1"/>
  <c r="Q224" i="1" s="1"/>
  <c r="P240" i="1"/>
  <c r="Q240" i="1" s="1"/>
  <c r="P256" i="1"/>
  <c r="Q256" i="1" s="1"/>
  <c r="P272" i="1"/>
  <c r="Q272" i="1" s="1"/>
  <c r="P288" i="1"/>
  <c r="Q288" i="1" s="1"/>
  <c r="P304" i="1"/>
  <c r="Q304" i="1" s="1"/>
  <c r="P320" i="1"/>
  <c r="Q320" i="1" s="1"/>
  <c r="P336" i="1"/>
  <c r="Q336" i="1" s="1"/>
  <c r="P352" i="1"/>
  <c r="Q352" i="1" s="1"/>
  <c r="P368" i="1"/>
  <c r="Q368" i="1" s="1"/>
  <c r="P384" i="1"/>
  <c r="Q384" i="1" s="1"/>
  <c r="P400" i="1"/>
  <c r="Q400" i="1" s="1"/>
  <c r="P416" i="1"/>
  <c r="Q416" i="1" s="1"/>
  <c r="P432" i="1"/>
  <c r="Q432" i="1" s="1"/>
  <c r="P448" i="1"/>
  <c r="Q448" i="1" s="1"/>
  <c r="P464" i="1"/>
  <c r="Q464" i="1" s="1"/>
  <c r="P480" i="1"/>
  <c r="Q480" i="1" s="1"/>
  <c r="P496" i="1"/>
  <c r="Q496" i="1" s="1"/>
  <c r="P512" i="1"/>
  <c r="Q512" i="1" s="1"/>
  <c r="P528" i="1"/>
  <c r="Q528" i="1" s="1"/>
  <c r="P544" i="1"/>
  <c r="Q544" i="1" s="1"/>
  <c r="P560" i="1"/>
  <c r="Q560" i="1" s="1"/>
  <c r="P576" i="1"/>
  <c r="Q576" i="1" s="1"/>
  <c r="P592" i="1"/>
  <c r="Q592" i="1" s="1"/>
  <c r="P608" i="1"/>
  <c r="Q608" i="1" s="1"/>
  <c r="P624" i="1"/>
  <c r="Q624" i="1" s="1"/>
  <c r="P640" i="1"/>
  <c r="Q640" i="1" s="1"/>
  <c r="P656" i="1"/>
  <c r="Q656" i="1" s="1"/>
  <c r="P672" i="1"/>
  <c r="Q672" i="1" s="1"/>
  <c r="P688" i="1"/>
  <c r="Q688" i="1" s="1"/>
  <c r="P704" i="1"/>
  <c r="Q704" i="1" s="1"/>
  <c r="P720" i="1"/>
  <c r="Q720" i="1" s="1"/>
  <c r="P736" i="1"/>
  <c r="Q736" i="1" s="1"/>
  <c r="P752" i="1"/>
  <c r="Q752" i="1" s="1"/>
  <c r="P768" i="1"/>
  <c r="Q768" i="1" s="1"/>
  <c r="P784" i="1"/>
  <c r="Q784" i="1" s="1"/>
  <c r="P800" i="1"/>
  <c r="Q800" i="1" s="1"/>
  <c r="P816" i="1"/>
  <c r="Q816" i="1" s="1"/>
  <c r="P832" i="1"/>
  <c r="Q832" i="1" s="1"/>
  <c r="P848" i="1"/>
  <c r="Q848" i="1" s="1"/>
  <c r="P864" i="1"/>
  <c r="Q864" i="1" s="1"/>
  <c r="P880" i="1"/>
  <c r="Q880" i="1" s="1"/>
  <c r="P896" i="1"/>
  <c r="Q896" i="1" s="1"/>
  <c r="P912" i="1"/>
  <c r="Q912" i="1" s="1"/>
  <c r="P928" i="1"/>
  <c r="Q928" i="1" s="1"/>
  <c r="P944" i="1"/>
  <c r="Q944" i="1" s="1"/>
  <c r="P960" i="1"/>
  <c r="Q960" i="1" s="1"/>
  <c r="P976" i="1"/>
  <c r="Q976" i="1" s="1"/>
  <c r="P992" i="1"/>
  <c r="Q992" i="1" s="1"/>
  <c r="P1008" i="1"/>
  <c r="Q1008" i="1" s="1"/>
  <c r="P1024" i="1"/>
  <c r="Q1024" i="1" s="1"/>
  <c r="P1040" i="1"/>
  <c r="Q1040" i="1" s="1"/>
  <c r="P1056" i="1"/>
  <c r="Q1056" i="1" s="1"/>
  <c r="P1072" i="1"/>
  <c r="Q1072" i="1" s="1"/>
  <c r="P1088" i="1"/>
  <c r="Q1088" i="1" s="1"/>
  <c r="P1104" i="1"/>
  <c r="Q1104" i="1" s="1"/>
  <c r="P1120" i="1"/>
  <c r="Q1120" i="1" s="1"/>
  <c r="P1136" i="1"/>
  <c r="Q1136" i="1" s="1"/>
  <c r="P1152" i="1"/>
  <c r="Q1152" i="1" s="1"/>
  <c r="P1168" i="1"/>
  <c r="Q1168" i="1" s="1"/>
  <c r="P1184" i="1"/>
  <c r="Q1184" i="1" s="1"/>
  <c r="P1200" i="1"/>
  <c r="Q1200" i="1" s="1"/>
  <c r="P1216" i="1"/>
  <c r="Q1216" i="1" s="1"/>
  <c r="P1232" i="1"/>
  <c r="Q1232" i="1" s="1"/>
  <c r="P1248" i="1"/>
  <c r="Q1248" i="1" s="1"/>
  <c r="P1264" i="1"/>
  <c r="Q1264" i="1" s="1"/>
  <c r="P1280" i="1"/>
  <c r="Q1280" i="1" s="1"/>
  <c r="P1296" i="1"/>
  <c r="Q1296" i="1" s="1"/>
  <c r="P17" i="1"/>
  <c r="Q17" i="1" s="1"/>
  <c r="P33" i="1"/>
  <c r="Q33" i="1" s="1"/>
  <c r="P49" i="1"/>
  <c r="Q49" i="1" s="1"/>
  <c r="P65" i="1"/>
  <c r="Q65" i="1" s="1"/>
  <c r="P81" i="1"/>
  <c r="Q81" i="1" s="1"/>
  <c r="P97" i="1"/>
  <c r="Q97" i="1" s="1"/>
  <c r="P113" i="1"/>
  <c r="Q113" i="1" s="1"/>
  <c r="P129" i="1"/>
  <c r="Q129" i="1" s="1"/>
  <c r="P145" i="1"/>
  <c r="Q145" i="1" s="1"/>
  <c r="P161" i="1"/>
  <c r="Q161" i="1" s="1"/>
  <c r="P177" i="1"/>
  <c r="Q177" i="1" s="1"/>
  <c r="P193" i="1"/>
  <c r="Q193" i="1" s="1"/>
  <c r="P209" i="1"/>
  <c r="Q209" i="1" s="1"/>
  <c r="P225" i="1"/>
  <c r="Q225" i="1" s="1"/>
  <c r="P241" i="1"/>
  <c r="Q241" i="1" s="1"/>
  <c r="P257" i="1"/>
  <c r="Q257" i="1" s="1"/>
  <c r="P273" i="1"/>
  <c r="Q273" i="1" s="1"/>
  <c r="P289" i="1"/>
  <c r="Q289" i="1" s="1"/>
  <c r="P305" i="1"/>
  <c r="Q305" i="1" s="1"/>
  <c r="P321" i="1"/>
  <c r="Q321" i="1" s="1"/>
  <c r="P337" i="1"/>
  <c r="Q337" i="1" s="1"/>
  <c r="P353" i="1"/>
  <c r="Q353" i="1" s="1"/>
  <c r="P369" i="1"/>
  <c r="Q369" i="1" s="1"/>
  <c r="P385" i="1"/>
  <c r="Q385" i="1" s="1"/>
  <c r="P401" i="1"/>
  <c r="Q401" i="1" s="1"/>
  <c r="P417" i="1"/>
  <c r="Q417" i="1" s="1"/>
  <c r="P433" i="1"/>
  <c r="Q433" i="1" s="1"/>
  <c r="P449" i="1"/>
  <c r="Q449" i="1" s="1"/>
  <c r="P465" i="1"/>
  <c r="Q465" i="1" s="1"/>
  <c r="P481" i="1"/>
  <c r="Q481" i="1" s="1"/>
  <c r="P497" i="1"/>
  <c r="Q497" i="1" s="1"/>
  <c r="P513" i="1"/>
  <c r="Q513" i="1" s="1"/>
  <c r="P529" i="1"/>
  <c r="Q529" i="1" s="1"/>
  <c r="P545" i="1"/>
  <c r="Q545" i="1" s="1"/>
  <c r="P561" i="1"/>
  <c r="Q561" i="1" s="1"/>
  <c r="P577" i="1"/>
  <c r="Q577" i="1" s="1"/>
  <c r="P593" i="1"/>
  <c r="Q593" i="1" s="1"/>
  <c r="P609" i="1"/>
  <c r="Q609" i="1" s="1"/>
  <c r="P625" i="1"/>
  <c r="Q625" i="1" s="1"/>
  <c r="P641" i="1"/>
  <c r="Q641" i="1" s="1"/>
  <c r="P657" i="1"/>
  <c r="Q657" i="1" s="1"/>
  <c r="P673" i="1"/>
  <c r="Q673" i="1" s="1"/>
  <c r="P689" i="1"/>
  <c r="Q689" i="1" s="1"/>
  <c r="P705" i="1"/>
  <c r="Q705" i="1" s="1"/>
  <c r="P721" i="1"/>
  <c r="Q721" i="1" s="1"/>
  <c r="P737" i="1"/>
  <c r="Q737" i="1" s="1"/>
  <c r="P753" i="1"/>
  <c r="Q753" i="1" s="1"/>
  <c r="P769" i="1"/>
  <c r="Q769" i="1" s="1"/>
  <c r="P785" i="1"/>
  <c r="Q785" i="1" s="1"/>
  <c r="P801" i="1"/>
  <c r="Q801" i="1" s="1"/>
  <c r="P817" i="1"/>
  <c r="Q817" i="1" s="1"/>
  <c r="P833" i="1"/>
  <c r="Q833" i="1" s="1"/>
  <c r="P849" i="1"/>
  <c r="Q849" i="1" s="1"/>
  <c r="P865" i="1"/>
  <c r="Q865" i="1" s="1"/>
  <c r="P881" i="1"/>
  <c r="Q881" i="1" s="1"/>
  <c r="P897" i="1"/>
  <c r="Q897" i="1" s="1"/>
  <c r="P913" i="1"/>
  <c r="Q913" i="1" s="1"/>
  <c r="P929" i="1"/>
  <c r="Q929" i="1" s="1"/>
  <c r="P945" i="1"/>
  <c r="Q945" i="1" s="1"/>
  <c r="P961" i="1"/>
  <c r="Q961" i="1" s="1"/>
  <c r="P977" i="1"/>
  <c r="Q977" i="1" s="1"/>
  <c r="P993" i="1"/>
  <c r="Q993" i="1" s="1"/>
  <c r="P1009" i="1"/>
  <c r="Q1009" i="1" s="1"/>
  <c r="P1025" i="1"/>
  <c r="Q1025" i="1" s="1"/>
  <c r="P1041" i="1"/>
  <c r="Q1041" i="1" s="1"/>
  <c r="P1057" i="1"/>
  <c r="Q1057" i="1" s="1"/>
  <c r="P1073" i="1"/>
  <c r="Q1073" i="1" s="1"/>
  <c r="P1089" i="1"/>
  <c r="Q1089" i="1" s="1"/>
  <c r="P1105" i="1"/>
  <c r="Q1105" i="1" s="1"/>
  <c r="P1121" i="1"/>
  <c r="Q1121" i="1" s="1"/>
  <c r="P1137" i="1"/>
  <c r="Q1137" i="1" s="1"/>
  <c r="P1153" i="1"/>
  <c r="Q1153" i="1" s="1"/>
  <c r="P1169" i="1"/>
  <c r="Q1169" i="1" s="1"/>
  <c r="P1185" i="1"/>
  <c r="Q1185" i="1" s="1"/>
  <c r="P1201" i="1"/>
  <c r="Q1201" i="1" s="1"/>
  <c r="P1217" i="1"/>
  <c r="Q1217" i="1" s="1"/>
  <c r="P1233" i="1"/>
  <c r="Q1233" i="1" s="1"/>
  <c r="P1249" i="1"/>
  <c r="Q1249" i="1" s="1"/>
  <c r="P1265" i="1"/>
  <c r="Q1265" i="1" s="1"/>
  <c r="P1281" i="1"/>
  <c r="Q1281" i="1" s="1"/>
  <c r="P1297" i="1"/>
  <c r="Q1297" i="1" s="1"/>
  <c r="P1313" i="1"/>
  <c r="Q1313" i="1" s="1"/>
  <c r="P1329" i="1"/>
  <c r="Q1329" i="1" s="1"/>
  <c r="P1345" i="1"/>
  <c r="Q1345" i="1" s="1"/>
  <c r="P1361" i="1"/>
  <c r="Q1361" i="1" s="1"/>
  <c r="P23" i="1"/>
  <c r="Q23" i="1" s="1"/>
  <c r="P247" i="1"/>
  <c r="Q247" i="1" s="1"/>
  <c r="P375" i="1"/>
  <c r="Q375" i="1" s="1"/>
  <c r="P451" i="1"/>
  <c r="Q451" i="1" s="1"/>
  <c r="P515" i="1"/>
  <c r="Q515" i="1" s="1"/>
  <c r="P579" i="1"/>
  <c r="Q579" i="1" s="1"/>
  <c r="P643" i="1"/>
  <c r="Q643" i="1" s="1"/>
  <c r="P707" i="1"/>
  <c r="Q707" i="1" s="1"/>
  <c r="P771" i="1"/>
  <c r="Q771" i="1" s="1"/>
  <c r="P809" i="1"/>
  <c r="Q809" i="1" s="1"/>
  <c r="P851" i="1"/>
  <c r="Q851" i="1" s="1"/>
  <c r="P885" i="1"/>
  <c r="Q885" i="1" s="1"/>
  <c r="P920" i="1"/>
  <c r="Q920" i="1" s="1"/>
  <c r="P953" i="1"/>
  <c r="Q953" i="1" s="1"/>
  <c r="P985" i="1"/>
  <c r="Q985" i="1" s="1"/>
  <c r="P1016" i="1"/>
  <c r="Q1016" i="1" s="1"/>
  <c r="P1044" i="1"/>
  <c r="Q1044" i="1" s="1"/>
  <c r="P1069" i="1"/>
  <c r="Q1069" i="1" s="1"/>
  <c r="P1093" i="1"/>
  <c r="Q1093" i="1" s="1"/>
  <c r="P1113" i="1"/>
  <c r="Q1113" i="1" s="1"/>
  <c r="P1135" i="1"/>
  <c r="Q1135" i="1" s="1"/>
  <c r="P1157" i="1"/>
  <c r="Q1157" i="1" s="1"/>
  <c r="P1177" i="1"/>
  <c r="Q1177" i="1" s="1"/>
  <c r="P1199" i="1"/>
  <c r="Q1199" i="1" s="1"/>
  <c r="P1221" i="1"/>
  <c r="Q1221" i="1" s="1"/>
  <c r="P1241" i="1"/>
  <c r="Q1241" i="1" s="1"/>
  <c r="P1263" i="1"/>
  <c r="Q1263" i="1" s="1"/>
  <c r="P1285" i="1"/>
  <c r="Q1285" i="1" s="1"/>
  <c r="P1305" i="1"/>
  <c r="Q1305" i="1" s="1"/>
  <c r="P1326" i="1"/>
  <c r="Q1326" i="1" s="1"/>
  <c r="P1344" i="1"/>
  <c r="Q1344" i="1" s="1"/>
  <c r="P1362" i="1"/>
  <c r="Q1362" i="1" s="1"/>
  <c r="P1378" i="1"/>
  <c r="Q1378" i="1" s="1"/>
  <c r="P1394" i="1"/>
  <c r="Q1394" i="1" s="1"/>
  <c r="P1410" i="1"/>
  <c r="Q1410" i="1" s="1"/>
  <c r="P1426" i="1"/>
  <c r="Q1426" i="1" s="1"/>
  <c r="P1442" i="1"/>
  <c r="Q1442" i="1" s="1"/>
  <c r="P1458" i="1"/>
  <c r="Q1458" i="1" s="1"/>
  <c r="P1474" i="1"/>
  <c r="Q1474" i="1" s="1"/>
  <c r="P1490" i="1"/>
  <c r="Q1490" i="1" s="1"/>
  <c r="P1506" i="1"/>
  <c r="Q1506" i="1" s="1"/>
  <c r="P1522" i="1"/>
  <c r="Q1522" i="1" s="1"/>
  <c r="P1538" i="1"/>
  <c r="Q1538" i="1" s="1"/>
  <c r="P1554" i="1"/>
  <c r="Q1554" i="1" s="1"/>
  <c r="P1570" i="1"/>
  <c r="Q1570" i="1" s="1"/>
  <c r="P39" i="1"/>
  <c r="Q39" i="1" s="1"/>
  <c r="P249" i="1"/>
  <c r="Q249" i="1" s="1"/>
  <c r="P377" i="1"/>
  <c r="Q377" i="1" s="1"/>
  <c r="P453" i="1"/>
  <c r="Q453" i="1" s="1"/>
  <c r="P517" i="1"/>
  <c r="Q517" i="1" s="1"/>
  <c r="P581" i="1"/>
  <c r="Q581" i="1" s="1"/>
  <c r="P645" i="1"/>
  <c r="Q645" i="1" s="1"/>
  <c r="P709" i="1"/>
  <c r="Q709" i="1" s="1"/>
  <c r="P773" i="1"/>
  <c r="Q773" i="1" s="1"/>
  <c r="P815" i="1"/>
  <c r="Q815" i="1" s="1"/>
  <c r="P852" i="1"/>
  <c r="Q852" i="1" s="1"/>
  <c r="P887" i="1"/>
  <c r="Q887" i="1" s="1"/>
  <c r="P921" i="1"/>
  <c r="Q921" i="1" s="1"/>
  <c r="P958" i="1"/>
  <c r="Q958" i="1" s="1"/>
  <c r="P990" i="1"/>
  <c r="Q990" i="1" s="1"/>
  <c r="P1017" i="1"/>
  <c r="Q1017" i="1" s="1"/>
  <c r="P1045" i="1"/>
  <c r="Q1045" i="1" s="1"/>
  <c r="P1070" i="1"/>
  <c r="Q1070" i="1" s="1"/>
  <c r="P1094" i="1"/>
  <c r="Q1094" i="1" s="1"/>
  <c r="P1115" i="1"/>
  <c r="Q1115" i="1" s="1"/>
  <c r="P1138" i="1"/>
  <c r="Q1138" i="1" s="1"/>
  <c r="P1158" i="1"/>
  <c r="Q1158" i="1" s="1"/>
  <c r="P1179" i="1"/>
  <c r="Q1179" i="1" s="1"/>
  <c r="P1202" i="1"/>
  <c r="Q1202" i="1" s="1"/>
  <c r="P1222" i="1"/>
  <c r="Q1222" i="1" s="1"/>
  <c r="P1243" i="1"/>
  <c r="Q1243" i="1" s="1"/>
  <c r="P1266" i="1"/>
  <c r="Q1266" i="1" s="1"/>
  <c r="P1286" i="1"/>
  <c r="Q1286" i="1" s="1"/>
  <c r="P1307" i="1"/>
  <c r="Q1307" i="1" s="1"/>
  <c r="P1327" i="1"/>
  <c r="Q1327" i="1" s="1"/>
  <c r="P1346" i="1"/>
  <c r="Q1346" i="1" s="1"/>
  <c r="P1363" i="1"/>
  <c r="Q1363" i="1" s="1"/>
  <c r="P1379" i="1"/>
  <c r="Q1379" i="1" s="1"/>
  <c r="P1395" i="1"/>
  <c r="Q1395" i="1" s="1"/>
  <c r="P1411" i="1"/>
  <c r="Q1411" i="1" s="1"/>
  <c r="P1427" i="1"/>
  <c r="Q1427" i="1" s="1"/>
  <c r="P1443" i="1"/>
  <c r="Q1443" i="1" s="1"/>
  <c r="P1459" i="1"/>
  <c r="Q1459" i="1" s="1"/>
  <c r="P1475" i="1"/>
  <c r="Q1475" i="1" s="1"/>
  <c r="P1491" i="1"/>
  <c r="Q1491" i="1" s="1"/>
  <c r="P1507" i="1"/>
  <c r="Q1507" i="1" s="1"/>
  <c r="P1523" i="1"/>
  <c r="Q1523" i="1" s="1"/>
  <c r="P1539" i="1"/>
  <c r="Q1539" i="1" s="1"/>
  <c r="P1555" i="1"/>
  <c r="Q1555" i="1" s="1"/>
  <c r="P1571" i="1"/>
  <c r="Q1571" i="1" s="1"/>
  <c r="P1587" i="1"/>
  <c r="Q1587" i="1" s="1"/>
  <c r="P1603" i="1"/>
  <c r="Q1603" i="1" s="1"/>
  <c r="P1619" i="1"/>
  <c r="Q1619" i="1" s="1"/>
  <c r="P1635" i="1"/>
  <c r="Q1635" i="1" s="1"/>
  <c r="P1651" i="1"/>
  <c r="Q1651" i="1" s="1"/>
  <c r="P1667" i="1"/>
  <c r="Q1667" i="1" s="1"/>
  <c r="P1683" i="1"/>
  <c r="Q1683" i="1" s="1"/>
  <c r="P1699" i="1"/>
  <c r="Q1699" i="1" s="1"/>
  <c r="P1715" i="1"/>
  <c r="Q1715" i="1" s="1"/>
  <c r="P1731" i="1"/>
  <c r="Q1731" i="1" s="1"/>
  <c r="P1747" i="1"/>
  <c r="Q1747" i="1" s="1"/>
  <c r="P1763" i="1"/>
  <c r="Q1763" i="1" s="1"/>
  <c r="P1779" i="1"/>
  <c r="Q1779" i="1" s="1"/>
  <c r="P1795" i="1"/>
  <c r="Q1795" i="1" s="1"/>
  <c r="P1811" i="1"/>
  <c r="Q1811" i="1" s="1"/>
  <c r="P1827" i="1"/>
  <c r="Q1827" i="1" s="1"/>
  <c r="P1843" i="1"/>
  <c r="Q1843" i="1" s="1"/>
  <c r="P55" i="1"/>
  <c r="Q55" i="1" s="1"/>
  <c r="P263" i="1"/>
  <c r="Q263" i="1" s="1"/>
  <c r="P391" i="1"/>
  <c r="Q391" i="1" s="1"/>
  <c r="P455" i="1"/>
  <c r="Q455" i="1" s="1"/>
  <c r="P519" i="1"/>
  <c r="Q519" i="1" s="1"/>
  <c r="P583" i="1"/>
  <c r="Q583" i="1" s="1"/>
  <c r="P647" i="1"/>
  <c r="Q647" i="1" s="1"/>
  <c r="P711" i="1"/>
  <c r="Q711" i="1" s="1"/>
  <c r="P775" i="1"/>
  <c r="Q775" i="1" s="1"/>
  <c r="P819" i="1"/>
  <c r="Q819" i="1" s="1"/>
  <c r="P853" i="1"/>
  <c r="Q853" i="1" s="1"/>
  <c r="P888" i="1"/>
  <c r="Q888" i="1" s="1"/>
  <c r="P927" i="1"/>
  <c r="Q927" i="1" s="1"/>
  <c r="P959" i="1"/>
  <c r="Q959" i="1" s="1"/>
  <c r="P991" i="1"/>
  <c r="Q991" i="1" s="1"/>
  <c r="P1019" i="1"/>
  <c r="Q1019" i="1" s="1"/>
  <c r="P1047" i="1"/>
  <c r="Q1047" i="1" s="1"/>
  <c r="P1071" i="1"/>
  <c r="Q1071" i="1" s="1"/>
  <c r="P1095" i="1"/>
  <c r="Q1095" i="1" s="1"/>
  <c r="P1117" i="1"/>
  <c r="Q1117" i="1" s="1"/>
  <c r="P1139" i="1"/>
  <c r="Q1139" i="1" s="1"/>
  <c r="P1159" i="1"/>
  <c r="Q1159" i="1" s="1"/>
  <c r="P1181" i="1"/>
  <c r="Q1181" i="1" s="1"/>
  <c r="P1203" i="1"/>
  <c r="Q1203" i="1" s="1"/>
  <c r="P1223" i="1"/>
  <c r="Q1223" i="1" s="1"/>
  <c r="P1245" i="1"/>
  <c r="Q1245" i="1" s="1"/>
  <c r="P1267" i="1"/>
  <c r="Q1267" i="1" s="1"/>
  <c r="P1287" i="1"/>
  <c r="Q1287" i="1" s="1"/>
  <c r="P1309" i="1"/>
  <c r="Q1309" i="1" s="1"/>
  <c r="P1328" i="1"/>
  <c r="Q1328" i="1" s="1"/>
  <c r="P1347" i="1"/>
  <c r="Q1347" i="1" s="1"/>
  <c r="P1364" i="1"/>
  <c r="Q1364" i="1" s="1"/>
  <c r="P1380" i="1"/>
  <c r="Q1380" i="1" s="1"/>
  <c r="P1396" i="1"/>
  <c r="Q1396" i="1" s="1"/>
  <c r="P1412" i="1"/>
  <c r="Q1412" i="1" s="1"/>
  <c r="P1428" i="1"/>
  <c r="Q1428" i="1" s="1"/>
  <c r="P1444" i="1"/>
  <c r="Q1444" i="1" s="1"/>
  <c r="P1460" i="1"/>
  <c r="Q1460" i="1" s="1"/>
  <c r="P1476" i="1"/>
  <c r="Q1476" i="1" s="1"/>
  <c r="P1492" i="1"/>
  <c r="Q1492" i="1" s="1"/>
  <c r="P1508" i="1"/>
  <c r="Q1508" i="1" s="1"/>
  <c r="P1524" i="1"/>
  <c r="Q1524" i="1" s="1"/>
  <c r="P1540" i="1"/>
  <c r="Q1540" i="1" s="1"/>
  <c r="P1556" i="1"/>
  <c r="Q1556" i="1" s="1"/>
  <c r="P1572" i="1"/>
  <c r="Q1572" i="1" s="1"/>
  <c r="P1588" i="1"/>
  <c r="Q1588" i="1" s="1"/>
  <c r="P71" i="1"/>
  <c r="Q71" i="1" s="1"/>
  <c r="P265" i="1"/>
  <c r="Q265" i="1" s="1"/>
  <c r="P393" i="1"/>
  <c r="Q393" i="1" s="1"/>
  <c r="P457" i="1"/>
  <c r="Q457" i="1" s="1"/>
  <c r="P521" i="1"/>
  <c r="Q521" i="1" s="1"/>
  <c r="P585" i="1"/>
  <c r="Q585" i="1" s="1"/>
  <c r="P649" i="1"/>
  <c r="Q649" i="1" s="1"/>
  <c r="P713" i="1"/>
  <c r="Q713" i="1" s="1"/>
  <c r="P777" i="1"/>
  <c r="Q777" i="1" s="1"/>
  <c r="P820" i="1"/>
  <c r="Q820" i="1" s="1"/>
  <c r="P855" i="1"/>
  <c r="Q855" i="1" s="1"/>
  <c r="P889" i="1"/>
  <c r="Q889" i="1" s="1"/>
  <c r="P931" i="1"/>
  <c r="Q931" i="1" s="1"/>
  <c r="P963" i="1"/>
  <c r="Q963" i="1" s="1"/>
  <c r="P995" i="1"/>
  <c r="Q995" i="1" s="1"/>
  <c r="P1022" i="1"/>
  <c r="Q1022" i="1" s="1"/>
  <c r="P1048" i="1"/>
  <c r="Q1048" i="1" s="1"/>
  <c r="P1075" i="1"/>
  <c r="Q1075" i="1" s="1"/>
  <c r="P1096" i="1"/>
  <c r="Q1096" i="1" s="1"/>
  <c r="P1118" i="1"/>
  <c r="Q1118" i="1" s="1"/>
  <c r="P1140" i="1"/>
  <c r="Q1140" i="1" s="1"/>
  <c r="P1160" i="1"/>
  <c r="Q1160" i="1" s="1"/>
  <c r="P1182" i="1"/>
  <c r="Q1182" i="1" s="1"/>
  <c r="P1204" i="1"/>
  <c r="Q1204" i="1" s="1"/>
  <c r="P1224" i="1"/>
  <c r="Q1224" i="1" s="1"/>
  <c r="P1246" i="1"/>
  <c r="Q1246" i="1" s="1"/>
  <c r="P1268" i="1"/>
  <c r="Q1268" i="1" s="1"/>
  <c r="P1288" i="1"/>
  <c r="Q1288" i="1" s="1"/>
  <c r="P1310" i="1"/>
  <c r="Q1310" i="1" s="1"/>
  <c r="P1330" i="1"/>
  <c r="Q1330" i="1" s="1"/>
  <c r="P1348" i="1"/>
  <c r="Q1348" i="1" s="1"/>
  <c r="P1365" i="1"/>
  <c r="Q1365" i="1" s="1"/>
  <c r="P1381" i="1"/>
  <c r="Q1381" i="1" s="1"/>
  <c r="P1397" i="1"/>
  <c r="Q1397" i="1" s="1"/>
  <c r="P1413" i="1"/>
  <c r="Q1413" i="1" s="1"/>
  <c r="P1429" i="1"/>
  <c r="Q1429" i="1" s="1"/>
  <c r="P1445" i="1"/>
  <c r="Q1445" i="1" s="1"/>
  <c r="P87" i="1"/>
  <c r="Q87" i="1" s="1"/>
  <c r="P279" i="1"/>
  <c r="Q279" i="1" s="1"/>
  <c r="P403" i="1"/>
  <c r="Q403" i="1" s="1"/>
  <c r="P467" i="1"/>
  <c r="Q467" i="1" s="1"/>
  <c r="P531" i="1"/>
  <c r="Q531" i="1" s="1"/>
  <c r="P595" i="1"/>
  <c r="Q595" i="1" s="1"/>
  <c r="P659" i="1"/>
  <c r="Q659" i="1" s="1"/>
  <c r="P723" i="1"/>
  <c r="Q723" i="1" s="1"/>
  <c r="P787" i="1"/>
  <c r="Q787" i="1" s="1"/>
  <c r="P821" i="1"/>
  <c r="Q821" i="1" s="1"/>
  <c r="P856" i="1"/>
  <c r="Q856" i="1" s="1"/>
  <c r="P895" i="1"/>
  <c r="Q895" i="1" s="1"/>
  <c r="P932" i="1"/>
  <c r="Q932" i="1" s="1"/>
  <c r="P964" i="1"/>
  <c r="Q964" i="1" s="1"/>
  <c r="P996" i="1"/>
  <c r="Q996" i="1" s="1"/>
  <c r="P1023" i="1"/>
  <c r="Q1023" i="1" s="1"/>
  <c r="P1049" i="1"/>
  <c r="Q1049" i="1" s="1"/>
  <c r="P1076" i="1"/>
  <c r="Q1076" i="1" s="1"/>
  <c r="P1097" i="1"/>
  <c r="Q1097" i="1" s="1"/>
  <c r="P1119" i="1"/>
  <c r="Q1119" i="1" s="1"/>
  <c r="P1141" i="1"/>
  <c r="Q1141" i="1" s="1"/>
  <c r="P1161" i="1"/>
  <c r="Q1161" i="1" s="1"/>
  <c r="P1183" i="1"/>
  <c r="Q1183" i="1" s="1"/>
  <c r="P1205" i="1"/>
  <c r="Q1205" i="1" s="1"/>
  <c r="P1225" i="1"/>
  <c r="Q1225" i="1" s="1"/>
  <c r="P1247" i="1"/>
  <c r="Q1247" i="1" s="1"/>
  <c r="P1269" i="1"/>
  <c r="Q1269" i="1" s="1"/>
  <c r="P1289" i="1"/>
  <c r="Q1289" i="1" s="1"/>
  <c r="P1311" i="1"/>
  <c r="Q1311" i="1" s="1"/>
  <c r="P1331" i="1"/>
  <c r="Q1331" i="1" s="1"/>
  <c r="P1349" i="1"/>
  <c r="Q1349" i="1" s="1"/>
  <c r="P1366" i="1"/>
  <c r="Q1366" i="1" s="1"/>
  <c r="P1382" i="1"/>
  <c r="Q1382" i="1" s="1"/>
  <c r="P1398" i="1"/>
  <c r="Q1398" i="1" s="1"/>
  <c r="P1414" i="1"/>
  <c r="Q1414" i="1" s="1"/>
  <c r="P1430" i="1"/>
  <c r="Q1430" i="1" s="1"/>
  <c r="P1446" i="1"/>
  <c r="Q1446" i="1" s="1"/>
  <c r="P1462" i="1"/>
  <c r="Q1462" i="1" s="1"/>
  <c r="P1478" i="1"/>
  <c r="Q1478" i="1" s="1"/>
  <c r="P1494" i="1"/>
  <c r="Q1494" i="1" s="1"/>
  <c r="P1510" i="1"/>
  <c r="Q1510" i="1" s="1"/>
  <c r="P1526" i="1"/>
  <c r="Q1526" i="1" s="1"/>
  <c r="P1542" i="1"/>
  <c r="Q1542" i="1" s="1"/>
  <c r="P1558" i="1"/>
  <c r="Q1558" i="1" s="1"/>
  <c r="P1574" i="1"/>
  <c r="Q1574" i="1" s="1"/>
  <c r="P1590" i="1"/>
  <c r="Q1590" i="1" s="1"/>
  <c r="P1606" i="1"/>
  <c r="Q1606" i="1" s="1"/>
  <c r="P1622" i="1"/>
  <c r="Q1622" i="1" s="1"/>
  <c r="P1638" i="1"/>
  <c r="Q1638" i="1" s="1"/>
  <c r="P1654" i="1"/>
  <c r="Q1654" i="1" s="1"/>
  <c r="P1670" i="1"/>
  <c r="Q1670" i="1" s="1"/>
  <c r="P1686" i="1"/>
  <c r="Q1686" i="1" s="1"/>
  <c r="P1702" i="1"/>
  <c r="Q1702" i="1" s="1"/>
  <c r="P1718" i="1"/>
  <c r="Q1718" i="1" s="1"/>
  <c r="P1734" i="1"/>
  <c r="Q1734" i="1" s="1"/>
  <c r="P1750" i="1"/>
  <c r="Q1750" i="1" s="1"/>
  <c r="P1766" i="1"/>
  <c r="Q1766" i="1" s="1"/>
  <c r="P1782" i="1"/>
  <c r="Q1782" i="1" s="1"/>
  <c r="P1798" i="1"/>
  <c r="Q1798" i="1" s="1"/>
  <c r="P1814" i="1"/>
  <c r="Q1814" i="1" s="1"/>
  <c r="P1830" i="1"/>
  <c r="Q1830" i="1" s="1"/>
  <c r="P1846" i="1"/>
  <c r="Q1846" i="1" s="1"/>
  <c r="P1862" i="1"/>
  <c r="Q1862" i="1" s="1"/>
  <c r="P1878" i="1"/>
  <c r="Q1878" i="1" s="1"/>
  <c r="P1894" i="1"/>
  <c r="Q1894" i="1" s="1"/>
  <c r="P1910" i="1"/>
  <c r="Q1910" i="1" s="1"/>
  <c r="P1926" i="1"/>
  <c r="Q1926" i="1" s="1"/>
  <c r="P1942" i="1"/>
  <c r="Q1942" i="1" s="1"/>
  <c r="P1958" i="1"/>
  <c r="Q1958" i="1" s="1"/>
  <c r="P1974" i="1"/>
  <c r="Q1974" i="1" s="1"/>
  <c r="P1990" i="1"/>
  <c r="Q1990" i="1" s="1"/>
  <c r="P2006" i="1"/>
  <c r="Q2006" i="1" s="1"/>
  <c r="P2022" i="1"/>
  <c r="Q2022" i="1" s="1"/>
  <c r="P2038" i="1"/>
  <c r="Q2038" i="1" s="1"/>
  <c r="P2054" i="1"/>
  <c r="Q2054" i="1" s="1"/>
  <c r="P2070" i="1"/>
  <c r="Q2070" i="1" s="1"/>
  <c r="P2086" i="1"/>
  <c r="Q2086" i="1" s="1"/>
  <c r="P2102" i="1"/>
  <c r="Q2102" i="1" s="1"/>
  <c r="P2118" i="1"/>
  <c r="Q2118" i="1" s="1"/>
  <c r="P2134" i="1"/>
  <c r="Q2134" i="1" s="1"/>
  <c r="P2150" i="1"/>
  <c r="Q2150" i="1" s="1"/>
  <c r="P2166" i="1"/>
  <c r="Q2166" i="1" s="1"/>
  <c r="P2182" i="1"/>
  <c r="Q2182" i="1" s="1"/>
  <c r="P2198" i="1"/>
  <c r="Q2198" i="1" s="1"/>
  <c r="P2214" i="1"/>
  <c r="Q2214" i="1" s="1"/>
  <c r="P103" i="1"/>
  <c r="Q103" i="1" s="1"/>
  <c r="P281" i="1"/>
  <c r="Q281" i="1" s="1"/>
  <c r="P405" i="1"/>
  <c r="Q405" i="1" s="1"/>
  <c r="P469" i="1"/>
  <c r="Q469" i="1" s="1"/>
  <c r="P533" i="1"/>
  <c r="Q533" i="1" s="1"/>
  <c r="P597" i="1"/>
  <c r="Q597" i="1" s="1"/>
  <c r="P661" i="1"/>
  <c r="Q661" i="1" s="1"/>
  <c r="P725" i="1"/>
  <c r="Q725" i="1" s="1"/>
  <c r="P788" i="1"/>
  <c r="Q788" i="1" s="1"/>
  <c r="P823" i="1"/>
  <c r="Q823" i="1" s="1"/>
  <c r="P857" i="1"/>
  <c r="Q857" i="1" s="1"/>
  <c r="P899" i="1"/>
  <c r="Q899" i="1" s="1"/>
  <c r="P933" i="1"/>
  <c r="Q933" i="1" s="1"/>
  <c r="P965" i="1"/>
  <c r="Q965" i="1" s="1"/>
  <c r="P997" i="1"/>
  <c r="Q997" i="1" s="1"/>
  <c r="P1027" i="1"/>
  <c r="Q1027" i="1" s="1"/>
  <c r="P1051" i="1"/>
  <c r="Q1051" i="1" s="1"/>
  <c r="P1077" i="1"/>
  <c r="Q1077" i="1" s="1"/>
  <c r="P1099" i="1"/>
  <c r="Q1099" i="1" s="1"/>
  <c r="P1122" i="1"/>
  <c r="Q1122" i="1" s="1"/>
  <c r="P1142" i="1"/>
  <c r="Q1142" i="1" s="1"/>
  <c r="P1163" i="1"/>
  <c r="Q1163" i="1" s="1"/>
  <c r="P1186" i="1"/>
  <c r="Q1186" i="1" s="1"/>
  <c r="P1206" i="1"/>
  <c r="Q1206" i="1" s="1"/>
  <c r="P1227" i="1"/>
  <c r="Q1227" i="1" s="1"/>
  <c r="P1250" i="1"/>
  <c r="Q1250" i="1" s="1"/>
  <c r="P1270" i="1"/>
  <c r="Q1270" i="1" s="1"/>
  <c r="P1291" i="1"/>
  <c r="Q1291" i="1" s="1"/>
  <c r="P1312" i="1"/>
  <c r="Q1312" i="1" s="1"/>
  <c r="P1332" i="1"/>
  <c r="Q1332" i="1" s="1"/>
  <c r="P1350" i="1"/>
  <c r="Q1350" i="1" s="1"/>
  <c r="P1367" i="1"/>
  <c r="Q1367" i="1" s="1"/>
  <c r="P1383" i="1"/>
  <c r="Q1383" i="1" s="1"/>
  <c r="P1399" i="1"/>
  <c r="Q1399" i="1" s="1"/>
  <c r="P1415" i="1"/>
  <c r="Q1415" i="1" s="1"/>
  <c r="P1431" i="1"/>
  <c r="Q1431" i="1" s="1"/>
  <c r="P1447" i="1"/>
  <c r="Q1447" i="1" s="1"/>
  <c r="P1463" i="1"/>
  <c r="Q1463" i="1" s="1"/>
  <c r="P1479" i="1"/>
  <c r="Q1479" i="1" s="1"/>
  <c r="P1495" i="1"/>
  <c r="Q1495" i="1" s="1"/>
  <c r="P1511" i="1"/>
  <c r="Q1511" i="1" s="1"/>
  <c r="P1527" i="1"/>
  <c r="Q1527" i="1" s="1"/>
  <c r="P1543" i="1"/>
  <c r="Q1543" i="1" s="1"/>
  <c r="P1559" i="1"/>
  <c r="Q1559" i="1" s="1"/>
  <c r="P1575" i="1"/>
  <c r="Q1575" i="1" s="1"/>
  <c r="P1591" i="1"/>
  <c r="Q1591" i="1" s="1"/>
  <c r="P1607" i="1"/>
  <c r="Q1607" i="1" s="1"/>
  <c r="P1623" i="1"/>
  <c r="Q1623" i="1" s="1"/>
  <c r="P1639" i="1"/>
  <c r="Q1639" i="1" s="1"/>
  <c r="P1655" i="1"/>
  <c r="Q1655" i="1" s="1"/>
  <c r="P1671" i="1"/>
  <c r="Q1671" i="1" s="1"/>
  <c r="P1687" i="1"/>
  <c r="Q1687" i="1" s="1"/>
  <c r="P1703" i="1"/>
  <c r="Q1703" i="1" s="1"/>
  <c r="P1719" i="1"/>
  <c r="Q1719" i="1" s="1"/>
  <c r="P1735" i="1"/>
  <c r="Q1735" i="1" s="1"/>
  <c r="P1751" i="1"/>
  <c r="Q1751" i="1" s="1"/>
  <c r="P1767" i="1"/>
  <c r="Q1767" i="1" s="1"/>
  <c r="P1783" i="1"/>
  <c r="Q1783" i="1" s="1"/>
  <c r="P1799" i="1"/>
  <c r="Q1799" i="1" s="1"/>
  <c r="P1815" i="1"/>
  <c r="Q1815" i="1" s="1"/>
  <c r="P1831" i="1"/>
  <c r="Q1831" i="1" s="1"/>
  <c r="P1847" i="1"/>
  <c r="Q1847" i="1" s="1"/>
  <c r="P1863" i="1"/>
  <c r="Q1863" i="1" s="1"/>
  <c r="P1879" i="1"/>
  <c r="Q1879" i="1" s="1"/>
  <c r="P1895" i="1"/>
  <c r="Q1895" i="1" s="1"/>
  <c r="P119" i="1"/>
  <c r="Q119" i="1" s="1"/>
  <c r="P295" i="1"/>
  <c r="Q295" i="1" s="1"/>
  <c r="P407" i="1"/>
  <c r="Q407" i="1" s="1"/>
  <c r="P471" i="1"/>
  <c r="Q471" i="1" s="1"/>
  <c r="P535" i="1"/>
  <c r="Q535" i="1" s="1"/>
  <c r="P599" i="1"/>
  <c r="Q599" i="1" s="1"/>
  <c r="P663" i="1"/>
  <c r="Q663" i="1" s="1"/>
  <c r="P727" i="1"/>
  <c r="Q727" i="1" s="1"/>
  <c r="P789" i="1"/>
  <c r="Q789" i="1" s="1"/>
  <c r="P824" i="1"/>
  <c r="Q824" i="1" s="1"/>
  <c r="P863" i="1"/>
  <c r="Q863" i="1" s="1"/>
  <c r="P900" i="1"/>
  <c r="Q900" i="1" s="1"/>
  <c r="P935" i="1"/>
  <c r="Q935" i="1" s="1"/>
  <c r="P967" i="1"/>
  <c r="Q967" i="1" s="1"/>
  <c r="P999" i="1"/>
  <c r="Q999" i="1" s="1"/>
  <c r="P1028" i="1"/>
  <c r="Q1028" i="1" s="1"/>
  <c r="P1053" i="1"/>
  <c r="Q1053" i="1" s="1"/>
  <c r="P1078" i="1"/>
  <c r="Q1078" i="1" s="1"/>
  <c r="P1101" i="1"/>
  <c r="Q1101" i="1" s="1"/>
  <c r="P1123" i="1"/>
  <c r="Q1123" i="1" s="1"/>
  <c r="P1143" i="1"/>
  <c r="Q1143" i="1" s="1"/>
  <c r="P1165" i="1"/>
  <c r="Q1165" i="1" s="1"/>
  <c r="P1187" i="1"/>
  <c r="Q1187" i="1" s="1"/>
  <c r="P1207" i="1"/>
  <c r="Q1207" i="1" s="1"/>
  <c r="P1229" i="1"/>
  <c r="Q1229" i="1" s="1"/>
  <c r="P1251" i="1"/>
  <c r="Q1251" i="1" s="1"/>
  <c r="P1271" i="1"/>
  <c r="Q1271" i="1" s="1"/>
  <c r="P1293" i="1"/>
  <c r="Q1293" i="1" s="1"/>
  <c r="P1314" i="1"/>
  <c r="Q1314" i="1" s="1"/>
  <c r="P1333" i="1"/>
  <c r="Q1333" i="1" s="1"/>
  <c r="P1351" i="1"/>
  <c r="Q1351" i="1" s="1"/>
  <c r="P1368" i="1"/>
  <c r="Q1368" i="1" s="1"/>
  <c r="P1384" i="1"/>
  <c r="Q1384" i="1" s="1"/>
  <c r="P1400" i="1"/>
  <c r="Q1400" i="1" s="1"/>
  <c r="P1416" i="1"/>
  <c r="Q1416" i="1" s="1"/>
  <c r="P1432" i="1"/>
  <c r="Q1432" i="1" s="1"/>
  <c r="P1448" i="1"/>
  <c r="Q1448" i="1" s="1"/>
  <c r="P1464" i="1"/>
  <c r="Q1464" i="1" s="1"/>
  <c r="P1480" i="1"/>
  <c r="Q1480" i="1" s="1"/>
  <c r="P1496" i="1"/>
  <c r="Q1496" i="1" s="1"/>
  <c r="P1512" i="1"/>
  <c r="Q1512" i="1" s="1"/>
  <c r="P1528" i="1"/>
  <c r="Q1528" i="1" s="1"/>
  <c r="P1544" i="1"/>
  <c r="Q1544" i="1" s="1"/>
  <c r="P1560" i="1"/>
  <c r="Q1560" i="1" s="1"/>
  <c r="P1576" i="1"/>
  <c r="Q1576" i="1" s="1"/>
  <c r="P1592" i="1"/>
  <c r="Q1592" i="1" s="1"/>
  <c r="P1608" i="1"/>
  <c r="Q1608" i="1" s="1"/>
  <c r="P1624" i="1"/>
  <c r="Q1624" i="1" s="1"/>
  <c r="P1640" i="1"/>
  <c r="Q1640" i="1" s="1"/>
  <c r="P1656" i="1"/>
  <c r="Q1656" i="1" s="1"/>
  <c r="P1672" i="1"/>
  <c r="Q1672" i="1" s="1"/>
  <c r="P1688" i="1"/>
  <c r="Q1688" i="1" s="1"/>
  <c r="P1704" i="1"/>
  <c r="Q1704" i="1" s="1"/>
  <c r="P1720" i="1"/>
  <c r="Q1720" i="1" s="1"/>
  <c r="P1736" i="1"/>
  <c r="Q1736" i="1" s="1"/>
  <c r="P1752" i="1"/>
  <c r="Q1752" i="1" s="1"/>
  <c r="P135" i="1"/>
  <c r="Q135" i="1" s="1"/>
  <c r="P297" i="1"/>
  <c r="Q297" i="1" s="1"/>
  <c r="P409" i="1"/>
  <c r="Q409" i="1" s="1"/>
  <c r="P473" i="1"/>
  <c r="Q473" i="1" s="1"/>
  <c r="P537" i="1"/>
  <c r="Q537" i="1" s="1"/>
  <c r="P601" i="1"/>
  <c r="Q601" i="1" s="1"/>
  <c r="P665" i="1"/>
  <c r="Q665" i="1" s="1"/>
  <c r="P729" i="1"/>
  <c r="Q729" i="1" s="1"/>
  <c r="P791" i="1"/>
  <c r="Q791" i="1" s="1"/>
  <c r="P825" i="1"/>
  <c r="Q825" i="1" s="1"/>
  <c r="P867" i="1"/>
  <c r="Q867" i="1" s="1"/>
  <c r="P901" i="1"/>
  <c r="Q901" i="1" s="1"/>
  <c r="P936" i="1"/>
  <c r="Q936" i="1" s="1"/>
  <c r="P968" i="1"/>
  <c r="Q968" i="1" s="1"/>
  <c r="P1000" i="1"/>
  <c r="Q1000" i="1" s="1"/>
  <c r="P1029" i="1"/>
  <c r="Q1029" i="1" s="1"/>
  <c r="P1054" i="1"/>
  <c r="Q1054" i="1" s="1"/>
  <c r="P1079" i="1"/>
  <c r="Q1079" i="1" s="1"/>
  <c r="P1102" i="1"/>
  <c r="Q1102" i="1" s="1"/>
  <c r="P1124" i="1"/>
  <c r="Q1124" i="1" s="1"/>
  <c r="P1144" i="1"/>
  <c r="Q1144" i="1" s="1"/>
  <c r="P1166" i="1"/>
  <c r="Q1166" i="1" s="1"/>
  <c r="P1188" i="1"/>
  <c r="Q1188" i="1" s="1"/>
  <c r="P1208" i="1"/>
  <c r="Q1208" i="1" s="1"/>
  <c r="P1230" i="1"/>
  <c r="Q1230" i="1" s="1"/>
  <c r="P1252" i="1"/>
  <c r="Q1252" i="1" s="1"/>
  <c r="P1272" i="1"/>
  <c r="Q1272" i="1" s="1"/>
  <c r="P1294" i="1"/>
  <c r="Q1294" i="1" s="1"/>
  <c r="P1315" i="1"/>
  <c r="Q1315" i="1" s="1"/>
  <c r="P1334" i="1"/>
  <c r="Q1334" i="1" s="1"/>
  <c r="P1352" i="1"/>
  <c r="Q1352" i="1" s="1"/>
  <c r="P1369" i="1"/>
  <c r="Q1369" i="1" s="1"/>
  <c r="P1385" i="1"/>
  <c r="Q1385" i="1" s="1"/>
  <c r="P1401" i="1"/>
  <c r="Q1401" i="1" s="1"/>
  <c r="P1417" i="1"/>
  <c r="Q1417" i="1" s="1"/>
  <c r="P1433" i="1"/>
  <c r="Q1433" i="1" s="1"/>
  <c r="P1449" i="1"/>
  <c r="Q1449" i="1" s="1"/>
  <c r="P1465" i="1"/>
  <c r="Q1465" i="1" s="1"/>
  <c r="P1481" i="1"/>
  <c r="Q1481" i="1" s="1"/>
  <c r="P1497" i="1"/>
  <c r="Q1497" i="1" s="1"/>
  <c r="P1513" i="1"/>
  <c r="Q1513" i="1" s="1"/>
  <c r="P1529" i="1"/>
  <c r="Q1529" i="1" s="1"/>
  <c r="P1545" i="1"/>
  <c r="Q1545" i="1" s="1"/>
  <c r="P1561" i="1"/>
  <c r="Q1561" i="1" s="1"/>
  <c r="P1577" i="1"/>
  <c r="Q1577" i="1" s="1"/>
  <c r="P1593" i="1"/>
  <c r="Q1593" i="1" s="1"/>
  <c r="P1609" i="1"/>
  <c r="Q1609" i="1" s="1"/>
  <c r="P1625" i="1"/>
  <c r="Q1625" i="1" s="1"/>
  <c r="P1641" i="1"/>
  <c r="Q1641" i="1" s="1"/>
  <c r="P1657" i="1"/>
  <c r="Q1657" i="1" s="1"/>
  <c r="P1673" i="1"/>
  <c r="Q1673" i="1" s="1"/>
  <c r="P1689" i="1"/>
  <c r="Q1689" i="1" s="1"/>
  <c r="P1705" i="1"/>
  <c r="Q1705" i="1" s="1"/>
  <c r="P151" i="1"/>
  <c r="Q151" i="1" s="1"/>
  <c r="P311" i="1"/>
  <c r="Q311" i="1" s="1"/>
  <c r="P419" i="1"/>
  <c r="Q419" i="1" s="1"/>
  <c r="P483" i="1"/>
  <c r="Q483" i="1" s="1"/>
  <c r="P547" i="1"/>
  <c r="Q547" i="1" s="1"/>
  <c r="P611" i="1"/>
  <c r="Q611" i="1" s="1"/>
  <c r="P675" i="1"/>
  <c r="Q675" i="1" s="1"/>
  <c r="P739" i="1"/>
  <c r="Q739" i="1" s="1"/>
  <c r="P792" i="1"/>
  <c r="Q792" i="1" s="1"/>
  <c r="P831" i="1"/>
  <c r="Q831" i="1" s="1"/>
  <c r="P868" i="1"/>
  <c r="Q868" i="1" s="1"/>
  <c r="P903" i="1"/>
  <c r="Q903" i="1" s="1"/>
  <c r="P937" i="1"/>
  <c r="Q937" i="1" s="1"/>
  <c r="P167" i="1"/>
  <c r="Q167" i="1" s="1"/>
  <c r="P313" i="1"/>
  <c r="Q313" i="1" s="1"/>
  <c r="P421" i="1"/>
  <c r="Q421" i="1" s="1"/>
  <c r="P485" i="1"/>
  <c r="Q485" i="1" s="1"/>
  <c r="P549" i="1"/>
  <c r="Q549" i="1" s="1"/>
  <c r="P613" i="1"/>
  <c r="Q613" i="1" s="1"/>
  <c r="P677" i="1"/>
  <c r="Q677" i="1" s="1"/>
  <c r="P741" i="1"/>
  <c r="Q741" i="1" s="1"/>
  <c r="P793" i="1"/>
  <c r="Q793" i="1" s="1"/>
  <c r="P835" i="1"/>
  <c r="Q835" i="1" s="1"/>
  <c r="P869" i="1"/>
  <c r="Q869" i="1" s="1"/>
  <c r="P904" i="1"/>
  <c r="Q904" i="1" s="1"/>
  <c r="P942" i="1"/>
  <c r="Q942" i="1" s="1"/>
  <c r="P974" i="1"/>
  <c r="Q974" i="1" s="1"/>
  <c r="P1003" i="1"/>
  <c r="Q1003" i="1" s="1"/>
  <c r="P1032" i="1"/>
  <c r="Q1032" i="1" s="1"/>
  <c r="P1059" i="1"/>
  <c r="Q1059" i="1" s="1"/>
  <c r="P1081" i="1"/>
  <c r="Q1081" i="1" s="1"/>
  <c r="P1106" i="1"/>
  <c r="Q1106" i="1" s="1"/>
  <c r="P1126" i="1"/>
  <c r="Q1126" i="1" s="1"/>
  <c r="P1147" i="1"/>
  <c r="Q1147" i="1" s="1"/>
  <c r="P1170" i="1"/>
  <c r="Q1170" i="1" s="1"/>
  <c r="P1190" i="1"/>
  <c r="Q1190" i="1" s="1"/>
  <c r="P1211" i="1"/>
  <c r="Q1211" i="1" s="1"/>
  <c r="P1234" i="1"/>
  <c r="Q1234" i="1" s="1"/>
  <c r="P1254" i="1"/>
  <c r="Q1254" i="1" s="1"/>
  <c r="P1275" i="1"/>
  <c r="Q1275" i="1" s="1"/>
  <c r="P1298" i="1"/>
  <c r="Q1298" i="1" s="1"/>
  <c r="P1317" i="1"/>
  <c r="Q1317" i="1" s="1"/>
  <c r="P1336" i="1"/>
  <c r="Q1336" i="1" s="1"/>
  <c r="P1354" i="1"/>
  <c r="Q1354" i="1" s="1"/>
  <c r="P1371" i="1"/>
  <c r="Q1371" i="1" s="1"/>
  <c r="P1387" i="1"/>
  <c r="Q1387" i="1" s="1"/>
  <c r="P1403" i="1"/>
  <c r="Q1403" i="1" s="1"/>
  <c r="P1419" i="1"/>
  <c r="Q1419" i="1" s="1"/>
  <c r="P1435" i="1"/>
  <c r="Q1435" i="1" s="1"/>
  <c r="P1451" i="1"/>
  <c r="Q1451" i="1" s="1"/>
  <c r="P183" i="1"/>
  <c r="Q183" i="1" s="1"/>
  <c r="P327" i="1"/>
  <c r="Q327" i="1" s="1"/>
  <c r="P423" i="1"/>
  <c r="Q423" i="1" s="1"/>
  <c r="P487" i="1"/>
  <c r="Q487" i="1" s="1"/>
  <c r="P551" i="1"/>
  <c r="Q551" i="1" s="1"/>
  <c r="P615" i="1"/>
  <c r="Q615" i="1" s="1"/>
  <c r="P679" i="1"/>
  <c r="Q679" i="1" s="1"/>
  <c r="P743" i="1"/>
  <c r="Q743" i="1" s="1"/>
  <c r="P799" i="1"/>
  <c r="Q799" i="1" s="1"/>
  <c r="P836" i="1"/>
  <c r="Q836" i="1" s="1"/>
  <c r="P871" i="1"/>
  <c r="Q871" i="1" s="1"/>
  <c r="P905" i="1"/>
  <c r="Q905" i="1" s="1"/>
  <c r="P943" i="1"/>
  <c r="Q943" i="1" s="1"/>
  <c r="P975" i="1"/>
  <c r="Q975" i="1" s="1"/>
  <c r="P1006" i="1"/>
  <c r="Q1006" i="1" s="1"/>
  <c r="P1033" i="1"/>
  <c r="Q1033" i="1" s="1"/>
  <c r="P1060" i="1"/>
  <c r="Q1060" i="1" s="1"/>
  <c r="P1083" i="1"/>
  <c r="Q1083" i="1" s="1"/>
  <c r="P1107" i="1"/>
  <c r="Q1107" i="1" s="1"/>
  <c r="P1127" i="1"/>
  <c r="Q1127" i="1" s="1"/>
  <c r="P1149" i="1"/>
  <c r="Q1149" i="1" s="1"/>
  <c r="P1171" i="1"/>
  <c r="Q1171" i="1" s="1"/>
  <c r="P1191" i="1"/>
  <c r="Q1191" i="1" s="1"/>
  <c r="P1213" i="1"/>
  <c r="Q1213" i="1" s="1"/>
  <c r="P1235" i="1"/>
  <c r="Q1235" i="1" s="1"/>
  <c r="P1255" i="1"/>
  <c r="Q1255" i="1" s="1"/>
  <c r="P1277" i="1"/>
  <c r="Q1277" i="1" s="1"/>
  <c r="P1299" i="1"/>
  <c r="Q1299" i="1" s="1"/>
  <c r="P1318" i="1"/>
  <c r="Q1318" i="1" s="1"/>
  <c r="P1337" i="1"/>
  <c r="Q1337" i="1" s="1"/>
  <c r="P1355" i="1"/>
  <c r="Q1355" i="1" s="1"/>
  <c r="P1372" i="1"/>
  <c r="Q1372" i="1" s="1"/>
  <c r="P1388" i="1"/>
  <c r="Q1388" i="1" s="1"/>
  <c r="P1404" i="1"/>
  <c r="Q1404" i="1" s="1"/>
  <c r="P1420" i="1"/>
  <c r="Q1420" i="1" s="1"/>
  <c r="P1436" i="1"/>
  <c r="Q1436" i="1" s="1"/>
  <c r="P1452" i="1"/>
  <c r="Q1452" i="1" s="1"/>
  <c r="P1468" i="1"/>
  <c r="Q1468" i="1" s="1"/>
  <c r="P1484" i="1"/>
  <c r="Q1484" i="1" s="1"/>
  <c r="P1500" i="1"/>
  <c r="Q1500" i="1" s="1"/>
  <c r="P1516" i="1"/>
  <c r="Q1516" i="1" s="1"/>
  <c r="P1532" i="1"/>
  <c r="Q1532" i="1" s="1"/>
  <c r="P1548" i="1"/>
  <c r="Q1548" i="1" s="1"/>
  <c r="P1564" i="1"/>
  <c r="Q1564" i="1" s="1"/>
  <c r="P1580" i="1"/>
  <c r="Q1580" i="1" s="1"/>
  <c r="P1596" i="1"/>
  <c r="Q1596" i="1" s="1"/>
  <c r="P1612" i="1"/>
  <c r="Q1612" i="1" s="1"/>
  <c r="P1628" i="1"/>
  <c r="Q1628" i="1" s="1"/>
  <c r="P1644" i="1"/>
  <c r="Q1644" i="1" s="1"/>
  <c r="P1660" i="1"/>
  <c r="Q1660" i="1" s="1"/>
  <c r="P1676" i="1"/>
  <c r="Q1676" i="1" s="1"/>
  <c r="P1692" i="1"/>
  <c r="Q1692" i="1" s="1"/>
  <c r="P1708" i="1"/>
  <c r="Q1708" i="1" s="1"/>
  <c r="P199" i="1"/>
  <c r="Q199" i="1" s="1"/>
  <c r="P329" i="1"/>
  <c r="Q329" i="1" s="1"/>
  <c r="P425" i="1"/>
  <c r="Q425" i="1" s="1"/>
  <c r="P489" i="1"/>
  <c r="Q489" i="1" s="1"/>
  <c r="P553" i="1"/>
  <c r="Q553" i="1" s="1"/>
  <c r="P617" i="1"/>
  <c r="Q617" i="1" s="1"/>
  <c r="P681" i="1"/>
  <c r="Q681" i="1" s="1"/>
  <c r="P745" i="1"/>
  <c r="Q745" i="1" s="1"/>
  <c r="P803" i="1"/>
  <c r="Q803" i="1" s="1"/>
  <c r="P837" i="1"/>
  <c r="Q837" i="1" s="1"/>
  <c r="P215" i="1"/>
  <c r="Q215" i="1" s="1"/>
  <c r="P563" i="1"/>
  <c r="Q563" i="1" s="1"/>
  <c r="P804" i="1"/>
  <c r="Q804" i="1" s="1"/>
  <c r="P917" i="1"/>
  <c r="Q917" i="1" s="1"/>
  <c r="P1012" i="1"/>
  <c r="Q1012" i="1" s="1"/>
  <c r="P1085" i="1"/>
  <c r="Q1085" i="1" s="1"/>
  <c r="P1134" i="1"/>
  <c r="Q1134" i="1" s="1"/>
  <c r="P1195" i="1"/>
  <c r="Q1195" i="1" s="1"/>
  <c r="P1256" i="1"/>
  <c r="Q1256" i="1" s="1"/>
  <c r="P1304" i="1"/>
  <c r="Q1304" i="1" s="1"/>
  <c r="P1358" i="1"/>
  <c r="Q1358" i="1" s="1"/>
  <c r="P1405" i="1"/>
  <c r="Q1405" i="1" s="1"/>
  <c r="P1441" i="1"/>
  <c r="Q1441" i="1" s="1"/>
  <c r="P1482" i="1"/>
  <c r="Q1482" i="1" s="1"/>
  <c r="P1514" i="1"/>
  <c r="Q1514" i="1" s="1"/>
  <c r="P1546" i="1"/>
  <c r="Q1546" i="1" s="1"/>
  <c r="P1578" i="1"/>
  <c r="Q1578" i="1" s="1"/>
  <c r="P1602" i="1"/>
  <c r="Q1602" i="1" s="1"/>
  <c r="P1630" i="1"/>
  <c r="Q1630" i="1" s="1"/>
  <c r="P1653" i="1"/>
  <c r="Q1653" i="1" s="1"/>
  <c r="P1680" i="1"/>
  <c r="Q1680" i="1" s="1"/>
  <c r="P1707" i="1"/>
  <c r="Q1707" i="1" s="1"/>
  <c r="P1728" i="1"/>
  <c r="Q1728" i="1" s="1"/>
  <c r="P1749" i="1"/>
  <c r="Q1749" i="1" s="1"/>
  <c r="P1771" i="1"/>
  <c r="Q1771" i="1" s="1"/>
  <c r="P1790" i="1"/>
  <c r="Q1790" i="1" s="1"/>
  <c r="P1809" i="1"/>
  <c r="Q1809" i="1" s="1"/>
  <c r="P1829" i="1"/>
  <c r="Q1829" i="1" s="1"/>
  <c r="P1850" i="1"/>
  <c r="Q1850" i="1" s="1"/>
  <c r="P1868" i="1"/>
  <c r="Q1868" i="1" s="1"/>
  <c r="P1886" i="1"/>
  <c r="Q1886" i="1" s="1"/>
  <c r="P1904" i="1"/>
  <c r="Q1904" i="1" s="1"/>
  <c r="P1921" i="1"/>
  <c r="Q1921" i="1" s="1"/>
  <c r="P1938" i="1"/>
  <c r="Q1938" i="1" s="1"/>
  <c r="P1955" i="1"/>
  <c r="Q1955" i="1" s="1"/>
  <c r="P1972" i="1"/>
  <c r="Q1972" i="1" s="1"/>
  <c r="P1989" i="1"/>
  <c r="Q1989" i="1" s="1"/>
  <c r="P2007" i="1"/>
  <c r="Q2007" i="1" s="1"/>
  <c r="P2024" i="1"/>
  <c r="Q2024" i="1" s="1"/>
  <c r="P2041" i="1"/>
  <c r="Q2041" i="1" s="1"/>
  <c r="P2058" i="1"/>
  <c r="Q2058" i="1" s="1"/>
  <c r="P2075" i="1"/>
  <c r="Q2075" i="1" s="1"/>
  <c r="P2092" i="1"/>
  <c r="Q2092" i="1" s="1"/>
  <c r="P2109" i="1"/>
  <c r="Q2109" i="1" s="1"/>
  <c r="P2126" i="1"/>
  <c r="Q2126" i="1" s="1"/>
  <c r="P2143" i="1"/>
  <c r="Q2143" i="1" s="1"/>
  <c r="P2160" i="1"/>
  <c r="Q2160" i="1" s="1"/>
  <c r="P2177" i="1"/>
  <c r="Q2177" i="1" s="1"/>
  <c r="P2194" i="1"/>
  <c r="Q2194" i="1" s="1"/>
  <c r="P2211" i="1"/>
  <c r="Q2211" i="1" s="1"/>
  <c r="P2228" i="1"/>
  <c r="Q2228" i="1" s="1"/>
  <c r="P2244" i="1"/>
  <c r="Q2244" i="1" s="1"/>
  <c r="P2260" i="1"/>
  <c r="Q2260" i="1" s="1"/>
  <c r="P2276" i="1"/>
  <c r="Q2276" i="1" s="1"/>
  <c r="P2292" i="1"/>
  <c r="Q2292" i="1" s="1"/>
  <c r="P2308" i="1"/>
  <c r="Q2308" i="1" s="1"/>
  <c r="P2324" i="1"/>
  <c r="Q2324" i="1" s="1"/>
  <c r="P2340" i="1"/>
  <c r="Q2340" i="1" s="1"/>
  <c r="P2356" i="1"/>
  <c r="Q2356" i="1" s="1"/>
  <c r="P2372" i="1"/>
  <c r="Q2372" i="1" s="1"/>
  <c r="P2388" i="1"/>
  <c r="Q2388" i="1" s="1"/>
  <c r="P2404" i="1"/>
  <c r="Q2404" i="1" s="1"/>
  <c r="P2420" i="1"/>
  <c r="Q2420" i="1" s="1"/>
  <c r="P2436" i="1"/>
  <c r="Q2436" i="1" s="1"/>
  <c r="P2452" i="1"/>
  <c r="Q2452" i="1" s="1"/>
  <c r="P2468" i="1"/>
  <c r="Q2468" i="1" s="1"/>
  <c r="P2484" i="1"/>
  <c r="Q2484" i="1" s="1"/>
  <c r="P217" i="1"/>
  <c r="Q217" i="1" s="1"/>
  <c r="P565" i="1"/>
  <c r="Q565" i="1" s="1"/>
  <c r="P805" i="1"/>
  <c r="Q805" i="1" s="1"/>
  <c r="P919" i="1"/>
  <c r="Q919" i="1" s="1"/>
  <c r="P1013" i="1"/>
  <c r="Q1013" i="1" s="1"/>
  <c r="P1086" i="1"/>
  <c r="Q1086" i="1" s="1"/>
  <c r="P1145" i="1"/>
  <c r="Q1145" i="1" s="1"/>
  <c r="P1197" i="1"/>
  <c r="Q1197" i="1" s="1"/>
  <c r="P1257" i="1"/>
  <c r="Q1257" i="1" s="1"/>
  <c r="P1316" i="1"/>
  <c r="Q1316" i="1" s="1"/>
  <c r="P1359" i="1"/>
  <c r="Q1359" i="1" s="1"/>
  <c r="P1406" i="1"/>
  <c r="Q1406" i="1" s="1"/>
  <c r="P1450" i="1"/>
  <c r="Q1450" i="1" s="1"/>
  <c r="P1483" i="1"/>
  <c r="Q1483" i="1" s="1"/>
  <c r="P1515" i="1"/>
  <c r="Q1515" i="1" s="1"/>
  <c r="P1547" i="1"/>
  <c r="Q1547" i="1" s="1"/>
  <c r="P1579" i="1"/>
  <c r="Q1579" i="1" s="1"/>
  <c r="P1604" i="1"/>
  <c r="Q1604" i="1" s="1"/>
  <c r="P1631" i="1"/>
  <c r="Q1631" i="1" s="1"/>
  <c r="P1658" i="1"/>
  <c r="Q1658" i="1" s="1"/>
  <c r="P1681" i="1"/>
  <c r="Q1681" i="1" s="1"/>
  <c r="P1709" i="1"/>
  <c r="Q1709" i="1" s="1"/>
  <c r="P1729" i="1"/>
  <c r="Q1729" i="1" s="1"/>
  <c r="P1753" i="1"/>
  <c r="Q1753" i="1" s="1"/>
  <c r="P1772" i="1"/>
  <c r="Q1772" i="1" s="1"/>
  <c r="P1791" i="1"/>
  <c r="Q1791" i="1" s="1"/>
  <c r="P1810" i="1"/>
  <c r="Q1810" i="1" s="1"/>
  <c r="P1832" i="1"/>
  <c r="Q1832" i="1" s="1"/>
  <c r="P1851" i="1"/>
  <c r="Q1851" i="1" s="1"/>
  <c r="P1869" i="1"/>
  <c r="Q1869" i="1" s="1"/>
  <c r="P1887" i="1"/>
  <c r="Q1887" i="1" s="1"/>
  <c r="P1905" i="1"/>
  <c r="Q1905" i="1" s="1"/>
  <c r="P1922" i="1"/>
  <c r="Q1922" i="1" s="1"/>
  <c r="P1939" i="1"/>
  <c r="Q1939" i="1" s="1"/>
  <c r="P1956" i="1"/>
  <c r="Q1956" i="1" s="1"/>
  <c r="P1973" i="1"/>
  <c r="Q1973" i="1" s="1"/>
  <c r="P1991" i="1"/>
  <c r="Q1991" i="1" s="1"/>
  <c r="P2008" i="1"/>
  <c r="Q2008" i="1" s="1"/>
  <c r="P2025" i="1"/>
  <c r="Q2025" i="1" s="1"/>
  <c r="P2042" i="1"/>
  <c r="Q2042" i="1" s="1"/>
  <c r="P2059" i="1"/>
  <c r="Q2059" i="1" s="1"/>
  <c r="P2076" i="1"/>
  <c r="Q2076" i="1" s="1"/>
  <c r="P2093" i="1"/>
  <c r="Q2093" i="1" s="1"/>
  <c r="P2110" i="1"/>
  <c r="Q2110" i="1" s="1"/>
  <c r="P2127" i="1"/>
  <c r="Q2127" i="1" s="1"/>
  <c r="P2144" i="1"/>
  <c r="Q2144" i="1" s="1"/>
  <c r="P2161" i="1"/>
  <c r="Q2161" i="1" s="1"/>
  <c r="P2178" i="1"/>
  <c r="Q2178" i="1" s="1"/>
  <c r="P2195" i="1"/>
  <c r="Q2195" i="1" s="1"/>
  <c r="P2212" i="1"/>
  <c r="Q2212" i="1" s="1"/>
  <c r="P2229" i="1"/>
  <c r="Q2229" i="1" s="1"/>
  <c r="P2245" i="1"/>
  <c r="Q2245" i="1" s="1"/>
  <c r="P2261" i="1"/>
  <c r="Q2261" i="1" s="1"/>
  <c r="P2277" i="1"/>
  <c r="Q2277" i="1" s="1"/>
  <c r="P2293" i="1"/>
  <c r="Q2293" i="1" s="1"/>
  <c r="P2309" i="1"/>
  <c r="Q2309" i="1" s="1"/>
  <c r="P2325" i="1"/>
  <c r="Q2325" i="1" s="1"/>
  <c r="P2341" i="1"/>
  <c r="Q2341" i="1" s="1"/>
  <c r="P2357" i="1"/>
  <c r="Q2357" i="1" s="1"/>
  <c r="P2373" i="1"/>
  <c r="Q2373" i="1" s="1"/>
  <c r="P2389" i="1"/>
  <c r="Q2389" i="1" s="1"/>
  <c r="P2405" i="1"/>
  <c r="Q2405" i="1" s="1"/>
  <c r="P2421" i="1"/>
  <c r="Q2421" i="1" s="1"/>
  <c r="P2437" i="1"/>
  <c r="Q2437" i="1" s="1"/>
  <c r="P2453" i="1"/>
  <c r="Q2453" i="1" s="1"/>
  <c r="P2469" i="1"/>
  <c r="Q2469" i="1" s="1"/>
  <c r="P2485" i="1"/>
  <c r="Q2485" i="1" s="1"/>
  <c r="P231" i="1"/>
  <c r="Q231" i="1" s="1"/>
  <c r="P567" i="1"/>
  <c r="Q567" i="1" s="1"/>
  <c r="P807" i="1"/>
  <c r="Q807" i="1" s="1"/>
  <c r="P947" i="1"/>
  <c r="Q947" i="1" s="1"/>
  <c r="P1015" i="1"/>
  <c r="Q1015" i="1" s="1"/>
  <c r="P1087" i="1"/>
  <c r="Q1087" i="1" s="1"/>
  <c r="P1150" i="1"/>
  <c r="Q1150" i="1" s="1"/>
  <c r="P1198" i="1"/>
  <c r="Q1198" i="1" s="1"/>
  <c r="P1259" i="1"/>
  <c r="Q1259" i="1" s="1"/>
  <c r="P1319" i="1"/>
  <c r="Q1319" i="1" s="1"/>
  <c r="P1360" i="1"/>
  <c r="Q1360" i="1" s="1"/>
  <c r="P1407" i="1"/>
  <c r="Q1407" i="1" s="1"/>
  <c r="P1453" i="1"/>
  <c r="Q1453" i="1" s="1"/>
  <c r="P1485" i="1"/>
  <c r="Q1485" i="1" s="1"/>
  <c r="P1517" i="1"/>
  <c r="Q1517" i="1" s="1"/>
  <c r="P1549" i="1"/>
  <c r="Q1549" i="1" s="1"/>
  <c r="P1581" i="1"/>
  <c r="Q1581" i="1" s="1"/>
  <c r="P1605" i="1"/>
  <c r="Q1605" i="1" s="1"/>
  <c r="P1632" i="1"/>
  <c r="Q1632" i="1" s="1"/>
  <c r="P1659" i="1"/>
  <c r="Q1659" i="1" s="1"/>
  <c r="P1682" i="1"/>
  <c r="Q1682" i="1" s="1"/>
  <c r="P1710" i="1"/>
  <c r="Q1710" i="1" s="1"/>
  <c r="P1730" i="1"/>
  <c r="Q1730" i="1" s="1"/>
  <c r="P1754" i="1"/>
  <c r="Q1754" i="1" s="1"/>
  <c r="P1773" i="1"/>
  <c r="Q1773" i="1" s="1"/>
  <c r="P1792" i="1"/>
  <c r="Q1792" i="1" s="1"/>
  <c r="P1812" i="1"/>
  <c r="Q1812" i="1" s="1"/>
  <c r="P1833" i="1"/>
  <c r="Q1833" i="1" s="1"/>
  <c r="P1852" i="1"/>
  <c r="Q1852" i="1" s="1"/>
  <c r="P1870" i="1"/>
  <c r="Q1870" i="1" s="1"/>
  <c r="P1888" i="1"/>
  <c r="Q1888" i="1" s="1"/>
  <c r="P1906" i="1"/>
  <c r="Q1906" i="1" s="1"/>
  <c r="P1923" i="1"/>
  <c r="Q1923" i="1" s="1"/>
  <c r="P1940" i="1"/>
  <c r="Q1940" i="1" s="1"/>
  <c r="P1957" i="1"/>
  <c r="Q1957" i="1" s="1"/>
  <c r="P1975" i="1"/>
  <c r="Q1975" i="1" s="1"/>
  <c r="P1992" i="1"/>
  <c r="Q1992" i="1" s="1"/>
  <c r="P2009" i="1"/>
  <c r="Q2009" i="1" s="1"/>
  <c r="P2026" i="1"/>
  <c r="Q2026" i="1" s="1"/>
  <c r="P2043" i="1"/>
  <c r="Q2043" i="1" s="1"/>
  <c r="P2060" i="1"/>
  <c r="Q2060" i="1" s="1"/>
  <c r="P2077" i="1"/>
  <c r="Q2077" i="1" s="1"/>
  <c r="P2094" i="1"/>
  <c r="Q2094" i="1" s="1"/>
  <c r="P2111" i="1"/>
  <c r="Q2111" i="1" s="1"/>
  <c r="P2128" i="1"/>
  <c r="Q2128" i="1" s="1"/>
  <c r="P2145" i="1"/>
  <c r="Q2145" i="1" s="1"/>
  <c r="P2162" i="1"/>
  <c r="Q2162" i="1" s="1"/>
  <c r="P2179" i="1"/>
  <c r="Q2179" i="1" s="1"/>
  <c r="P2196" i="1"/>
  <c r="Q2196" i="1" s="1"/>
  <c r="P2213" i="1"/>
  <c r="Q2213" i="1" s="1"/>
  <c r="P2230" i="1"/>
  <c r="Q2230" i="1" s="1"/>
  <c r="P2246" i="1"/>
  <c r="Q2246" i="1" s="1"/>
  <c r="P2262" i="1"/>
  <c r="Q2262" i="1" s="1"/>
  <c r="P2278" i="1"/>
  <c r="Q2278" i="1" s="1"/>
  <c r="P2294" i="1"/>
  <c r="Q2294" i="1" s="1"/>
  <c r="P2310" i="1"/>
  <c r="Q2310" i="1" s="1"/>
  <c r="P2326" i="1"/>
  <c r="Q2326" i="1" s="1"/>
  <c r="P2342" i="1"/>
  <c r="Q2342" i="1" s="1"/>
  <c r="P2358" i="1"/>
  <c r="Q2358" i="1" s="1"/>
  <c r="P2374" i="1"/>
  <c r="Q2374" i="1" s="1"/>
  <c r="P2390" i="1"/>
  <c r="Q2390" i="1" s="1"/>
  <c r="P2406" i="1"/>
  <c r="Q2406" i="1" s="1"/>
  <c r="P2422" i="1"/>
  <c r="Q2422" i="1" s="1"/>
  <c r="P2438" i="1"/>
  <c r="Q2438" i="1" s="1"/>
  <c r="P2454" i="1"/>
  <c r="Q2454" i="1" s="1"/>
  <c r="P2470" i="1"/>
  <c r="Q2470" i="1" s="1"/>
  <c r="P2486" i="1"/>
  <c r="Q2486" i="1" s="1"/>
  <c r="P233" i="1"/>
  <c r="Q233" i="1" s="1"/>
  <c r="P569" i="1"/>
  <c r="Q569" i="1" s="1"/>
  <c r="P808" i="1"/>
  <c r="Q808" i="1" s="1"/>
  <c r="P948" i="1"/>
  <c r="Q948" i="1" s="1"/>
  <c r="P1031" i="1"/>
  <c r="Q1031" i="1" s="1"/>
  <c r="P1091" i="1"/>
  <c r="Q1091" i="1" s="1"/>
  <c r="P1151" i="1"/>
  <c r="Q1151" i="1" s="1"/>
  <c r="P1209" i="1"/>
  <c r="Q1209" i="1" s="1"/>
  <c r="P1261" i="1"/>
  <c r="Q1261" i="1" s="1"/>
  <c r="P1320" i="1"/>
  <c r="Q1320" i="1" s="1"/>
  <c r="P1370" i="1"/>
  <c r="Q1370" i="1" s="1"/>
  <c r="P1408" i="1"/>
  <c r="Q1408" i="1" s="1"/>
  <c r="P1454" i="1"/>
  <c r="Q1454" i="1" s="1"/>
  <c r="P1486" i="1"/>
  <c r="Q1486" i="1" s="1"/>
  <c r="P1518" i="1"/>
  <c r="Q1518" i="1" s="1"/>
  <c r="P1550" i="1"/>
  <c r="Q1550" i="1" s="1"/>
  <c r="P1582" i="1"/>
  <c r="Q1582" i="1" s="1"/>
  <c r="P1610" i="1"/>
  <c r="Q1610" i="1" s="1"/>
  <c r="P1633" i="1"/>
  <c r="Q1633" i="1" s="1"/>
  <c r="P1661" i="1"/>
  <c r="Q1661" i="1" s="1"/>
  <c r="P1684" i="1"/>
  <c r="Q1684" i="1" s="1"/>
  <c r="P1711" i="1"/>
  <c r="Q1711" i="1" s="1"/>
  <c r="P1732" i="1"/>
  <c r="Q1732" i="1" s="1"/>
  <c r="P1755" i="1"/>
  <c r="Q1755" i="1" s="1"/>
  <c r="P1774" i="1"/>
  <c r="Q1774" i="1" s="1"/>
  <c r="P1793" i="1"/>
  <c r="Q1793" i="1" s="1"/>
  <c r="P1813" i="1"/>
  <c r="Q1813" i="1" s="1"/>
  <c r="P1834" i="1"/>
  <c r="Q1834" i="1" s="1"/>
  <c r="P1853" i="1"/>
  <c r="Q1853" i="1" s="1"/>
  <c r="P1871" i="1"/>
  <c r="Q1871" i="1" s="1"/>
  <c r="P1889" i="1"/>
  <c r="Q1889" i="1" s="1"/>
  <c r="P1907" i="1"/>
  <c r="Q1907" i="1" s="1"/>
  <c r="P1924" i="1"/>
  <c r="Q1924" i="1" s="1"/>
  <c r="P1941" i="1"/>
  <c r="Q1941" i="1" s="1"/>
  <c r="P1959" i="1"/>
  <c r="Q1959" i="1" s="1"/>
  <c r="P1976" i="1"/>
  <c r="Q1976" i="1" s="1"/>
  <c r="P1993" i="1"/>
  <c r="Q1993" i="1" s="1"/>
  <c r="P2010" i="1"/>
  <c r="Q2010" i="1" s="1"/>
  <c r="P2027" i="1"/>
  <c r="Q2027" i="1" s="1"/>
  <c r="P2044" i="1"/>
  <c r="Q2044" i="1" s="1"/>
  <c r="P2061" i="1"/>
  <c r="Q2061" i="1" s="1"/>
  <c r="P2078" i="1"/>
  <c r="Q2078" i="1" s="1"/>
  <c r="P2095" i="1"/>
  <c r="Q2095" i="1" s="1"/>
  <c r="P2112" i="1"/>
  <c r="Q2112" i="1" s="1"/>
  <c r="P2129" i="1"/>
  <c r="Q2129" i="1" s="1"/>
  <c r="P2146" i="1"/>
  <c r="Q2146" i="1" s="1"/>
  <c r="P2163" i="1"/>
  <c r="Q2163" i="1" s="1"/>
  <c r="P2180" i="1"/>
  <c r="Q2180" i="1" s="1"/>
  <c r="P2197" i="1"/>
  <c r="Q2197" i="1" s="1"/>
  <c r="P2215" i="1"/>
  <c r="Q2215" i="1" s="1"/>
  <c r="P2231" i="1"/>
  <c r="Q2231" i="1" s="1"/>
  <c r="P2247" i="1"/>
  <c r="Q2247" i="1" s="1"/>
  <c r="P2263" i="1"/>
  <c r="Q2263" i="1" s="1"/>
  <c r="P2279" i="1"/>
  <c r="Q2279" i="1" s="1"/>
  <c r="P2295" i="1"/>
  <c r="Q2295" i="1" s="1"/>
  <c r="P2311" i="1"/>
  <c r="Q2311" i="1" s="1"/>
  <c r="P2327" i="1"/>
  <c r="Q2327" i="1" s="1"/>
  <c r="P2343" i="1"/>
  <c r="Q2343" i="1" s="1"/>
  <c r="P2359" i="1"/>
  <c r="Q2359" i="1" s="1"/>
  <c r="P2375" i="1"/>
  <c r="Q2375" i="1" s="1"/>
  <c r="P2391" i="1"/>
  <c r="Q2391" i="1" s="1"/>
  <c r="P2407" i="1"/>
  <c r="Q2407" i="1" s="1"/>
  <c r="P2423" i="1"/>
  <c r="Q2423" i="1" s="1"/>
  <c r="P2439" i="1"/>
  <c r="Q2439" i="1" s="1"/>
  <c r="P2455" i="1"/>
  <c r="Q2455" i="1" s="1"/>
  <c r="P2471" i="1"/>
  <c r="Q2471" i="1" s="1"/>
  <c r="P2487" i="1"/>
  <c r="Q2487" i="1" s="1"/>
  <c r="P343" i="1"/>
  <c r="Q343" i="1" s="1"/>
  <c r="P627" i="1"/>
  <c r="Q627" i="1" s="1"/>
  <c r="P839" i="1"/>
  <c r="Q839" i="1" s="1"/>
  <c r="P949" i="1"/>
  <c r="Q949" i="1" s="1"/>
  <c r="P1035" i="1"/>
  <c r="Q1035" i="1" s="1"/>
  <c r="P1092" i="1"/>
  <c r="Q1092" i="1" s="1"/>
  <c r="P1154" i="1"/>
  <c r="Q1154" i="1" s="1"/>
  <c r="P1214" i="1"/>
  <c r="Q1214" i="1" s="1"/>
  <c r="P1262" i="1"/>
  <c r="Q1262" i="1" s="1"/>
  <c r="P1321" i="1"/>
  <c r="Q1321" i="1" s="1"/>
  <c r="P1373" i="1"/>
  <c r="Q1373" i="1" s="1"/>
  <c r="P1409" i="1"/>
  <c r="Q1409" i="1" s="1"/>
  <c r="P1455" i="1"/>
  <c r="Q1455" i="1" s="1"/>
  <c r="P1487" i="1"/>
  <c r="Q1487" i="1" s="1"/>
  <c r="P1519" i="1"/>
  <c r="Q1519" i="1" s="1"/>
  <c r="P1551" i="1"/>
  <c r="Q1551" i="1" s="1"/>
  <c r="P1583" i="1"/>
  <c r="Q1583" i="1" s="1"/>
  <c r="P1611" i="1"/>
  <c r="Q1611" i="1" s="1"/>
  <c r="P1634" i="1"/>
  <c r="Q1634" i="1" s="1"/>
  <c r="P1662" i="1"/>
  <c r="Q1662" i="1" s="1"/>
  <c r="P1685" i="1"/>
  <c r="Q1685" i="1" s="1"/>
  <c r="P1712" i="1"/>
  <c r="Q1712" i="1" s="1"/>
  <c r="P1733" i="1"/>
  <c r="Q1733" i="1" s="1"/>
  <c r="P1756" i="1"/>
  <c r="Q1756" i="1" s="1"/>
  <c r="P1775" i="1"/>
  <c r="Q1775" i="1" s="1"/>
  <c r="P1794" i="1"/>
  <c r="Q1794" i="1" s="1"/>
  <c r="P1816" i="1"/>
  <c r="Q1816" i="1" s="1"/>
  <c r="P1835" i="1"/>
  <c r="Q1835" i="1" s="1"/>
  <c r="P1854" i="1"/>
  <c r="Q1854" i="1" s="1"/>
  <c r="P1872" i="1"/>
  <c r="Q1872" i="1" s="1"/>
  <c r="P1890" i="1"/>
  <c r="Q1890" i="1" s="1"/>
  <c r="P1908" i="1"/>
  <c r="Q1908" i="1" s="1"/>
  <c r="P1925" i="1"/>
  <c r="Q1925" i="1" s="1"/>
  <c r="P1943" i="1"/>
  <c r="Q1943" i="1" s="1"/>
  <c r="P1960" i="1"/>
  <c r="Q1960" i="1" s="1"/>
  <c r="P1977" i="1"/>
  <c r="Q1977" i="1" s="1"/>
  <c r="P1994" i="1"/>
  <c r="Q1994" i="1" s="1"/>
  <c r="P2011" i="1"/>
  <c r="Q2011" i="1" s="1"/>
  <c r="P2028" i="1"/>
  <c r="Q2028" i="1" s="1"/>
  <c r="P2045" i="1"/>
  <c r="Q2045" i="1" s="1"/>
  <c r="P2062" i="1"/>
  <c r="Q2062" i="1" s="1"/>
  <c r="P2079" i="1"/>
  <c r="Q2079" i="1" s="1"/>
  <c r="P2096" i="1"/>
  <c r="Q2096" i="1" s="1"/>
  <c r="P2113" i="1"/>
  <c r="Q2113" i="1" s="1"/>
  <c r="P2130" i="1"/>
  <c r="Q2130" i="1" s="1"/>
  <c r="P2147" i="1"/>
  <c r="Q2147" i="1" s="1"/>
  <c r="P2164" i="1"/>
  <c r="Q2164" i="1" s="1"/>
  <c r="P2181" i="1"/>
  <c r="Q2181" i="1" s="1"/>
  <c r="P2199" i="1"/>
  <c r="Q2199" i="1" s="1"/>
  <c r="P2216" i="1"/>
  <c r="Q2216" i="1" s="1"/>
  <c r="P2232" i="1"/>
  <c r="Q2232" i="1" s="1"/>
  <c r="P2248" i="1"/>
  <c r="Q2248" i="1" s="1"/>
  <c r="P2264" i="1"/>
  <c r="Q2264" i="1" s="1"/>
  <c r="P2280" i="1"/>
  <c r="Q2280" i="1" s="1"/>
  <c r="P2296" i="1"/>
  <c r="Q2296" i="1" s="1"/>
  <c r="P2312" i="1"/>
  <c r="Q2312" i="1" s="1"/>
  <c r="P2328" i="1"/>
  <c r="Q2328" i="1" s="1"/>
  <c r="P2344" i="1"/>
  <c r="Q2344" i="1" s="1"/>
  <c r="P2360" i="1"/>
  <c r="Q2360" i="1" s="1"/>
  <c r="P2376" i="1"/>
  <c r="Q2376" i="1" s="1"/>
  <c r="P2392" i="1"/>
  <c r="Q2392" i="1" s="1"/>
  <c r="P2408" i="1"/>
  <c r="Q2408" i="1" s="1"/>
  <c r="P2424" i="1"/>
  <c r="Q2424" i="1" s="1"/>
  <c r="P2440" i="1"/>
  <c r="Q2440" i="1" s="1"/>
  <c r="P2456" i="1"/>
  <c r="Q2456" i="1" s="1"/>
  <c r="P2472" i="1"/>
  <c r="Q2472" i="1" s="1"/>
  <c r="P2488" i="1"/>
  <c r="Q2488" i="1" s="1"/>
  <c r="P345" i="1"/>
  <c r="Q345" i="1" s="1"/>
  <c r="P629" i="1"/>
  <c r="Q629" i="1" s="1"/>
  <c r="P840" i="1"/>
  <c r="Q840" i="1" s="1"/>
  <c r="P951" i="1"/>
  <c r="Q951" i="1" s="1"/>
  <c r="P1037" i="1"/>
  <c r="Q1037" i="1" s="1"/>
  <c r="P1103" i="1"/>
  <c r="Q1103" i="1" s="1"/>
  <c r="P1155" i="1"/>
  <c r="Q1155" i="1" s="1"/>
  <c r="P1215" i="1"/>
  <c r="Q1215" i="1" s="1"/>
  <c r="P1273" i="1"/>
  <c r="Q1273" i="1" s="1"/>
  <c r="P1323" i="1"/>
  <c r="Q1323" i="1" s="1"/>
  <c r="P1374" i="1"/>
  <c r="Q1374" i="1" s="1"/>
  <c r="P1418" i="1"/>
  <c r="Q1418" i="1" s="1"/>
  <c r="P1456" i="1"/>
  <c r="Q1456" i="1" s="1"/>
  <c r="P1488" i="1"/>
  <c r="Q1488" i="1" s="1"/>
  <c r="P1520" i="1"/>
  <c r="Q1520" i="1" s="1"/>
  <c r="P1552" i="1"/>
  <c r="Q1552" i="1" s="1"/>
  <c r="P1584" i="1"/>
  <c r="Q1584" i="1" s="1"/>
  <c r="P1613" i="1"/>
  <c r="Q1613" i="1" s="1"/>
  <c r="P1636" i="1"/>
  <c r="Q1636" i="1" s="1"/>
  <c r="P1663" i="1"/>
  <c r="Q1663" i="1" s="1"/>
  <c r="P1690" i="1"/>
  <c r="Q1690" i="1" s="1"/>
  <c r="P1713" i="1"/>
  <c r="Q1713" i="1" s="1"/>
  <c r="P1737" i="1"/>
  <c r="Q1737" i="1" s="1"/>
  <c r="P1757" i="1"/>
  <c r="Q1757" i="1" s="1"/>
  <c r="P1776" i="1"/>
  <c r="Q1776" i="1" s="1"/>
  <c r="P1796" i="1"/>
  <c r="Q1796" i="1" s="1"/>
  <c r="P1817" i="1"/>
  <c r="Q1817" i="1" s="1"/>
  <c r="P1836" i="1"/>
  <c r="Q1836" i="1" s="1"/>
  <c r="P1855" i="1"/>
  <c r="Q1855" i="1" s="1"/>
  <c r="P1873" i="1"/>
  <c r="Q1873" i="1" s="1"/>
  <c r="P1891" i="1"/>
  <c r="Q1891" i="1" s="1"/>
  <c r="P1909" i="1"/>
  <c r="Q1909" i="1" s="1"/>
  <c r="P1927" i="1"/>
  <c r="Q1927" i="1" s="1"/>
  <c r="P1944" i="1"/>
  <c r="Q1944" i="1" s="1"/>
  <c r="P1961" i="1"/>
  <c r="Q1961" i="1" s="1"/>
  <c r="P1978" i="1"/>
  <c r="Q1978" i="1" s="1"/>
  <c r="P1995" i="1"/>
  <c r="Q1995" i="1" s="1"/>
  <c r="P2012" i="1"/>
  <c r="Q2012" i="1" s="1"/>
  <c r="P2029" i="1"/>
  <c r="Q2029" i="1" s="1"/>
  <c r="P2046" i="1"/>
  <c r="Q2046" i="1" s="1"/>
  <c r="P2063" i="1"/>
  <c r="Q2063" i="1" s="1"/>
  <c r="P2080" i="1"/>
  <c r="Q2080" i="1" s="1"/>
  <c r="P2097" i="1"/>
  <c r="Q2097" i="1" s="1"/>
  <c r="P2114" i="1"/>
  <c r="Q2114" i="1" s="1"/>
  <c r="P2131" i="1"/>
  <c r="Q2131" i="1" s="1"/>
  <c r="P2148" i="1"/>
  <c r="Q2148" i="1" s="1"/>
  <c r="P2165" i="1"/>
  <c r="Q2165" i="1" s="1"/>
  <c r="P2183" i="1"/>
  <c r="Q2183" i="1" s="1"/>
  <c r="P2200" i="1"/>
  <c r="Q2200" i="1" s="1"/>
  <c r="P2217" i="1"/>
  <c r="Q2217" i="1" s="1"/>
  <c r="P2233" i="1"/>
  <c r="Q2233" i="1" s="1"/>
  <c r="P2249" i="1"/>
  <c r="Q2249" i="1" s="1"/>
  <c r="P2265" i="1"/>
  <c r="Q2265" i="1" s="1"/>
  <c r="P2281" i="1"/>
  <c r="Q2281" i="1" s="1"/>
  <c r="P2297" i="1"/>
  <c r="Q2297" i="1" s="1"/>
  <c r="P2313" i="1"/>
  <c r="Q2313" i="1" s="1"/>
  <c r="P2329" i="1"/>
  <c r="Q2329" i="1" s="1"/>
  <c r="P2345" i="1"/>
  <c r="Q2345" i="1" s="1"/>
  <c r="P2361" i="1"/>
  <c r="Q2361" i="1" s="1"/>
  <c r="P2377" i="1"/>
  <c r="Q2377" i="1" s="1"/>
  <c r="P2393" i="1"/>
  <c r="Q2393" i="1" s="1"/>
  <c r="P2409" i="1"/>
  <c r="Q2409" i="1" s="1"/>
  <c r="P2425" i="1"/>
  <c r="Q2425" i="1" s="1"/>
  <c r="P2441" i="1"/>
  <c r="Q2441" i="1" s="1"/>
  <c r="P2457" i="1"/>
  <c r="Q2457" i="1" s="1"/>
  <c r="P2473" i="1"/>
  <c r="Q2473" i="1" s="1"/>
  <c r="P2489" i="1"/>
  <c r="Q2489" i="1" s="1"/>
  <c r="P359" i="1"/>
  <c r="Q359" i="1" s="1"/>
  <c r="P631" i="1"/>
  <c r="Q631" i="1" s="1"/>
  <c r="P841" i="1"/>
  <c r="Q841" i="1" s="1"/>
  <c r="P952" i="1"/>
  <c r="Q952" i="1" s="1"/>
  <c r="P1038" i="1"/>
  <c r="Q1038" i="1" s="1"/>
  <c r="P1108" i="1"/>
  <c r="Q1108" i="1" s="1"/>
  <c r="P1156" i="1"/>
  <c r="Q1156" i="1" s="1"/>
  <c r="P1218" i="1"/>
  <c r="Q1218" i="1" s="1"/>
  <c r="P1278" i="1"/>
  <c r="Q1278" i="1" s="1"/>
  <c r="P1325" i="1"/>
  <c r="Q1325" i="1" s="1"/>
  <c r="P1375" i="1"/>
  <c r="Q1375" i="1" s="1"/>
  <c r="P1421" i="1"/>
  <c r="Q1421" i="1" s="1"/>
  <c r="P1457" i="1"/>
  <c r="Q1457" i="1" s="1"/>
  <c r="P1489" i="1"/>
  <c r="Q1489" i="1" s="1"/>
  <c r="P1521" i="1"/>
  <c r="Q1521" i="1" s="1"/>
  <c r="P1553" i="1"/>
  <c r="Q1553" i="1" s="1"/>
  <c r="P1585" i="1"/>
  <c r="Q1585" i="1" s="1"/>
  <c r="P1614" i="1"/>
  <c r="Q1614" i="1" s="1"/>
  <c r="P1637" i="1"/>
  <c r="Q1637" i="1" s="1"/>
  <c r="P1664" i="1"/>
  <c r="Q1664" i="1" s="1"/>
  <c r="P1691" i="1"/>
  <c r="Q1691" i="1" s="1"/>
  <c r="P1714" i="1"/>
  <c r="Q1714" i="1" s="1"/>
  <c r="P1738" i="1"/>
  <c r="Q1738" i="1" s="1"/>
  <c r="P1758" i="1"/>
  <c r="Q1758" i="1" s="1"/>
  <c r="P1777" i="1"/>
  <c r="Q1777" i="1" s="1"/>
  <c r="P1797" i="1"/>
  <c r="Q1797" i="1" s="1"/>
  <c r="P1818" i="1"/>
  <c r="Q1818" i="1" s="1"/>
  <c r="P1837" i="1"/>
  <c r="Q1837" i="1" s="1"/>
  <c r="P1856" i="1"/>
  <c r="Q1856" i="1" s="1"/>
  <c r="P1874" i="1"/>
  <c r="Q1874" i="1" s="1"/>
  <c r="P1892" i="1"/>
  <c r="Q1892" i="1" s="1"/>
  <c r="P1911" i="1"/>
  <c r="Q1911" i="1" s="1"/>
  <c r="P1928" i="1"/>
  <c r="Q1928" i="1" s="1"/>
  <c r="P1945" i="1"/>
  <c r="Q1945" i="1" s="1"/>
  <c r="P1962" i="1"/>
  <c r="Q1962" i="1" s="1"/>
  <c r="P1979" i="1"/>
  <c r="Q1979" i="1" s="1"/>
  <c r="P1996" i="1"/>
  <c r="Q1996" i="1" s="1"/>
  <c r="P2013" i="1"/>
  <c r="Q2013" i="1" s="1"/>
  <c r="P2030" i="1"/>
  <c r="Q2030" i="1" s="1"/>
  <c r="P2047" i="1"/>
  <c r="Q2047" i="1" s="1"/>
  <c r="P2064" i="1"/>
  <c r="Q2064" i="1" s="1"/>
  <c r="P2081" i="1"/>
  <c r="Q2081" i="1" s="1"/>
  <c r="P2098" i="1"/>
  <c r="Q2098" i="1" s="1"/>
  <c r="P2115" i="1"/>
  <c r="Q2115" i="1" s="1"/>
  <c r="P2132" i="1"/>
  <c r="Q2132" i="1" s="1"/>
  <c r="P2149" i="1"/>
  <c r="Q2149" i="1" s="1"/>
  <c r="P2167" i="1"/>
  <c r="Q2167" i="1" s="1"/>
  <c r="P2184" i="1"/>
  <c r="Q2184" i="1" s="1"/>
  <c r="P2201" i="1"/>
  <c r="Q2201" i="1" s="1"/>
  <c r="P2218" i="1"/>
  <c r="Q2218" i="1" s="1"/>
  <c r="P2234" i="1"/>
  <c r="Q2234" i="1" s="1"/>
  <c r="P2250" i="1"/>
  <c r="Q2250" i="1" s="1"/>
  <c r="P2266" i="1"/>
  <c r="Q2266" i="1" s="1"/>
  <c r="P2282" i="1"/>
  <c r="Q2282" i="1" s="1"/>
  <c r="P2298" i="1"/>
  <c r="Q2298" i="1" s="1"/>
  <c r="P2314" i="1"/>
  <c r="Q2314" i="1" s="1"/>
  <c r="P2330" i="1"/>
  <c r="Q2330" i="1" s="1"/>
  <c r="P2346" i="1"/>
  <c r="Q2346" i="1" s="1"/>
  <c r="P2362" i="1"/>
  <c r="Q2362" i="1" s="1"/>
  <c r="P2378" i="1"/>
  <c r="Q2378" i="1" s="1"/>
  <c r="P2394" i="1"/>
  <c r="Q2394" i="1" s="1"/>
  <c r="P2410" i="1"/>
  <c r="Q2410" i="1" s="1"/>
  <c r="P2426" i="1"/>
  <c r="Q2426" i="1" s="1"/>
  <c r="P2442" i="1"/>
  <c r="Q2442" i="1" s="1"/>
  <c r="P2458" i="1"/>
  <c r="Q2458" i="1" s="1"/>
  <c r="P2474" i="1"/>
  <c r="Q2474" i="1" s="1"/>
  <c r="P2490" i="1"/>
  <c r="Q2490" i="1" s="1"/>
  <c r="P361" i="1"/>
  <c r="Q361" i="1" s="1"/>
  <c r="P633" i="1"/>
  <c r="Q633" i="1" s="1"/>
  <c r="P847" i="1"/>
  <c r="Q847" i="1" s="1"/>
  <c r="P969" i="1"/>
  <c r="Q969" i="1" s="1"/>
  <c r="P1039" i="1"/>
  <c r="Q1039" i="1" s="1"/>
  <c r="P1109" i="1"/>
  <c r="Q1109" i="1" s="1"/>
  <c r="P1167" i="1"/>
  <c r="Q1167" i="1" s="1"/>
  <c r="P1219" i="1"/>
  <c r="Q1219" i="1" s="1"/>
  <c r="P1279" i="1"/>
  <c r="Q1279" i="1" s="1"/>
  <c r="P1335" i="1"/>
  <c r="Q1335" i="1" s="1"/>
  <c r="P1376" i="1"/>
  <c r="Q1376" i="1" s="1"/>
  <c r="P1422" i="1"/>
  <c r="Q1422" i="1" s="1"/>
  <c r="P1461" i="1"/>
  <c r="Q1461" i="1" s="1"/>
  <c r="P1493" i="1"/>
  <c r="Q1493" i="1" s="1"/>
  <c r="P1525" i="1"/>
  <c r="Q1525" i="1" s="1"/>
  <c r="P1557" i="1"/>
  <c r="Q1557" i="1" s="1"/>
  <c r="P1586" i="1"/>
  <c r="Q1586" i="1" s="1"/>
  <c r="P1615" i="1"/>
  <c r="Q1615" i="1" s="1"/>
  <c r="P1642" i="1"/>
  <c r="Q1642" i="1" s="1"/>
  <c r="P1665" i="1"/>
  <c r="Q1665" i="1" s="1"/>
  <c r="P1693" i="1"/>
  <c r="Q1693" i="1" s="1"/>
  <c r="P1716" i="1"/>
  <c r="Q1716" i="1" s="1"/>
  <c r="P1739" i="1"/>
  <c r="Q1739" i="1" s="1"/>
  <c r="P1759" i="1"/>
  <c r="Q1759" i="1" s="1"/>
  <c r="P1778" i="1"/>
  <c r="Q1778" i="1" s="1"/>
  <c r="P1800" i="1"/>
  <c r="Q1800" i="1" s="1"/>
  <c r="P1819" i="1"/>
  <c r="Q1819" i="1" s="1"/>
  <c r="P1838" i="1"/>
  <c r="Q1838" i="1" s="1"/>
  <c r="P1857" i="1"/>
  <c r="Q1857" i="1" s="1"/>
  <c r="P1875" i="1"/>
  <c r="Q1875" i="1" s="1"/>
  <c r="P1893" i="1"/>
  <c r="Q1893" i="1" s="1"/>
  <c r="P1912" i="1"/>
  <c r="Q1912" i="1" s="1"/>
  <c r="P1929" i="1"/>
  <c r="Q1929" i="1" s="1"/>
  <c r="P1946" i="1"/>
  <c r="Q1946" i="1" s="1"/>
  <c r="P1963" i="1"/>
  <c r="Q1963" i="1" s="1"/>
  <c r="P1980" i="1"/>
  <c r="Q1980" i="1" s="1"/>
  <c r="P1997" i="1"/>
  <c r="Q1997" i="1" s="1"/>
  <c r="P2014" i="1"/>
  <c r="Q2014" i="1" s="1"/>
  <c r="P2031" i="1"/>
  <c r="Q2031" i="1" s="1"/>
  <c r="P2048" i="1"/>
  <c r="Q2048" i="1" s="1"/>
  <c r="P2065" i="1"/>
  <c r="Q2065" i="1" s="1"/>
  <c r="P2082" i="1"/>
  <c r="Q2082" i="1" s="1"/>
  <c r="P2099" i="1"/>
  <c r="Q2099" i="1" s="1"/>
  <c r="P2116" i="1"/>
  <c r="Q2116" i="1" s="1"/>
  <c r="P2133" i="1"/>
  <c r="Q2133" i="1" s="1"/>
  <c r="P2151" i="1"/>
  <c r="Q2151" i="1" s="1"/>
  <c r="P2168" i="1"/>
  <c r="Q2168" i="1" s="1"/>
  <c r="P2185" i="1"/>
  <c r="Q2185" i="1" s="1"/>
  <c r="P2202" i="1"/>
  <c r="Q2202" i="1" s="1"/>
  <c r="P2219" i="1"/>
  <c r="Q2219" i="1" s="1"/>
  <c r="P2235" i="1"/>
  <c r="Q2235" i="1" s="1"/>
  <c r="P2251" i="1"/>
  <c r="Q2251" i="1" s="1"/>
  <c r="P2267" i="1"/>
  <c r="Q2267" i="1" s="1"/>
  <c r="P2283" i="1"/>
  <c r="Q2283" i="1" s="1"/>
  <c r="P2299" i="1"/>
  <c r="Q2299" i="1" s="1"/>
  <c r="P2315" i="1"/>
  <c r="Q2315" i="1" s="1"/>
  <c r="P2331" i="1"/>
  <c r="Q2331" i="1" s="1"/>
  <c r="P2347" i="1"/>
  <c r="Q2347" i="1" s="1"/>
  <c r="P2363" i="1"/>
  <c r="Q2363" i="1" s="1"/>
  <c r="P2379" i="1"/>
  <c r="Q2379" i="1" s="1"/>
  <c r="P2395" i="1"/>
  <c r="Q2395" i="1" s="1"/>
  <c r="P2411" i="1"/>
  <c r="Q2411" i="1" s="1"/>
  <c r="P2427" i="1"/>
  <c r="Q2427" i="1" s="1"/>
  <c r="P2443" i="1"/>
  <c r="Q2443" i="1" s="1"/>
  <c r="P2459" i="1"/>
  <c r="Q2459" i="1" s="1"/>
  <c r="P2475" i="1"/>
  <c r="Q2475" i="1" s="1"/>
  <c r="P2491" i="1"/>
  <c r="Q2491" i="1" s="1"/>
  <c r="P435" i="1"/>
  <c r="Q435" i="1" s="1"/>
  <c r="P691" i="1"/>
  <c r="Q691" i="1" s="1"/>
  <c r="P872" i="1"/>
  <c r="Q872" i="1" s="1"/>
  <c r="P979" i="1"/>
  <c r="Q979" i="1" s="1"/>
  <c r="P1043" i="1"/>
  <c r="Q1043" i="1" s="1"/>
  <c r="P1110" i="1"/>
  <c r="Q1110" i="1" s="1"/>
  <c r="P1172" i="1"/>
  <c r="Q1172" i="1" s="1"/>
  <c r="P1220" i="1"/>
  <c r="Q1220" i="1" s="1"/>
  <c r="P1282" i="1"/>
  <c r="Q1282" i="1" s="1"/>
  <c r="P1339" i="1"/>
  <c r="Q1339" i="1" s="1"/>
  <c r="P1377" i="1"/>
  <c r="Q1377" i="1" s="1"/>
  <c r="P1423" i="1"/>
  <c r="Q1423" i="1" s="1"/>
  <c r="P1466" i="1"/>
  <c r="Q1466" i="1" s="1"/>
  <c r="P1498" i="1"/>
  <c r="Q1498" i="1" s="1"/>
  <c r="P1530" i="1"/>
  <c r="Q1530" i="1" s="1"/>
  <c r="P1562" i="1"/>
  <c r="Q1562" i="1" s="1"/>
  <c r="P1589" i="1"/>
  <c r="Q1589" i="1" s="1"/>
  <c r="P1616" i="1"/>
  <c r="Q1616" i="1" s="1"/>
  <c r="P1643" i="1"/>
  <c r="Q1643" i="1" s="1"/>
  <c r="P1666" i="1"/>
  <c r="Q1666" i="1" s="1"/>
  <c r="P1694" i="1"/>
  <c r="Q1694" i="1" s="1"/>
  <c r="P1717" i="1"/>
  <c r="Q1717" i="1" s="1"/>
  <c r="P1740" i="1"/>
  <c r="Q1740" i="1" s="1"/>
  <c r="P1760" i="1"/>
  <c r="Q1760" i="1" s="1"/>
  <c r="P1780" i="1"/>
  <c r="Q1780" i="1" s="1"/>
  <c r="P1801" i="1"/>
  <c r="Q1801" i="1" s="1"/>
  <c r="P1820" i="1"/>
  <c r="Q1820" i="1" s="1"/>
  <c r="P1839" i="1"/>
  <c r="Q1839" i="1" s="1"/>
  <c r="P1858" i="1"/>
  <c r="Q1858" i="1" s="1"/>
  <c r="P1876" i="1"/>
  <c r="Q1876" i="1" s="1"/>
  <c r="P1896" i="1"/>
  <c r="Q1896" i="1" s="1"/>
  <c r="P1913" i="1"/>
  <c r="Q1913" i="1" s="1"/>
  <c r="P1930" i="1"/>
  <c r="Q1930" i="1" s="1"/>
  <c r="P1947" i="1"/>
  <c r="Q1947" i="1" s="1"/>
  <c r="P1964" i="1"/>
  <c r="Q1964" i="1" s="1"/>
  <c r="P1981" i="1"/>
  <c r="Q1981" i="1" s="1"/>
  <c r="P1998" i="1"/>
  <c r="Q1998" i="1" s="1"/>
  <c r="P2015" i="1"/>
  <c r="Q2015" i="1" s="1"/>
  <c r="P2032" i="1"/>
  <c r="Q2032" i="1" s="1"/>
  <c r="P2049" i="1"/>
  <c r="Q2049" i="1" s="1"/>
  <c r="P2066" i="1"/>
  <c r="Q2066" i="1" s="1"/>
  <c r="P2083" i="1"/>
  <c r="Q2083" i="1" s="1"/>
  <c r="P2100" i="1"/>
  <c r="Q2100" i="1" s="1"/>
  <c r="P2117" i="1"/>
  <c r="Q2117" i="1" s="1"/>
  <c r="P2135" i="1"/>
  <c r="Q2135" i="1" s="1"/>
  <c r="P2152" i="1"/>
  <c r="Q2152" i="1" s="1"/>
  <c r="P2169" i="1"/>
  <c r="Q2169" i="1" s="1"/>
  <c r="P2186" i="1"/>
  <c r="Q2186" i="1" s="1"/>
  <c r="P2203" i="1"/>
  <c r="Q2203" i="1" s="1"/>
  <c r="P2220" i="1"/>
  <c r="Q2220" i="1" s="1"/>
  <c r="P2236" i="1"/>
  <c r="Q2236" i="1" s="1"/>
  <c r="P2252" i="1"/>
  <c r="Q2252" i="1" s="1"/>
  <c r="P2268" i="1"/>
  <c r="Q2268" i="1" s="1"/>
  <c r="P2284" i="1"/>
  <c r="Q2284" i="1" s="1"/>
  <c r="P2300" i="1"/>
  <c r="Q2300" i="1" s="1"/>
  <c r="P2316" i="1"/>
  <c r="Q2316" i="1" s="1"/>
  <c r="P2332" i="1"/>
  <c r="Q2332" i="1" s="1"/>
  <c r="P2348" i="1"/>
  <c r="Q2348" i="1" s="1"/>
  <c r="P2364" i="1"/>
  <c r="Q2364" i="1" s="1"/>
  <c r="P2380" i="1"/>
  <c r="Q2380" i="1" s="1"/>
  <c r="P2396" i="1"/>
  <c r="Q2396" i="1" s="1"/>
  <c r="P2412" i="1"/>
  <c r="Q2412" i="1" s="1"/>
  <c r="P2428" i="1"/>
  <c r="Q2428" i="1" s="1"/>
  <c r="P2444" i="1"/>
  <c r="Q2444" i="1" s="1"/>
  <c r="P2460" i="1"/>
  <c r="Q2460" i="1" s="1"/>
  <c r="P2476" i="1"/>
  <c r="Q2476" i="1" s="1"/>
  <c r="P2492" i="1"/>
  <c r="Q2492" i="1" s="1"/>
  <c r="P437" i="1"/>
  <c r="Q437" i="1" s="1"/>
  <c r="P693" i="1"/>
  <c r="Q693" i="1" s="1"/>
  <c r="P873" i="1"/>
  <c r="Q873" i="1" s="1"/>
  <c r="P980" i="1"/>
  <c r="Q980" i="1" s="1"/>
  <c r="P1055" i="1"/>
  <c r="Q1055" i="1" s="1"/>
  <c r="P1111" i="1"/>
  <c r="Q1111" i="1" s="1"/>
  <c r="P1173" i="1"/>
  <c r="Q1173" i="1" s="1"/>
  <c r="P1231" i="1"/>
  <c r="Q1231" i="1" s="1"/>
  <c r="P1283" i="1"/>
  <c r="Q1283" i="1" s="1"/>
  <c r="P1340" i="1"/>
  <c r="Q1340" i="1" s="1"/>
  <c r="P1386" i="1"/>
  <c r="Q1386" i="1" s="1"/>
  <c r="P1424" i="1"/>
  <c r="Q1424" i="1" s="1"/>
  <c r="P1467" i="1"/>
  <c r="Q1467" i="1" s="1"/>
  <c r="P1499" i="1"/>
  <c r="Q1499" i="1" s="1"/>
  <c r="P1531" i="1"/>
  <c r="Q1531" i="1" s="1"/>
  <c r="P1563" i="1"/>
  <c r="Q1563" i="1" s="1"/>
  <c r="P1594" i="1"/>
  <c r="Q1594" i="1" s="1"/>
  <c r="P1617" i="1"/>
  <c r="Q1617" i="1" s="1"/>
  <c r="P1645" i="1"/>
  <c r="Q1645" i="1" s="1"/>
  <c r="P1668" i="1"/>
  <c r="Q1668" i="1" s="1"/>
  <c r="P1695" i="1"/>
  <c r="Q1695" i="1" s="1"/>
  <c r="P1721" i="1"/>
  <c r="Q1721" i="1" s="1"/>
  <c r="P1741" i="1"/>
  <c r="Q1741" i="1" s="1"/>
  <c r="P1761" i="1"/>
  <c r="Q1761" i="1" s="1"/>
  <c r="P1781" i="1"/>
  <c r="Q1781" i="1" s="1"/>
  <c r="P1802" i="1"/>
  <c r="Q1802" i="1" s="1"/>
  <c r="P1821" i="1"/>
  <c r="Q1821" i="1" s="1"/>
  <c r="P1840" i="1"/>
  <c r="Q1840" i="1" s="1"/>
  <c r="P1859" i="1"/>
  <c r="Q1859" i="1" s="1"/>
  <c r="P1877" i="1"/>
  <c r="Q1877" i="1" s="1"/>
  <c r="P1897" i="1"/>
  <c r="Q1897" i="1" s="1"/>
  <c r="P1914" i="1"/>
  <c r="Q1914" i="1" s="1"/>
  <c r="P1931" i="1"/>
  <c r="Q1931" i="1" s="1"/>
  <c r="P1948" i="1"/>
  <c r="Q1948" i="1" s="1"/>
  <c r="P1965" i="1"/>
  <c r="Q1965" i="1" s="1"/>
  <c r="P1982" i="1"/>
  <c r="Q1982" i="1" s="1"/>
  <c r="P1999" i="1"/>
  <c r="Q1999" i="1" s="1"/>
  <c r="P2016" i="1"/>
  <c r="Q2016" i="1" s="1"/>
  <c r="P2033" i="1"/>
  <c r="Q2033" i="1" s="1"/>
  <c r="P2050" i="1"/>
  <c r="Q2050" i="1" s="1"/>
  <c r="P2067" i="1"/>
  <c r="Q2067" i="1" s="1"/>
  <c r="P2084" i="1"/>
  <c r="Q2084" i="1" s="1"/>
  <c r="P2101" i="1"/>
  <c r="Q2101" i="1" s="1"/>
  <c r="P2119" i="1"/>
  <c r="Q2119" i="1" s="1"/>
  <c r="P2136" i="1"/>
  <c r="Q2136" i="1" s="1"/>
  <c r="P2153" i="1"/>
  <c r="Q2153" i="1" s="1"/>
  <c r="P2170" i="1"/>
  <c r="Q2170" i="1" s="1"/>
  <c r="P2187" i="1"/>
  <c r="Q2187" i="1" s="1"/>
  <c r="P2204" i="1"/>
  <c r="Q2204" i="1" s="1"/>
  <c r="P2221" i="1"/>
  <c r="Q2221" i="1" s="1"/>
  <c r="P2237" i="1"/>
  <c r="Q2237" i="1" s="1"/>
  <c r="P2253" i="1"/>
  <c r="Q2253" i="1" s="1"/>
  <c r="P2269" i="1"/>
  <c r="Q2269" i="1" s="1"/>
  <c r="P2285" i="1"/>
  <c r="Q2285" i="1" s="1"/>
  <c r="P2301" i="1"/>
  <c r="Q2301" i="1" s="1"/>
  <c r="P2317" i="1"/>
  <c r="Q2317" i="1" s="1"/>
  <c r="P2333" i="1"/>
  <c r="Q2333" i="1" s="1"/>
  <c r="P2349" i="1"/>
  <c r="Q2349" i="1" s="1"/>
  <c r="P2365" i="1"/>
  <c r="Q2365" i="1" s="1"/>
  <c r="P2381" i="1"/>
  <c r="Q2381" i="1" s="1"/>
  <c r="P2397" i="1"/>
  <c r="Q2397" i="1" s="1"/>
  <c r="P2413" i="1"/>
  <c r="Q2413" i="1" s="1"/>
  <c r="P2429" i="1"/>
  <c r="Q2429" i="1" s="1"/>
  <c r="P2445" i="1"/>
  <c r="Q2445" i="1" s="1"/>
  <c r="P2461" i="1"/>
  <c r="Q2461" i="1" s="1"/>
  <c r="P2477" i="1"/>
  <c r="Q2477" i="1" s="1"/>
  <c r="P2493" i="1"/>
  <c r="Q2493" i="1" s="1"/>
  <c r="P439" i="1"/>
  <c r="Q439" i="1" s="1"/>
  <c r="P695" i="1"/>
  <c r="Q695" i="1" s="1"/>
  <c r="P879" i="1"/>
  <c r="Q879" i="1" s="1"/>
  <c r="P981" i="1"/>
  <c r="Q981" i="1" s="1"/>
  <c r="P1061" i="1"/>
  <c r="Q1061" i="1" s="1"/>
  <c r="P1112" i="1"/>
  <c r="Q1112" i="1" s="1"/>
  <c r="P1174" i="1"/>
  <c r="Q1174" i="1" s="1"/>
  <c r="P1236" i="1"/>
  <c r="Q1236" i="1" s="1"/>
  <c r="P1284" i="1"/>
  <c r="Q1284" i="1" s="1"/>
  <c r="P1341" i="1"/>
  <c r="Q1341" i="1" s="1"/>
  <c r="P1389" i="1"/>
  <c r="Q1389" i="1" s="1"/>
  <c r="P1425" i="1"/>
  <c r="Q1425" i="1" s="1"/>
  <c r="P1469" i="1"/>
  <c r="Q1469" i="1" s="1"/>
  <c r="P1501" i="1"/>
  <c r="Q1501" i="1" s="1"/>
  <c r="P1533" i="1"/>
  <c r="Q1533" i="1" s="1"/>
  <c r="P1565" i="1"/>
  <c r="Q1565" i="1" s="1"/>
  <c r="P1595" i="1"/>
  <c r="Q1595" i="1" s="1"/>
  <c r="P1618" i="1"/>
  <c r="Q1618" i="1" s="1"/>
  <c r="P1646" i="1"/>
  <c r="Q1646" i="1" s="1"/>
  <c r="P1669" i="1"/>
  <c r="Q1669" i="1" s="1"/>
  <c r="P1696" i="1"/>
  <c r="Q1696" i="1" s="1"/>
  <c r="P1722" i="1"/>
  <c r="Q1722" i="1" s="1"/>
  <c r="P1742" i="1"/>
  <c r="Q1742" i="1" s="1"/>
  <c r="P1762" i="1"/>
  <c r="Q1762" i="1" s="1"/>
  <c r="P1784" i="1"/>
  <c r="Q1784" i="1" s="1"/>
  <c r="P1803" i="1"/>
  <c r="Q1803" i="1" s="1"/>
  <c r="P1822" i="1"/>
  <c r="Q1822" i="1" s="1"/>
  <c r="P1841" i="1"/>
  <c r="Q1841" i="1" s="1"/>
  <c r="P1860" i="1"/>
  <c r="Q1860" i="1" s="1"/>
  <c r="P1880" i="1"/>
  <c r="Q1880" i="1" s="1"/>
  <c r="P1898" i="1"/>
  <c r="Q1898" i="1" s="1"/>
  <c r="P1915" i="1"/>
  <c r="Q1915" i="1" s="1"/>
  <c r="P1932" i="1"/>
  <c r="Q1932" i="1" s="1"/>
  <c r="P1949" i="1"/>
  <c r="Q1949" i="1" s="1"/>
  <c r="P1966" i="1"/>
  <c r="Q1966" i="1" s="1"/>
  <c r="P1983" i="1"/>
  <c r="Q1983" i="1" s="1"/>
  <c r="P2000" i="1"/>
  <c r="Q2000" i="1" s="1"/>
  <c r="P2017" i="1"/>
  <c r="Q2017" i="1" s="1"/>
  <c r="P2034" i="1"/>
  <c r="Q2034" i="1" s="1"/>
  <c r="P2051" i="1"/>
  <c r="Q2051" i="1" s="1"/>
  <c r="P2068" i="1"/>
  <c r="Q2068" i="1" s="1"/>
  <c r="P2085" i="1"/>
  <c r="Q2085" i="1" s="1"/>
  <c r="P2103" i="1"/>
  <c r="Q2103" i="1" s="1"/>
  <c r="P2120" i="1"/>
  <c r="Q2120" i="1" s="1"/>
  <c r="P2137" i="1"/>
  <c r="Q2137" i="1" s="1"/>
  <c r="P2154" i="1"/>
  <c r="Q2154" i="1" s="1"/>
  <c r="P2171" i="1"/>
  <c r="Q2171" i="1" s="1"/>
  <c r="P2188" i="1"/>
  <c r="Q2188" i="1" s="1"/>
  <c r="P2205" i="1"/>
  <c r="Q2205" i="1" s="1"/>
  <c r="P2222" i="1"/>
  <c r="Q2222" i="1" s="1"/>
  <c r="P2238" i="1"/>
  <c r="Q2238" i="1" s="1"/>
  <c r="P2254" i="1"/>
  <c r="Q2254" i="1" s="1"/>
  <c r="P2270" i="1"/>
  <c r="Q2270" i="1" s="1"/>
  <c r="P2286" i="1"/>
  <c r="Q2286" i="1" s="1"/>
  <c r="P2302" i="1"/>
  <c r="Q2302" i="1" s="1"/>
  <c r="P2318" i="1"/>
  <c r="Q2318" i="1" s="1"/>
  <c r="P2334" i="1"/>
  <c r="Q2334" i="1" s="1"/>
  <c r="P2350" i="1"/>
  <c r="Q2350" i="1" s="1"/>
  <c r="P2366" i="1"/>
  <c r="Q2366" i="1" s="1"/>
  <c r="P2382" i="1"/>
  <c r="Q2382" i="1" s="1"/>
  <c r="P2398" i="1"/>
  <c r="Q2398" i="1" s="1"/>
  <c r="P2414" i="1"/>
  <c r="Q2414" i="1" s="1"/>
  <c r="P2430" i="1"/>
  <c r="Q2430" i="1" s="1"/>
  <c r="P2446" i="1"/>
  <c r="Q2446" i="1" s="1"/>
  <c r="P2462" i="1"/>
  <c r="Q2462" i="1" s="1"/>
  <c r="P2478" i="1"/>
  <c r="Q2478" i="1" s="1"/>
  <c r="P441" i="1"/>
  <c r="Q441" i="1" s="1"/>
  <c r="P697" i="1"/>
  <c r="Q697" i="1" s="1"/>
  <c r="P883" i="1"/>
  <c r="Q883" i="1" s="1"/>
  <c r="P983" i="1"/>
  <c r="Q983" i="1" s="1"/>
  <c r="P1063" i="1"/>
  <c r="Q1063" i="1" s="1"/>
  <c r="P1125" i="1"/>
  <c r="Q1125" i="1" s="1"/>
  <c r="P1175" i="1"/>
  <c r="Q1175" i="1" s="1"/>
  <c r="P1237" i="1"/>
  <c r="Q1237" i="1" s="1"/>
  <c r="P1295" i="1"/>
  <c r="Q1295" i="1" s="1"/>
  <c r="P1342" i="1"/>
  <c r="Q1342" i="1" s="1"/>
  <c r="P1390" i="1"/>
  <c r="Q1390" i="1" s="1"/>
  <c r="P1434" i="1"/>
  <c r="Q1434" i="1" s="1"/>
  <c r="P1470" i="1"/>
  <c r="Q1470" i="1" s="1"/>
  <c r="P1502" i="1"/>
  <c r="Q1502" i="1" s="1"/>
  <c r="P1534" i="1"/>
  <c r="Q1534" i="1" s="1"/>
  <c r="P1566" i="1"/>
  <c r="Q1566" i="1" s="1"/>
  <c r="P1597" i="1"/>
  <c r="Q1597" i="1" s="1"/>
  <c r="P1620" i="1"/>
  <c r="Q1620" i="1" s="1"/>
  <c r="P1647" i="1"/>
  <c r="Q1647" i="1" s="1"/>
  <c r="P501" i="1"/>
  <c r="Q501" i="1" s="1"/>
  <c r="P757" i="1"/>
  <c r="Q757" i="1" s="1"/>
  <c r="P911" i="1"/>
  <c r="Q911" i="1" s="1"/>
  <c r="P1001" i="1"/>
  <c r="Q1001" i="1" s="1"/>
  <c r="P1065" i="1"/>
  <c r="Q1065" i="1" s="1"/>
  <c r="P1129" i="1"/>
  <c r="Q1129" i="1" s="1"/>
  <c r="P1189" i="1"/>
  <c r="Q1189" i="1" s="1"/>
  <c r="P1239" i="1"/>
  <c r="Q1239" i="1" s="1"/>
  <c r="P1301" i="1"/>
  <c r="Q1301" i="1" s="1"/>
  <c r="P1353" i="1"/>
  <c r="Q1353" i="1" s="1"/>
  <c r="P1392" i="1"/>
  <c r="Q1392" i="1" s="1"/>
  <c r="P1438" i="1"/>
  <c r="Q1438" i="1" s="1"/>
  <c r="P1472" i="1"/>
  <c r="Q1472" i="1" s="1"/>
  <c r="P1504" i="1"/>
  <c r="Q1504" i="1" s="1"/>
  <c r="P1536" i="1"/>
  <c r="Q1536" i="1" s="1"/>
  <c r="P1568" i="1"/>
  <c r="Q1568" i="1" s="1"/>
  <c r="P1599" i="1"/>
  <c r="Q1599" i="1" s="1"/>
  <c r="P1626" i="1"/>
  <c r="Q1626" i="1" s="1"/>
  <c r="P1649" i="1"/>
  <c r="Q1649" i="1" s="1"/>
  <c r="P1677" i="1"/>
  <c r="Q1677" i="1" s="1"/>
  <c r="P1700" i="1"/>
  <c r="Q1700" i="1" s="1"/>
  <c r="P1725" i="1"/>
  <c r="Q1725" i="1" s="1"/>
  <c r="P1745" i="1"/>
  <c r="Q1745" i="1" s="1"/>
  <c r="P1768" i="1"/>
  <c r="Q1768" i="1" s="1"/>
  <c r="P1787" i="1"/>
  <c r="Q1787" i="1" s="1"/>
  <c r="P1806" i="1"/>
  <c r="Q1806" i="1" s="1"/>
  <c r="P1825" i="1"/>
  <c r="Q1825" i="1" s="1"/>
  <c r="P1845" i="1"/>
  <c r="Q1845" i="1" s="1"/>
  <c r="P1865" i="1"/>
  <c r="Q1865" i="1" s="1"/>
  <c r="P1883" i="1"/>
  <c r="Q1883" i="1" s="1"/>
  <c r="P1901" i="1"/>
  <c r="Q1901" i="1" s="1"/>
  <c r="P1918" i="1"/>
  <c r="Q1918" i="1" s="1"/>
  <c r="P1935" i="1"/>
  <c r="Q1935" i="1" s="1"/>
  <c r="P1952" i="1"/>
  <c r="Q1952" i="1" s="1"/>
  <c r="P1969" i="1"/>
  <c r="Q1969" i="1" s="1"/>
  <c r="P1986" i="1"/>
  <c r="Q1986" i="1" s="1"/>
  <c r="P2003" i="1"/>
  <c r="Q2003" i="1" s="1"/>
  <c r="P2020" i="1"/>
  <c r="Q2020" i="1" s="1"/>
  <c r="P2037" i="1"/>
  <c r="Q2037" i="1" s="1"/>
  <c r="P2055" i="1"/>
  <c r="Q2055" i="1" s="1"/>
  <c r="P2072" i="1"/>
  <c r="Q2072" i="1" s="1"/>
  <c r="P2089" i="1"/>
  <c r="Q2089" i="1" s="1"/>
  <c r="P2106" i="1"/>
  <c r="Q2106" i="1" s="1"/>
  <c r="P2123" i="1"/>
  <c r="Q2123" i="1" s="1"/>
  <c r="P2140" i="1"/>
  <c r="Q2140" i="1" s="1"/>
  <c r="P2157" i="1"/>
  <c r="Q2157" i="1" s="1"/>
  <c r="P2174" i="1"/>
  <c r="Q2174" i="1" s="1"/>
  <c r="P2191" i="1"/>
  <c r="Q2191" i="1" s="1"/>
  <c r="P2208" i="1"/>
  <c r="Q2208" i="1" s="1"/>
  <c r="P2225" i="1"/>
  <c r="Q2225" i="1" s="1"/>
  <c r="P2241" i="1"/>
  <c r="Q2241" i="1" s="1"/>
  <c r="P2257" i="1"/>
  <c r="Q2257" i="1" s="1"/>
  <c r="P2273" i="1"/>
  <c r="Q2273" i="1" s="1"/>
  <c r="P2289" i="1"/>
  <c r="Q2289" i="1" s="1"/>
  <c r="P2305" i="1"/>
  <c r="Q2305" i="1" s="1"/>
  <c r="P2321" i="1"/>
  <c r="Q2321" i="1" s="1"/>
  <c r="P2337" i="1"/>
  <c r="Q2337" i="1" s="1"/>
  <c r="P2353" i="1"/>
  <c r="Q2353" i="1" s="1"/>
  <c r="P2369" i="1"/>
  <c r="Q2369" i="1" s="1"/>
  <c r="P2385" i="1"/>
  <c r="Q2385" i="1" s="1"/>
  <c r="P2401" i="1"/>
  <c r="Q2401" i="1" s="1"/>
  <c r="P2417" i="1"/>
  <c r="Q2417" i="1" s="1"/>
  <c r="P2433" i="1"/>
  <c r="Q2433" i="1" s="1"/>
  <c r="P2449" i="1"/>
  <c r="Q2449" i="1" s="1"/>
  <c r="P2465" i="1"/>
  <c r="Q2465" i="1" s="1"/>
  <c r="P2481" i="1"/>
  <c r="Q2481" i="1" s="1"/>
  <c r="P503" i="1"/>
  <c r="Q503" i="1" s="1"/>
  <c r="P759" i="1"/>
  <c r="Q759" i="1" s="1"/>
  <c r="P915" i="1"/>
  <c r="Q915" i="1" s="1"/>
  <c r="P1007" i="1"/>
  <c r="Q1007" i="1" s="1"/>
  <c r="P1067" i="1"/>
  <c r="Q1067" i="1" s="1"/>
  <c r="P1131" i="1"/>
  <c r="Q1131" i="1" s="1"/>
  <c r="P1192" i="1"/>
  <c r="Q1192" i="1" s="1"/>
  <c r="P1240" i="1"/>
  <c r="Q1240" i="1" s="1"/>
  <c r="P1302" i="1"/>
  <c r="Q1302" i="1" s="1"/>
  <c r="P1356" i="1"/>
  <c r="Q1356" i="1" s="1"/>
  <c r="P1393" i="1"/>
  <c r="Q1393" i="1" s="1"/>
  <c r="P1439" i="1"/>
  <c r="Q1439" i="1" s="1"/>
  <c r="P1473" i="1"/>
  <c r="Q1473" i="1" s="1"/>
  <c r="P1505" i="1"/>
  <c r="Q1505" i="1" s="1"/>
  <c r="P1537" i="1"/>
  <c r="Q1537" i="1" s="1"/>
  <c r="P1569" i="1"/>
  <c r="Q1569" i="1" s="1"/>
  <c r="P1600" i="1"/>
  <c r="Q1600" i="1" s="1"/>
  <c r="P1627" i="1"/>
  <c r="Q1627" i="1" s="1"/>
  <c r="P1650" i="1"/>
  <c r="Q1650" i="1" s="1"/>
  <c r="P1678" i="1"/>
  <c r="Q1678" i="1" s="1"/>
  <c r="P1701" i="1"/>
  <c r="Q1701" i="1" s="1"/>
  <c r="P1726" i="1"/>
  <c r="Q1726" i="1" s="1"/>
  <c r="P1746" i="1"/>
  <c r="Q1746" i="1" s="1"/>
  <c r="P1769" i="1"/>
  <c r="Q1769" i="1" s="1"/>
  <c r="P1788" i="1"/>
  <c r="Q1788" i="1" s="1"/>
  <c r="P1807" i="1"/>
  <c r="Q1807" i="1" s="1"/>
  <c r="P1826" i="1"/>
  <c r="Q1826" i="1" s="1"/>
  <c r="P1848" i="1"/>
  <c r="Q1848" i="1" s="1"/>
  <c r="P1866" i="1"/>
  <c r="Q1866" i="1" s="1"/>
  <c r="P1884" i="1"/>
  <c r="Q1884" i="1" s="1"/>
  <c r="P1902" i="1"/>
  <c r="Q1902" i="1" s="1"/>
  <c r="P1919" i="1"/>
  <c r="Q1919" i="1" s="1"/>
  <c r="P1936" i="1"/>
  <c r="Q1936" i="1" s="1"/>
  <c r="P1953" i="1"/>
  <c r="Q1953" i="1" s="1"/>
  <c r="P1970" i="1"/>
  <c r="Q1970" i="1" s="1"/>
  <c r="P1987" i="1"/>
  <c r="Q1987" i="1" s="1"/>
  <c r="P2004" i="1"/>
  <c r="Q2004" i="1" s="1"/>
  <c r="P2021" i="1"/>
  <c r="Q2021" i="1" s="1"/>
  <c r="P2039" i="1"/>
  <c r="Q2039" i="1" s="1"/>
  <c r="P2056" i="1"/>
  <c r="Q2056" i="1" s="1"/>
  <c r="P2073" i="1"/>
  <c r="Q2073" i="1" s="1"/>
  <c r="P2090" i="1"/>
  <c r="Q2090" i="1" s="1"/>
  <c r="P2107" i="1"/>
  <c r="Q2107" i="1" s="1"/>
  <c r="P2124" i="1"/>
  <c r="Q2124" i="1" s="1"/>
  <c r="P2141" i="1"/>
  <c r="Q2141" i="1" s="1"/>
  <c r="P2158" i="1"/>
  <c r="Q2158" i="1" s="1"/>
  <c r="P2175" i="1"/>
  <c r="Q2175" i="1" s="1"/>
  <c r="P2192" i="1"/>
  <c r="Q2192" i="1" s="1"/>
  <c r="P2209" i="1"/>
  <c r="Q2209" i="1" s="1"/>
  <c r="P2226" i="1"/>
  <c r="Q2226" i="1" s="1"/>
  <c r="P2242" i="1"/>
  <c r="Q2242" i="1" s="1"/>
  <c r="P2258" i="1"/>
  <c r="Q2258" i="1" s="1"/>
  <c r="P2274" i="1"/>
  <c r="Q2274" i="1" s="1"/>
  <c r="P2290" i="1"/>
  <c r="Q2290" i="1" s="1"/>
  <c r="P2306" i="1"/>
  <c r="Q2306" i="1" s="1"/>
  <c r="P2322" i="1"/>
  <c r="Q2322" i="1" s="1"/>
  <c r="P2338" i="1"/>
  <c r="Q2338" i="1" s="1"/>
  <c r="P2354" i="1"/>
  <c r="Q2354" i="1" s="1"/>
  <c r="P2370" i="1"/>
  <c r="Q2370" i="1" s="1"/>
  <c r="P2386" i="1"/>
  <c r="Q2386" i="1" s="1"/>
  <c r="P2402" i="1"/>
  <c r="Q2402" i="1" s="1"/>
  <c r="P2418" i="1"/>
  <c r="Q2418" i="1" s="1"/>
  <c r="P2434" i="1"/>
  <c r="Q2434" i="1" s="1"/>
  <c r="P2450" i="1"/>
  <c r="Q2450" i="1" s="1"/>
  <c r="P2466" i="1"/>
  <c r="Q2466" i="1" s="1"/>
  <c r="P2482" i="1"/>
  <c r="Q2482" i="1" s="1"/>
  <c r="P499" i="1"/>
  <c r="Q499" i="1" s="1"/>
  <c r="P1300" i="1"/>
  <c r="Q1300" i="1" s="1"/>
  <c r="P1598" i="1"/>
  <c r="Q1598" i="1" s="1"/>
  <c r="P1744" i="1"/>
  <c r="Q1744" i="1" s="1"/>
  <c r="P1849" i="1"/>
  <c r="Q1849" i="1" s="1"/>
  <c r="P1950" i="1"/>
  <c r="Q1950" i="1" s="1"/>
  <c r="P2036" i="1"/>
  <c r="Q2036" i="1" s="1"/>
  <c r="P2125" i="1"/>
  <c r="Q2125" i="1" s="1"/>
  <c r="P2223" i="1"/>
  <c r="Q2223" i="1" s="1"/>
  <c r="P2304" i="1"/>
  <c r="Q2304" i="1" s="1"/>
  <c r="P2387" i="1"/>
  <c r="Q2387" i="1" s="1"/>
  <c r="P2479" i="1"/>
  <c r="Q2479" i="1" s="1"/>
  <c r="P505" i="1"/>
  <c r="Q505" i="1" s="1"/>
  <c r="P1303" i="1"/>
  <c r="Q1303" i="1" s="1"/>
  <c r="P1601" i="1"/>
  <c r="Q1601" i="1" s="1"/>
  <c r="P1748" i="1"/>
  <c r="Q1748" i="1" s="1"/>
  <c r="P1861" i="1"/>
  <c r="Q1861" i="1" s="1"/>
  <c r="P1951" i="1"/>
  <c r="Q1951" i="1" s="1"/>
  <c r="P2040" i="1"/>
  <c r="Q2040" i="1" s="1"/>
  <c r="P2138" i="1"/>
  <c r="Q2138" i="1" s="1"/>
  <c r="P2224" i="1"/>
  <c r="Q2224" i="1" s="1"/>
  <c r="P2307" i="1"/>
  <c r="Q2307" i="1" s="1"/>
  <c r="P2399" i="1"/>
  <c r="Q2399" i="1" s="1"/>
  <c r="P2480" i="1"/>
  <c r="Q2480" i="1" s="1"/>
  <c r="P1824" i="1"/>
  <c r="Q1824" i="1" s="1"/>
  <c r="P755" i="1"/>
  <c r="Q755" i="1" s="1"/>
  <c r="P1343" i="1"/>
  <c r="Q1343" i="1" s="1"/>
  <c r="P1621" i="1"/>
  <c r="Q1621" i="1" s="1"/>
  <c r="P1764" i="1"/>
  <c r="Q1764" i="1" s="1"/>
  <c r="P1864" i="1"/>
  <c r="Q1864" i="1" s="1"/>
  <c r="P1954" i="1"/>
  <c r="Q1954" i="1" s="1"/>
  <c r="P2052" i="1"/>
  <c r="Q2052" i="1" s="1"/>
  <c r="P2139" i="1"/>
  <c r="Q2139" i="1" s="1"/>
  <c r="P2227" i="1"/>
  <c r="Q2227" i="1" s="1"/>
  <c r="P2319" i="1"/>
  <c r="Q2319" i="1" s="1"/>
  <c r="P2400" i="1"/>
  <c r="Q2400" i="1" s="1"/>
  <c r="P2483" i="1"/>
  <c r="Q2483" i="1" s="1"/>
  <c r="P2018" i="1"/>
  <c r="Q2018" i="1" s="1"/>
  <c r="P761" i="1"/>
  <c r="Q761" i="1" s="1"/>
  <c r="P1357" i="1"/>
  <c r="Q1357" i="1" s="1"/>
  <c r="P1629" i="1"/>
  <c r="Q1629" i="1" s="1"/>
  <c r="P1765" i="1"/>
  <c r="Q1765" i="1" s="1"/>
  <c r="P1867" i="1"/>
  <c r="Q1867" i="1" s="1"/>
  <c r="P1967" i="1"/>
  <c r="Q1967" i="1" s="1"/>
  <c r="P2053" i="1"/>
  <c r="Q2053" i="1" s="1"/>
  <c r="P2142" i="1"/>
  <c r="Q2142" i="1" s="1"/>
  <c r="P2239" i="1"/>
  <c r="Q2239" i="1" s="1"/>
  <c r="P2320" i="1"/>
  <c r="Q2320" i="1" s="1"/>
  <c r="P2403" i="1"/>
  <c r="Q2403" i="1" s="1"/>
  <c r="P1535" i="1"/>
  <c r="Q1535" i="1" s="1"/>
  <c r="P884" i="1"/>
  <c r="Q884" i="1" s="1"/>
  <c r="P1391" i="1"/>
  <c r="Q1391" i="1" s="1"/>
  <c r="P1648" i="1"/>
  <c r="Q1648" i="1" s="1"/>
  <c r="P1770" i="1"/>
  <c r="Q1770" i="1" s="1"/>
  <c r="P1881" i="1"/>
  <c r="Q1881" i="1" s="1"/>
  <c r="P1968" i="1"/>
  <c r="Q1968" i="1" s="1"/>
  <c r="P2057" i="1"/>
  <c r="Q2057" i="1" s="1"/>
  <c r="P2155" i="1"/>
  <c r="Q2155" i="1" s="1"/>
  <c r="P2240" i="1"/>
  <c r="Q2240" i="1" s="1"/>
  <c r="P2323" i="1"/>
  <c r="Q2323" i="1" s="1"/>
  <c r="P2415" i="1"/>
  <c r="Q2415" i="1" s="1"/>
  <c r="P1920" i="1"/>
  <c r="Q1920" i="1" s="1"/>
  <c r="P916" i="1"/>
  <c r="Q916" i="1" s="1"/>
  <c r="P1402" i="1"/>
  <c r="Q1402" i="1" s="1"/>
  <c r="P1652" i="1"/>
  <c r="Q1652" i="1" s="1"/>
  <c r="P1785" i="1"/>
  <c r="Q1785" i="1" s="1"/>
  <c r="P1882" i="1"/>
  <c r="Q1882" i="1" s="1"/>
  <c r="P1971" i="1"/>
  <c r="Q1971" i="1" s="1"/>
  <c r="P2069" i="1"/>
  <c r="Q2069" i="1" s="1"/>
  <c r="P2156" i="1"/>
  <c r="Q2156" i="1" s="1"/>
  <c r="P2243" i="1"/>
  <c r="Q2243" i="1" s="1"/>
  <c r="P2335" i="1"/>
  <c r="Q2335" i="1" s="1"/>
  <c r="P2416" i="1"/>
  <c r="Q2416" i="1" s="1"/>
  <c r="P2105" i="1"/>
  <c r="Q2105" i="1" s="1"/>
  <c r="P984" i="1"/>
  <c r="Q984" i="1" s="1"/>
  <c r="P1437" i="1"/>
  <c r="Q1437" i="1" s="1"/>
  <c r="P1674" i="1"/>
  <c r="Q1674" i="1" s="1"/>
  <c r="P1786" i="1"/>
  <c r="Q1786" i="1" s="1"/>
  <c r="P1885" i="1"/>
  <c r="Q1885" i="1" s="1"/>
  <c r="P1984" i="1"/>
  <c r="Q1984" i="1" s="1"/>
  <c r="P2071" i="1"/>
  <c r="Q2071" i="1" s="1"/>
  <c r="P2159" i="1"/>
  <c r="Q2159" i="1" s="1"/>
  <c r="P2255" i="1"/>
  <c r="Q2255" i="1" s="1"/>
  <c r="P2336" i="1"/>
  <c r="Q2336" i="1" s="1"/>
  <c r="P2419" i="1"/>
  <c r="Q2419" i="1" s="1"/>
  <c r="P2190" i="1"/>
  <c r="Q2190" i="1" s="1"/>
  <c r="P2368" i="1"/>
  <c r="Q2368" i="1" s="1"/>
  <c r="P1011" i="1"/>
  <c r="Q1011" i="1" s="1"/>
  <c r="P1440" i="1"/>
  <c r="Q1440" i="1" s="1"/>
  <c r="P1675" i="1"/>
  <c r="Q1675" i="1" s="1"/>
  <c r="P1789" i="1"/>
  <c r="Q1789" i="1" s="1"/>
  <c r="P1899" i="1"/>
  <c r="Q1899" i="1" s="1"/>
  <c r="P1985" i="1"/>
  <c r="Q1985" i="1" s="1"/>
  <c r="P2074" i="1"/>
  <c r="Q2074" i="1" s="1"/>
  <c r="P2172" i="1"/>
  <c r="Q2172" i="1" s="1"/>
  <c r="P2256" i="1"/>
  <c r="Q2256" i="1" s="1"/>
  <c r="P2339" i="1"/>
  <c r="Q2339" i="1" s="1"/>
  <c r="P2431" i="1"/>
  <c r="Q2431" i="1" s="1"/>
  <c r="P2104" i="1"/>
  <c r="Q2104" i="1" s="1"/>
  <c r="P2451" i="1"/>
  <c r="Q2451" i="1" s="1"/>
  <c r="P1064" i="1"/>
  <c r="Q1064" i="1" s="1"/>
  <c r="P1471" i="1"/>
  <c r="Q1471" i="1" s="1"/>
  <c r="P1679" i="1"/>
  <c r="Q1679" i="1" s="1"/>
  <c r="P1804" i="1"/>
  <c r="Q1804" i="1" s="1"/>
  <c r="P1900" i="1"/>
  <c r="Q1900" i="1" s="1"/>
  <c r="P1988" i="1"/>
  <c r="Q1988" i="1" s="1"/>
  <c r="P2087" i="1"/>
  <c r="Q2087" i="1" s="1"/>
  <c r="P2173" i="1"/>
  <c r="Q2173" i="1" s="1"/>
  <c r="P2259" i="1"/>
  <c r="Q2259" i="1" s="1"/>
  <c r="P2351" i="1"/>
  <c r="Q2351" i="1" s="1"/>
  <c r="P2432" i="1"/>
  <c r="Q2432" i="1" s="1"/>
  <c r="P1723" i="1"/>
  <c r="Q1723" i="1" s="1"/>
  <c r="P1080" i="1"/>
  <c r="Q1080" i="1" s="1"/>
  <c r="P1477" i="1"/>
  <c r="Q1477" i="1" s="1"/>
  <c r="P1697" i="1"/>
  <c r="Q1697" i="1" s="1"/>
  <c r="P1805" i="1"/>
  <c r="Q1805" i="1" s="1"/>
  <c r="P1903" i="1"/>
  <c r="Q1903" i="1" s="1"/>
  <c r="P2001" i="1"/>
  <c r="Q2001" i="1" s="1"/>
  <c r="P2088" i="1"/>
  <c r="Q2088" i="1" s="1"/>
  <c r="P2176" i="1"/>
  <c r="Q2176" i="1" s="1"/>
  <c r="P2271" i="1"/>
  <c r="Q2271" i="1" s="1"/>
  <c r="P2352" i="1"/>
  <c r="Q2352" i="1" s="1"/>
  <c r="P2435" i="1"/>
  <c r="Q2435" i="1" s="1"/>
  <c r="P2005" i="1"/>
  <c r="Q2005" i="1" s="1"/>
  <c r="P1128" i="1"/>
  <c r="Q1128" i="1" s="1"/>
  <c r="P1503" i="1"/>
  <c r="Q1503" i="1" s="1"/>
  <c r="P1698" i="1"/>
  <c r="Q1698" i="1" s="1"/>
  <c r="P1808" i="1"/>
  <c r="Q1808" i="1" s="1"/>
  <c r="P1916" i="1"/>
  <c r="Q1916" i="1" s="1"/>
  <c r="P2002" i="1"/>
  <c r="Q2002" i="1" s="1"/>
  <c r="P2091" i="1"/>
  <c r="Q2091" i="1" s="1"/>
  <c r="P2189" i="1"/>
  <c r="Q2189" i="1" s="1"/>
  <c r="P2272" i="1"/>
  <c r="Q2272" i="1" s="1"/>
  <c r="P2355" i="1"/>
  <c r="Q2355" i="1" s="1"/>
  <c r="P2447" i="1"/>
  <c r="Q2447" i="1" s="1"/>
  <c r="P1133" i="1"/>
  <c r="Q1133" i="1" s="1"/>
  <c r="P1509" i="1"/>
  <c r="Q1509" i="1" s="1"/>
  <c r="P1706" i="1"/>
  <c r="Q1706" i="1" s="1"/>
  <c r="P1823" i="1"/>
  <c r="Q1823" i="1" s="1"/>
  <c r="P1917" i="1"/>
  <c r="Q1917" i="1" s="1"/>
  <c r="P2275" i="1"/>
  <c r="Q2275" i="1" s="1"/>
  <c r="P2367" i="1"/>
  <c r="Q2367" i="1" s="1"/>
  <c r="P2448" i="1"/>
  <c r="Q2448" i="1" s="1"/>
  <c r="P1176" i="1"/>
  <c r="Q1176" i="1" s="1"/>
  <c r="P1193" i="1"/>
  <c r="Q1193" i="1" s="1"/>
  <c r="P1541" i="1"/>
  <c r="Q1541" i="1" s="1"/>
  <c r="P1724" i="1"/>
  <c r="Q1724" i="1" s="1"/>
  <c r="P1828" i="1"/>
  <c r="Q1828" i="1" s="1"/>
  <c r="P1933" i="1"/>
  <c r="Q1933" i="1" s="1"/>
  <c r="P2019" i="1"/>
  <c r="Q2019" i="1" s="1"/>
  <c r="P2108" i="1"/>
  <c r="Q2108" i="1" s="1"/>
  <c r="P2206" i="1"/>
  <c r="Q2206" i="1" s="1"/>
  <c r="P2288" i="1"/>
  <c r="Q2288" i="1" s="1"/>
  <c r="P2371" i="1"/>
  <c r="Q2371" i="1" s="1"/>
  <c r="P2463" i="1"/>
  <c r="Q2463" i="1" s="1"/>
  <c r="P2121" i="1"/>
  <c r="Q2121" i="1" s="1"/>
  <c r="P1573" i="1"/>
  <c r="Q1573" i="1" s="1"/>
  <c r="P1743" i="1"/>
  <c r="Q1743" i="1" s="1"/>
  <c r="P2035" i="1"/>
  <c r="Q2035" i="1" s="1"/>
  <c r="P2210" i="1"/>
  <c r="Q2210" i="1" s="1"/>
  <c r="P2303" i="1"/>
  <c r="Q2303" i="1" s="1"/>
  <c r="P2384" i="1"/>
  <c r="Q2384" i="1" s="1"/>
  <c r="P2287" i="1"/>
  <c r="Q2287" i="1" s="1"/>
  <c r="P1238" i="1"/>
  <c r="Q1238" i="1" s="1"/>
  <c r="P1567" i="1"/>
  <c r="Q1567" i="1" s="1"/>
  <c r="P1727" i="1"/>
  <c r="Q1727" i="1" s="1"/>
  <c r="P1842" i="1"/>
  <c r="Q1842" i="1" s="1"/>
  <c r="P1934" i="1"/>
  <c r="Q1934" i="1" s="1"/>
  <c r="P2023" i="1"/>
  <c r="Q2023" i="1" s="1"/>
  <c r="P2207" i="1"/>
  <c r="Q2207" i="1" s="1"/>
  <c r="P2291" i="1"/>
  <c r="Q2291" i="1" s="1"/>
  <c r="P2383" i="1"/>
  <c r="Q2383" i="1" s="1"/>
  <c r="P2464" i="1"/>
  <c r="Q2464" i="1" s="1"/>
  <c r="P1253" i="1"/>
  <c r="Q1253" i="1" s="1"/>
  <c r="P1844" i="1"/>
  <c r="Q1844" i="1" s="1"/>
  <c r="P1937" i="1"/>
  <c r="Q1937" i="1" s="1"/>
  <c r="P2122" i="1"/>
  <c r="Q2122" i="1" s="1"/>
  <c r="P2467" i="1"/>
  <c r="Q2467" i="1" s="1"/>
  <c r="P2193" i="1"/>
  <c r="Q219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Joe Tricarico</author>
  </authors>
  <commentList>
    <comment ref="E69" authorId="0" shapeId="0" xr:uid="{2D41EC75-9D89-4619-B6DD-18ABF02697A9}">
      <text>
        <r>
          <rPr>
            <b/>
            <sz val="9"/>
            <color indexed="81"/>
            <rFont val="Tahoma"/>
            <family val="2"/>
          </rPr>
          <t>Joe Tricarico:</t>
        </r>
        <r>
          <rPr>
            <sz val="9"/>
            <color indexed="81"/>
            <rFont val="Tahoma"/>
            <family val="2"/>
          </rPr>
          <t xml:space="preserve">
BRIDGES</t>
        </r>
      </text>
    </comment>
    <comment ref="E94" authorId="0" shapeId="0" xr:uid="{0771EA50-3C17-4467-9BCF-388A659F751B}">
      <text>
        <r>
          <rPr>
            <b/>
            <sz val="9"/>
            <color indexed="81"/>
            <rFont val="Tahoma"/>
            <family val="2"/>
          </rPr>
          <t>Joe Tricarico:</t>
        </r>
        <r>
          <rPr>
            <sz val="9"/>
            <color indexed="81"/>
            <rFont val="Tahoma"/>
            <family val="2"/>
          </rPr>
          <t xml:space="preserve">
SECURITY CAMERAS AND NETWORKING</t>
        </r>
      </text>
    </comment>
    <comment ref="E141" authorId="0" shapeId="0" xr:uid="{2472DDC0-E250-4418-AC6E-F66804FBD539}">
      <text>
        <r>
          <rPr>
            <b/>
            <sz val="9"/>
            <color indexed="81"/>
            <rFont val="Tahoma"/>
            <family val="2"/>
          </rPr>
          <t>Joe Tricarico:</t>
        </r>
        <r>
          <rPr>
            <sz val="9"/>
            <color indexed="81"/>
            <rFont val="Tahoma"/>
            <family val="2"/>
          </rPr>
          <t xml:space="preserve">
IRON HILL FENCE - NEWARK</t>
        </r>
      </text>
    </comment>
    <comment ref="E184" authorId="0" shapeId="0" xr:uid="{F1B760AD-F1D0-4A15-9247-D9815CE243CE}">
      <text>
        <r>
          <rPr>
            <b/>
            <sz val="9"/>
            <color indexed="81"/>
            <rFont val="Tahoma"/>
            <charset val="1"/>
          </rPr>
          <t>Joe Tricarico:</t>
        </r>
        <r>
          <rPr>
            <sz val="9"/>
            <color indexed="81"/>
            <rFont val="Tahoma"/>
            <charset val="1"/>
          </rPr>
          <t xml:space="preserve">
CANDY.COM
</t>
        </r>
      </text>
    </comment>
    <comment ref="E192" authorId="0" shapeId="0" xr:uid="{56021C2A-7A38-4686-BEE9-67EAAF0E7910}">
      <text>
        <r>
          <rPr>
            <b/>
            <sz val="9"/>
            <color indexed="81"/>
            <rFont val="Tahoma"/>
            <charset val="1"/>
          </rPr>
          <t>Joe Tricarico:</t>
        </r>
        <r>
          <rPr>
            <sz val="9"/>
            <color indexed="81"/>
            <rFont val="Tahoma"/>
            <charset val="1"/>
          </rPr>
          <t xml:space="preserve">
DEMO CONTRACTOR; PASSED AWAY FY22</t>
        </r>
      </text>
    </comment>
    <comment ref="E218" authorId="0" shapeId="0" xr:uid="{F0237FF0-8E91-4164-8F84-4C033B39EAD5}">
      <text>
        <r>
          <rPr>
            <b/>
            <sz val="9"/>
            <color indexed="81"/>
            <rFont val="Tahoma"/>
            <charset val="1"/>
          </rPr>
          <t>Joe Tricarico:</t>
        </r>
        <r>
          <rPr>
            <sz val="9"/>
            <color indexed="81"/>
            <rFont val="Tahoma"/>
            <charset val="1"/>
          </rPr>
          <t xml:space="preserve">
POLE BARN
</t>
        </r>
      </text>
    </comment>
    <comment ref="E220" authorId="0" shapeId="0" xr:uid="{9E5B2729-ABC8-4C7F-91A2-C24442B5DED2}">
      <text>
        <r>
          <rPr>
            <b/>
            <sz val="9"/>
            <color indexed="81"/>
            <rFont val="Tahoma"/>
            <charset val="1"/>
          </rPr>
          <t>Joe Tricarico:</t>
        </r>
        <r>
          <rPr>
            <sz val="9"/>
            <color indexed="81"/>
            <rFont val="Tahoma"/>
            <charset val="1"/>
          </rPr>
          <t xml:space="preserve">
MARINE EQUIPMENT DEALER</t>
        </r>
      </text>
    </comment>
    <comment ref="E221" authorId="0" shapeId="0" xr:uid="{7C4E0F85-9BED-437A-92D9-CF359E5D210D}">
      <text>
        <r>
          <rPr>
            <b/>
            <sz val="9"/>
            <color indexed="81"/>
            <rFont val="Tahoma"/>
            <charset val="1"/>
          </rPr>
          <t>Joe Tricarico:</t>
        </r>
        <r>
          <rPr>
            <sz val="9"/>
            <color indexed="81"/>
            <rFont val="Tahoma"/>
            <charset val="1"/>
          </rPr>
          <t xml:space="preserve">
GOLF COURSE BUILDER
</t>
        </r>
      </text>
    </comment>
    <comment ref="E228" authorId="0" shapeId="0" xr:uid="{B40F28CE-BD47-4BEB-84B2-A4FE6D63077B}">
      <text>
        <r>
          <rPr>
            <b/>
            <sz val="9"/>
            <color indexed="81"/>
            <rFont val="Tahoma"/>
            <charset val="1"/>
          </rPr>
          <t>Joe Tricarico:</t>
        </r>
        <r>
          <rPr>
            <sz val="9"/>
            <color indexed="81"/>
            <rFont val="Tahoma"/>
            <charset val="1"/>
          </rPr>
          <t xml:space="preserve">
PAVING COMPANY</t>
        </r>
      </text>
    </comment>
    <comment ref="E237" authorId="0" shapeId="0" xr:uid="{A344EE91-4205-4FC4-9B5E-A5B772CEDF24}">
      <text>
        <r>
          <rPr>
            <b/>
            <sz val="9"/>
            <color indexed="81"/>
            <rFont val="Tahoma"/>
            <charset val="1"/>
          </rPr>
          <t>Joe Tricarico:
COULD BE WELDING GAS, COULD BE FOR FOUNTAIN DRINKS (INDIAN POINT MARINA CSTORE?)</t>
        </r>
      </text>
    </comment>
  </commentList>
</comments>
</file>

<file path=xl/sharedStrings.xml><?xml version="1.0" encoding="utf-8"?>
<sst xmlns="http://schemas.openxmlformats.org/spreadsheetml/2006/main" count="5501" uniqueCount="2773">
  <si>
    <t>index</t>
  </si>
  <si>
    <t>vendor</t>
  </si>
  <si>
    <t>EMPLOYEE COMPENSATION</t>
  </si>
  <si>
    <t>SAUL EWING ARNSTEIN &amp; LEHR LLP</t>
  </si>
  <si>
    <t>OTHER EMPLOYMENT COSTS BENEFITS</t>
  </si>
  <si>
    <t>CENTURY ENGINEERING LLC</t>
  </si>
  <si>
    <t>FORT DUPONT REDEVELOPMENT PRESERVATION</t>
  </si>
  <si>
    <t>DIV OF ACCOUNTING</t>
  </si>
  <si>
    <t>A DEL CONSTRUCTION CO INC</t>
  </si>
  <si>
    <t>NEW CASTLE CONSERVATION DIST</t>
  </si>
  <si>
    <t>CATO INC</t>
  </si>
  <si>
    <t>OMB FLEET MANAGEMENT</t>
  </si>
  <si>
    <t>H K GRIFFITH INC</t>
  </si>
  <si>
    <t>GRASSBUSTERS LANDSCAPING CO</t>
  </si>
  <si>
    <t>EASTERN STATES CONSTRUCTION</t>
  </si>
  <si>
    <t>GWWO INC</t>
  </si>
  <si>
    <t>COMMONWEALTH CONSTRUCTION CO</t>
  </si>
  <si>
    <t>SOPRIS HOLDINGS LLC</t>
  </si>
  <si>
    <t>RICHARD E PIERSON CONSTRUCTION CO INC</t>
  </si>
  <si>
    <t>DELMARVA POWER</t>
  </si>
  <si>
    <t>BANCROFT CONSTRUCTION CO</t>
  </si>
  <si>
    <t>VENTRESCA BROS INC</t>
  </si>
  <si>
    <t>DNREC OFFICE OF THE SECRETARY</t>
  </si>
  <si>
    <t>NEW CASTLE COUNTY</t>
  </si>
  <si>
    <t>RUMMEL KLEPPER &amp; KAHL LLP</t>
  </si>
  <si>
    <t>LAWRENCE C BATHON BUILDERS INC</t>
  </si>
  <si>
    <t>DNREC P&amp;R MANAGEMENT AND SUPPORT</t>
  </si>
  <si>
    <t>EASTERN HIGHWAY SPECIALIST INC</t>
  </si>
  <si>
    <t>CORPORATE INTERIORS INC</t>
  </si>
  <si>
    <t>MOFFATT &amp; NICHOL</t>
  </si>
  <si>
    <t>GREENMAN-PEDERSEN INC</t>
  </si>
  <si>
    <t>BURKE EQUIPMENT COMPANY</t>
  </si>
  <si>
    <t>DTI CONTROLLER'S OFFICE</t>
  </si>
  <si>
    <t>CITY OF LEWES BOARD OF PUBLIC WORKS</t>
  </si>
  <si>
    <t>REYBOLD CONSTRUCTION TECHNOLOGIES LLC</t>
  </si>
  <si>
    <t>GREEN PAVING &amp; EXCAVATING</t>
  </si>
  <si>
    <t>VANGUARD DIRECT INC</t>
  </si>
  <si>
    <t>VS ROOFING INC</t>
  </si>
  <si>
    <t>ARROW LEASING CORP</t>
  </si>
  <si>
    <t>CITY OF LEWES</t>
  </si>
  <si>
    <t>SUSSEX COUNTY COUNCIL</t>
  </si>
  <si>
    <t>WASTE INDUSTRIES OF DELAWARE LLC</t>
  </si>
  <si>
    <t>GOLD STANDARD CONSULTING LLC</t>
  </si>
  <si>
    <t>TOWN OF SELBYVILLE</t>
  </si>
  <si>
    <t>DTI CHIEF OPERATING OFFICER</t>
  </si>
  <si>
    <t>DAVEY TREE EXPERTS</t>
  </si>
  <si>
    <t>DEMPSEYS SPECIALIZED SERVICES LLC</t>
  </si>
  <si>
    <t>DELAWARE ELECTRIC COOPERATIVE INC</t>
  </si>
  <si>
    <t>ENTERPRISE MASONRY CORPORATION</t>
  </si>
  <si>
    <t>GRIFFITH ENERGY SVCS INC DBA CARL KING</t>
  </si>
  <si>
    <t>STATEWIDE MECHANICAL INC</t>
  </si>
  <si>
    <t>MID ATLANTIC SERVICES A TEAM CORP</t>
  </si>
  <si>
    <t>ALLIED UNIVERSAL SECURITY SERVICES</t>
  </si>
  <si>
    <t>SUSSEX SHORES WATER CO</t>
  </si>
  <si>
    <t>ARTESIAN WATER INC</t>
  </si>
  <si>
    <t>A3 COMMUNICATIONS INC</t>
  </si>
  <si>
    <t>VERSALIGN INC</t>
  </si>
  <si>
    <t>DIVISION OF PERSONNEL MANAGEMENT</t>
  </si>
  <si>
    <t>BERNARDON DELAWARE LLC</t>
  </si>
  <si>
    <t>SUMCO ECO CONTRACTING LLC</t>
  </si>
  <si>
    <t>PRETTYMAN BUILDERS LLC</t>
  </si>
  <si>
    <t>PAULS POINTING INC</t>
  </si>
  <si>
    <t>A BRIGHT IDEA</t>
  </si>
  <si>
    <t>LANE GROUP V LLC</t>
  </si>
  <si>
    <t>SHANNON BUILDERS INC</t>
  </si>
  <si>
    <t>BURKE EQUIPMENT SEAFORD INC</t>
  </si>
  <si>
    <t>SUBURBAN PROPANE LP</t>
  </si>
  <si>
    <t>PRO WORKS INC</t>
  </si>
  <si>
    <t>FLOWBIRD AMERICA INC</t>
  </si>
  <si>
    <t>DOC SUSSEX COUNTY COMMUNITY CORR</t>
  </si>
  <si>
    <t>CONVENTIONAL BUILDERS INC</t>
  </si>
  <si>
    <t>SPORT BUILDERS INC</t>
  </si>
  <si>
    <t>HANOVER UNIFORM CO</t>
  </si>
  <si>
    <t>MASTEN ELECTRIC INC</t>
  </si>
  <si>
    <t>JOHN EDWARD HARVEY DBA EASTERN CONTRACTO</t>
  </si>
  <si>
    <t>UNITED ELECTRIC SUPPLY CO INC</t>
  </si>
  <si>
    <t>STATE JANITORIAL SUPPLY</t>
  </si>
  <si>
    <t>DELAWARE RIVER &amp; BAY AUTHORITY EFCU</t>
  </si>
  <si>
    <t>JOHNSON MIRMIRAN &amp; THOMPSON INC</t>
  </si>
  <si>
    <t>AMUSEMENT RESTORATION COMPANIES</t>
  </si>
  <si>
    <t>POLE BUILDINGS UNLIMITED INC</t>
  </si>
  <si>
    <t>MAIN LINE COMMERCIAL POOLS</t>
  </si>
  <si>
    <t>HARRY CASWELL INC</t>
  </si>
  <si>
    <t>11400 LLC</t>
  </si>
  <si>
    <t>AECOM</t>
  </si>
  <si>
    <t>JAED CORP</t>
  </si>
  <si>
    <t>SIDDHARTHA SHARMA</t>
  </si>
  <si>
    <t>TOWN OF FENWICK ISLAND</t>
  </si>
  <si>
    <t>CUNNINGHAM ASSOCIATES INC</t>
  </si>
  <si>
    <t>TOWN OF LITTLE CREEK</t>
  </si>
  <si>
    <t>ACCESSREC</t>
  </si>
  <si>
    <t>WILCOR INTERNATIONAL INC</t>
  </si>
  <si>
    <t>ROCKPORT ANALYTICS LLC</t>
  </si>
  <si>
    <t>A E MOORE JANITORIAL INC</t>
  </si>
  <si>
    <t>EDIS COMPANY</t>
  </si>
  <si>
    <t>CONNOR MANAGEMENT INC</t>
  </si>
  <si>
    <t>GA BLANCO &amp; SONS INC</t>
  </si>
  <si>
    <t>TOWN OF SMYRNA</t>
  </si>
  <si>
    <t>MUMFORD &amp; MILLER CONCRETE INC</t>
  </si>
  <si>
    <t>MODERN CONTROLS</t>
  </si>
  <si>
    <t>DNREC OFC OF INFORMATION TECHNOLOGY</t>
  </si>
  <si>
    <t>CDA ENGINEERING INC</t>
  </si>
  <si>
    <t>CITY OF WILMINGTON</t>
  </si>
  <si>
    <t>BRUSH STROKES INC</t>
  </si>
  <si>
    <t>REMLINE CORP</t>
  </si>
  <si>
    <t>RYDIN DECAL</t>
  </si>
  <si>
    <t>LIBERTY PARKS &amp; PLAYGROUND INC</t>
  </si>
  <si>
    <t>DAVID P ROSER INC</t>
  </si>
  <si>
    <t>WILLIAMS SCOTSMAN INC</t>
  </si>
  <si>
    <t>JOHN MACKLIN SR</t>
  </si>
  <si>
    <t>DNREC ENVIRONMENTAL FINANCE</t>
  </si>
  <si>
    <t>FIRST STATE PETROLEUM SVCS INC</t>
  </si>
  <si>
    <t>PRIORITY SERVICES LLC</t>
  </si>
  <si>
    <t>MARK DAMIAN DUDA AND ASSOCIATES INC</t>
  </si>
  <si>
    <t>EASTON ICE CO INC</t>
  </si>
  <si>
    <t>MITY-LITE INC</t>
  </si>
  <si>
    <t>NEWARK KUBOTA INC</t>
  </si>
  <si>
    <t>HOOPES FIRE PREVENTION INC</t>
  </si>
  <si>
    <t>BAIRD MANDALAS BROCKSTEDT LLC</t>
  </si>
  <si>
    <t>CANON FINANCIAL SERVICES INC</t>
  </si>
  <si>
    <t>THE RESTORATION GUYS LLC</t>
  </si>
  <si>
    <t>BERNARDON DELAWARE LLC DBA CSG DELAWARE</t>
  </si>
  <si>
    <t>JONATHAN BERGMANN DVM PC</t>
  </si>
  <si>
    <t>Law Offices of Michele D Allen dba Allen</t>
  </si>
  <si>
    <t>DNREC DIVISION OF WATER</t>
  </si>
  <si>
    <t>MERIT CONSTRUCTION ENGINEERS</t>
  </si>
  <si>
    <t>J&amp;M FENCING INC</t>
  </si>
  <si>
    <t>HERSHEY CREAMERY COMPANY</t>
  </si>
  <si>
    <t>CIRILLO BROS INC</t>
  </si>
  <si>
    <t>FLETCHER PLUMBING HEATING A/C</t>
  </si>
  <si>
    <t>BAYSHORE FORD TRUCK SALES</t>
  </si>
  <si>
    <t>TRI-COUNTY TERMITE &amp; PEST CONTROL INC</t>
  </si>
  <si>
    <t>DE CORRECTIONAL INDUSTRIES</t>
  </si>
  <si>
    <t>ALOYSIUS BUTLER &amp; CLARK</t>
  </si>
  <si>
    <t>GENERAL TEAMSTERS LOCAL NO 326</t>
  </si>
  <si>
    <t>PENNONI ASSOC INC</t>
  </si>
  <si>
    <t>SHARP ENERGY INC</t>
  </si>
  <si>
    <t>FERRIS HOME IMPROVEMENTS LLC</t>
  </si>
  <si>
    <t>VEOLIA WATER DELAWARE INC FKA SUEZ WATER</t>
  </si>
  <si>
    <t>TOWN OF MILTON</t>
  </si>
  <si>
    <t>ATTENTO LLC</t>
  </si>
  <si>
    <t>DEDC LLC</t>
  </si>
  <si>
    <t>B DOHERTY INC</t>
  </si>
  <si>
    <t>ENVIRONMENTAL ALLIANCE INC</t>
  </si>
  <si>
    <t>PADDOCK SWIMMING POOL COMPANY</t>
  </si>
  <si>
    <t>PREMIUM PARK PRODUCTS  LLC</t>
  </si>
  <si>
    <t>LEARFIELD SUB LLC</t>
  </si>
  <si>
    <t>MARINE EQUIP &amp; SUPPLY CO</t>
  </si>
  <si>
    <t>WW GRAINGER INC</t>
  </si>
  <si>
    <t>JOHNS WELL DRILLING INC</t>
  </si>
  <si>
    <t>JEFFERY MAST DBA JD MAST CARPENTRY LLC</t>
  </si>
  <si>
    <t>TRI-STATE CARPET</t>
  </si>
  <si>
    <t>CXT INCORPORATED</t>
  </si>
  <si>
    <t>HOBBS CONTRACTORS</t>
  </si>
  <si>
    <t>TOYOTALIFT NORTHEAST LLC</t>
  </si>
  <si>
    <t>FRIENDS AUBURN HGTS PRESV INC</t>
  </si>
  <si>
    <t>DELDOT TRAFFIC</t>
  </si>
  <si>
    <t>11400 INC</t>
  </si>
  <si>
    <t>CUSHMAN AND WAKEFIELD US INC</t>
  </si>
  <si>
    <t>BECKER MORGAN GROUP INC</t>
  </si>
  <si>
    <t>EASTERN LIFT TRUCK CO INC</t>
  </si>
  <si>
    <t>TOWN OF LAUREL</t>
  </si>
  <si>
    <t>VILLAGE OF ARDENCROFT</t>
  </si>
  <si>
    <t>FLETCHER PLUMBING HEATING AC</t>
  </si>
  <si>
    <t>EDWARD POWELL PUMP &amp; WELL DRILLING INC</t>
  </si>
  <si>
    <t>KM PRINTING LLC</t>
  </si>
  <si>
    <t>AMER WATER WELL SYS INC</t>
  </si>
  <si>
    <t>PHRST</t>
  </si>
  <si>
    <t>HYETT REFRIGERATION INC</t>
  </si>
  <si>
    <t>INSURANCE COVERAGE OFFICE OF M&amp;B</t>
  </si>
  <si>
    <t>RR DONNELLEY &amp; SONS COMPANY</t>
  </si>
  <si>
    <t>MASTER INTERIORS INC</t>
  </si>
  <si>
    <t>JESCO INC</t>
  </si>
  <si>
    <t>BUTTS TICKET COMPANY</t>
  </si>
  <si>
    <t>COASTAL SERVICES LLC</t>
  </si>
  <si>
    <t>CITY OF SEAFORD</t>
  </si>
  <si>
    <t>FERGUSON ENTERPRISE INC</t>
  </si>
  <si>
    <t>MOHAWK LIFTS LLC</t>
  </si>
  <si>
    <t>COUNTY HVAC SERVICES INC</t>
  </si>
  <si>
    <t>FREEMIRE &amp; ASSOCIATES INC</t>
  </si>
  <si>
    <t>TOWN OF TOWNSEND</t>
  </si>
  <si>
    <t>RJ THOMAS MANUFACTURING CO</t>
  </si>
  <si>
    <t>CHARLES RITCHIE</t>
  </si>
  <si>
    <t>DOVER ELECTRIC SUP CO</t>
  </si>
  <si>
    <t>DELWOOD TRAILER SALES INC</t>
  </si>
  <si>
    <t>KEYSTONE RIDGE DESIGNS INC</t>
  </si>
  <si>
    <t>H &amp; A ELECTRIC CO</t>
  </si>
  <si>
    <t>ENVIRONMENTAL SERVICES INC</t>
  </si>
  <si>
    <t>GRAVES UNIFORMS LLC</t>
  </si>
  <si>
    <t>MEAD AND HUNT INC</t>
  </si>
  <si>
    <t>BYRON H JEFFERSON ENG SVCS</t>
  </si>
  <si>
    <t>CLARK &amp; SONS INC</t>
  </si>
  <si>
    <t>DELAWARE ELEVATOR INC</t>
  </si>
  <si>
    <t>SCHAGRIN GAS CO</t>
  </si>
  <si>
    <t>ASSURANCE MEDIA LLC</t>
  </si>
  <si>
    <t>A-1 SANITATION SVC INC</t>
  </si>
  <si>
    <t>DOVER ARMY NAVY STORE INC</t>
  </si>
  <si>
    <t>UNIVERSITY OF DELAWARE</t>
  </si>
  <si>
    <t>NATIONAL HVAC SERVICE</t>
  </si>
  <si>
    <t>NATURE PLANET INC</t>
  </si>
  <si>
    <t>TURF EQUIP &amp; SUPPLY CO INC</t>
  </si>
  <si>
    <t>DAVID BURNINGHAM</t>
  </si>
  <si>
    <t>DRONEY MARINE CONSTRUCTION INC</t>
  </si>
  <si>
    <t>FA BARTLETT TREE EXPERT COMPANY</t>
  </si>
  <si>
    <t>DSHS CAPITOL POLICE</t>
  </si>
  <si>
    <t>US DEPT OF AGRICULTURE ANIMAL &amp; PLANT HE</t>
  </si>
  <si>
    <t>Karen H Belinko Appraisals Llc</t>
  </si>
  <si>
    <t>GENERAL RECREATION INC</t>
  </si>
  <si>
    <t>JAMESTOWN PAINTING AND DECORATING INC</t>
  </si>
  <si>
    <t>SEASHORE FRUIT &amp; PRODUCE INC</t>
  </si>
  <si>
    <t>DAVID E WAUGH</t>
  </si>
  <si>
    <t>SHANNAHAN WATER CO INC</t>
  </si>
  <si>
    <t>M &amp; T BUILDERS LLC</t>
  </si>
  <si>
    <t>DOVETAIL CULTURAL RESOURCE GROUP INC</t>
  </si>
  <si>
    <t>JOSEPH A COCHRAN &amp; SONS INC</t>
  </si>
  <si>
    <t>BRZ PERFORMANCE LLC</t>
  </si>
  <si>
    <t>PIERCE FENCE CO INC</t>
  </si>
  <si>
    <t>PARTNERSHIP INC</t>
  </si>
  <si>
    <t>SUBURBAN LAWN EQUIP INC</t>
  </si>
  <si>
    <t>SHENANDOAH HABITAT SERVICES LLC</t>
  </si>
  <si>
    <t>PHOTOSHELTER INC</t>
  </si>
  <si>
    <t>CITY OF DOVER</t>
  </si>
  <si>
    <t>ORNDORF &amp; ASSOCIATES INC</t>
  </si>
  <si>
    <t>DUKES LUMBER CO INC</t>
  </si>
  <si>
    <t>STATE OF MARYLAND</t>
  </si>
  <si>
    <t>KRAEMER INDUSTRIAL SERVICES</t>
  </si>
  <si>
    <t>SEA PORT MARINE CORP</t>
  </si>
  <si>
    <t>INTELLIGENT MARKING USA INC</t>
  </si>
  <si>
    <t>KENT CONSERVATION DIST</t>
  </si>
  <si>
    <t>PIONEER MANUFACTURING CO</t>
  </si>
  <si>
    <t>MURTECH INC</t>
  </si>
  <si>
    <t>LIFETIME WELL DRILLING CO INC</t>
  </si>
  <si>
    <t>MUNICIPAL EMERGENCY SERVICES</t>
  </si>
  <si>
    <t>HAGUE QUALITY WATER OF MD INC</t>
  </si>
  <si>
    <t>S&amp;L OUTFITTERS LLC</t>
  </si>
  <si>
    <t>BUILDERS FIRSTSOURCE INC</t>
  </si>
  <si>
    <t>BACKYARD  PARADISE  LANDSCAPING  AND PON</t>
  </si>
  <si>
    <t>TRU GRIT LLC</t>
  </si>
  <si>
    <t>WILLIAM N CANN INC</t>
  </si>
  <si>
    <t>KABOOM</t>
  </si>
  <si>
    <t>KRANSON CLOTHES INC</t>
  </si>
  <si>
    <t>RODENTPRO COM LLC</t>
  </si>
  <si>
    <t>LEXIPOL LLC</t>
  </si>
  <si>
    <t>MILLSBORO CARPET MART INC</t>
  </si>
  <si>
    <t>GENESIS TURFGRASS INC</t>
  </si>
  <si>
    <t>GREDELL &amp; ASSOCIATES</t>
  </si>
  <si>
    <t>WORLD FUEL SERVICES INC</t>
  </si>
  <si>
    <t>HILYARDS INC</t>
  </si>
  <si>
    <t>ZENITH GP LLC</t>
  </si>
  <si>
    <t>1ST STATE PEST AND HOME SERVICES LLC</t>
  </si>
  <si>
    <t>FASTENAL</t>
  </si>
  <si>
    <t>HOWMEDICA OSTEONICS CORP DBA STRYKER SAL</t>
  </si>
  <si>
    <t>ANIMAL SPECIALTIES AND PROVISIONS</t>
  </si>
  <si>
    <t>FLAME-TECH</t>
  </si>
  <si>
    <t>GABLE MUSIC VENTURES</t>
  </si>
  <si>
    <t>CMI ELECTRIC INC</t>
  </si>
  <si>
    <t>KEEN COMPRESSED GAS CO</t>
  </si>
  <si>
    <t>DELAWARE BLUE COATS LLC</t>
  </si>
  <si>
    <t>BOOST FINANCIAL TELECOM LLC</t>
  </si>
  <si>
    <t>MELVIN L JOSEPH CONSTRUCTION</t>
  </si>
  <si>
    <t>FLOORING SOLUTIONS INC</t>
  </si>
  <si>
    <t>MARTINELLI HOLDINGS LLC</t>
  </si>
  <si>
    <t>ULINE INC</t>
  </si>
  <si>
    <t>SECURITY INSTRUMENT CORP OF DEL</t>
  </si>
  <si>
    <t>VILLAGE OF ARDENTOWN</t>
  </si>
  <si>
    <t>ADOLPH KIEFER &amp; ASSOC LLC</t>
  </si>
  <si>
    <t>HY POINT DAIRY FARMS INC</t>
  </si>
  <si>
    <t>DOVER CONSULTING SVC INC</t>
  </si>
  <si>
    <t>K &amp; M INTERNATIONAL</t>
  </si>
  <si>
    <t>AMERICA ASSOCIATION OF ZOOLOG PARKS AND</t>
  </si>
  <si>
    <t>MOTOROLA SOLUTIONS INC</t>
  </si>
  <si>
    <t>ULTRACAMP LLC</t>
  </si>
  <si>
    <t>CURTIS G TESTERMAN INC</t>
  </si>
  <si>
    <t>FOREST VIEW NURSERY INC</t>
  </si>
  <si>
    <t>JAMES SCALIA PLUMBING &amp; HEATING</t>
  </si>
  <si>
    <t>NEW ENTERPRISE STONE AND LIME CO INC</t>
  </si>
  <si>
    <t>DIAMOND STATE GHOST INVESTIGATORS</t>
  </si>
  <si>
    <t>AUI INC</t>
  </si>
  <si>
    <t>Local 1443</t>
  </si>
  <si>
    <t>UNITED RENTAL NORTH AMERICA INC</t>
  </si>
  <si>
    <t>DEERFIELD CC MANAGEMENT LP</t>
  </si>
  <si>
    <t>ALLIED LOCK &amp; SAFE CO</t>
  </si>
  <si>
    <t>TRUSTEES OF THE UNIV OF PA</t>
  </si>
  <si>
    <t>MARITIME DELAWARE LLC</t>
  </si>
  <si>
    <t>JD SIGN COMPANY LLC</t>
  </si>
  <si>
    <t>ZEAGER BROS INC</t>
  </si>
  <si>
    <t>TAYLOR CORP DBA TAYLOR PRINT IMPRESSIONS</t>
  </si>
  <si>
    <t>TETRA TECH INC</t>
  </si>
  <si>
    <t>RAPUANO IRON LLC</t>
  </si>
  <si>
    <t>MES I ACQUISITION INC</t>
  </si>
  <si>
    <t>DIRECTIONAL DRILLING PARTNERS DBA BOREIT</t>
  </si>
  <si>
    <t>BSN SPORTS LLC</t>
  </si>
  <si>
    <t>DAISEYS WELL DRILLING</t>
  </si>
  <si>
    <t>PAGE FOAM CUSHIONED PRODUCTS COMPANY INC</t>
  </si>
  <si>
    <t>GFSI INC</t>
  </si>
  <si>
    <t>WORLD END IMPORTS</t>
  </si>
  <si>
    <t>PROPET DISTRIBUTORS INC</t>
  </si>
  <si>
    <t>GARDEN SPOT GIFTS</t>
  </si>
  <si>
    <t>STRYKER SALES CORP</t>
  </si>
  <si>
    <t>JOHN DEERE CO</t>
  </si>
  <si>
    <t>MCMULLEN SEPTIC SERVICE INC</t>
  </si>
  <si>
    <t>MARINE TRAVELIFT MID ATLANTIC LLC</t>
  </si>
  <si>
    <t>HOLLAND MULCH INC</t>
  </si>
  <si>
    <t>DF DISTRIBUTION</t>
  </si>
  <si>
    <t>HITCHENS TIRE SERVICE INC</t>
  </si>
  <si>
    <t>STRAUSS EXCAVATION LLC</t>
  </si>
  <si>
    <t>DAVIS BOWEN &amp; FRIEDEL INC</t>
  </si>
  <si>
    <t>IDEXX LABORATORIES INC</t>
  </si>
  <si>
    <t>CBRE INC</t>
  </si>
  <si>
    <t>B &amp; O TRAILER SALES LLC</t>
  </si>
  <si>
    <t>LOWES HOME CENTERS LLC</t>
  </si>
  <si>
    <t>COLLINS MECHANICAL INC</t>
  </si>
  <si>
    <t>STATELINE CLASSICS LLC</t>
  </si>
  <si>
    <t>SHERWIN WILLIAMS CO</t>
  </si>
  <si>
    <t>PANNIER</t>
  </si>
  <si>
    <t>FRED MITSDARFER</t>
  </si>
  <si>
    <t>CARLISLE'S MARINE INC</t>
  </si>
  <si>
    <t>NATIONAL CENTER FOR SAFETY INITIATIVES L</t>
  </si>
  <si>
    <t>GEORGE SHERMAN CORPORATION</t>
  </si>
  <si>
    <t>CARLISLES MARINE INC</t>
  </si>
  <si>
    <t>MASTEN REALTY LLC</t>
  </si>
  <si>
    <t>PHILLIPS SIGNS INC</t>
  </si>
  <si>
    <t>BECKERS CHIMNEY AND ROOFING LLC</t>
  </si>
  <si>
    <t>ANIMAL HEALTH SALES</t>
  </si>
  <si>
    <t>D AMATO CONVERSANO INC PC</t>
  </si>
  <si>
    <t>AQUAFLOW PUMP &amp; SUPPLY CO</t>
  </si>
  <si>
    <t>KENDALL ELECTRIC INC</t>
  </si>
  <si>
    <t>John Hallowell</t>
  </si>
  <si>
    <t>SAF-GARD SAFETY SHOE CO</t>
  </si>
  <si>
    <t>JERSEY TURF INC</t>
  </si>
  <si>
    <t>TROWBRIDGE CREEK ZOO LLC</t>
  </si>
  <si>
    <t>DELAWARE ALLIANCE FOR NONPROFIT ADVANCEM</t>
  </si>
  <si>
    <t>DOVER PLUMBING SUP CO</t>
  </si>
  <si>
    <t>MELANIE CUCUNATO</t>
  </si>
  <si>
    <t>GOODING SIMPSON&amp;MACKES INC</t>
  </si>
  <si>
    <t>DOWNEAST CONCEPTS INC</t>
  </si>
  <si>
    <t>MID JERSEY PET SUPPLY</t>
  </si>
  <si>
    <t>MATHESON TRI-GAS INC</t>
  </si>
  <si>
    <t>EXCELLENCE TENNIS ACADEMY DBA BTC</t>
  </si>
  <si>
    <t>RED SUN CUSTOM APPAREL INC</t>
  </si>
  <si>
    <t>ORIGINAL WATERMEN INC</t>
  </si>
  <si>
    <t>PARKEON INC</t>
  </si>
  <si>
    <t>MARINER BOAT LIFTS LLC</t>
  </si>
  <si>
    <t>VINCENT FACCHIANO</t>
  </si>
  <si>
    <t>CITY WINDOW CLEANING LLC</t>
  </si>
  <si>
    <t>THE HOME CITY ICE COMPANY</t>
  </si>
  <si>
    <t>ANACONDA PROTECTIVE CONCEPTS</t>
  </si>
  <si>
    <t>DELCOLLO SECURITY TECH</t>
  </si>
  <si>
    <t>NUTTLE LUMBER CO INC</t>
  </si>
  <si>
    <t>MCKESSON MEDICAL-SURGICAL GOV SOLUTIONS</t>
  </si>
  <si>
    <t>H BARBER &amp; SONS INC</t>
  </si>
  <si>
    <t>PENN DEL LOCK</t>
  </si>
  <si>
    <t>STREETT'S LANDSCAPING INC</t>
  </si>
  <si>
    <t>FISHER AUTO PARTS INC</t>
  </si>
  <si>
    <t>SPIRIT PRODUCTS LTD</t>
  </si>
  <si>
    <t>GEORGE ELY ASSOCIATES INC</t>
  </si>
  <si>
    <t>FILEC SERVICES LLC</t>
  </si>
  <si>
    <t>CHEMICAL EQUIPMENT LABS OF DE INC</t>
  </si>
  <si>
    <t>WRISTBANDS MEDTECH USA INC</t>
  </si>
  <si>
    <t>RED TAIL RESTORATION &amp; LAND MGEMENT LLC</t>
  </si>
  <si>
    <t>CUSTOM FABERKIN INC</t>
  </si>
  <si>
    <t>SINGER EQUIPMENT CO INC</t>
  </si>
  <si>
    <t>GEORGE S COYNE CHEMICAL COMPANY</t>
  </si>
  <si>
    <t>ADVANCED STUDENT TRANSPORTATION INC</t>
  </si>
  <si>
    <t>TDK ENTERPRISES INC</t>
  </si>
  <si>
    <t>TRI-STATE BATTERY &amp; ALTERNATOR LLC</t>
  </si>
  <si>
    <t>WILCOX BAIT &amp; TACKLE INC</t>
  </si>
  <si>
    <t>YEAMON MUSIC INC</t>
  </si>
  <si>
    <t>EUROFINS ENVIRONMENT TESTING NE LLC</t>
  </si>
  <si>
    <t>COLLINS TREE EXPERTS LLC</t>
  </si>
  <si>
    <t>DELMARVA TEMP STAFFING INC</t>
  </si>
  <si>
    <t>HOOBER INC</t>
  </si>
  <si>
    <t>Charles S Knothe Esq</t>
  </si>
  <si>
    <t>OMB MAIL/COURIER SERVICES</t>
  </si>
  <si>
    <t>SCOTT C LENOX</t>
  </si>
  <si>
    <t>MEECO SULLIVAN, LLC</t>
  </si>
  <si>
    <t>MAGNUM ELECTRONICS INC</t>
  </si>
  <si>
    <t>SOUTHERN STATES COOP INC</t>
  </si>
  <si>
    <t>MEDICAL DIAGNOSTIC SERVICES INCORPORATED</t>
  </si>
  <si>
    <t>KLIMA, PETERS &amp; DALY, PA</t>
  </si>
  <si>
    <t>MARY THRESA ALLEN DBA NANTICOKE FENCE</t>
  </si>
  <si>
    <t>CHESAPEAKE UTILITIES CORPORATION</t>
  </si>
  <si>
    <t>CHARLES W SMITH III</t>
  </si>
  <si>
    <t>KARSPAR INC</t>
  </si>
  <si>
    <t>TX Child Support SDU</t>
  </si>
  <si>
    <t>PENGUIN RANDOM HOUSE LLC</t>
  </si>
  <si>
    <t>TRIPLE C WELDING AND FABRICATION LLC</t>
  </si>
  <si>
    <t>DUSTIN SHOWERS</t>
  </si>
  <si>
    <t>PAYROLL MANAGEMENT ASSISTANCE</t>
  </si>
  <si>
    <t>UNION PRESS</t>
  </si>
  <si>
    <t>AMERICAN HISTORICAL THEATRE</t>
  </si>
  <si>
    <t>FORT MILES HISTORICAL ASSOC</t>
  </si>
  <si>
    <t>PLAYPOWER LT FARMINGTON INC</t>
  </si>
  <si>
    <t>RACES2RUN</t>
  </si>
  <si>
    <t>OPERADELAWARE INC</t>
  </si>
  <si>
    <t>D SHINN INC</t>
  </si>
  <si>
    <t>William Allfather</t>
  </si>
  <si>
    <t>SOUTHERN DEL PUBLISHING INC</t>
  </si>
  <si>
    <t>TRANSITION ENGINEERING SURVEYING LLC</t>
  </si>
  <si>
    <t>JULIE LIPSON</t>
  </si>
  <si>
    <t>GRASSHOPPERS MERMAID</t>
  </si>
  <si>
    <t>DIAMOND ELECTRIC INC</t>
  </si>
  <si>
    <t>REPROGRAPHICS CENTER INC</t>
  </si>
  <si>
    <t>CC PRODUCTS LLC</t>
  </si>
  <si>
    <t>BRYAN HAZARD CUSTOM TILE WORK</t>
  </si>
  <si>
    <t>CMC NEPTUNE LLC</t>
  </si>
  <si>
    <t>NATIONAL EC SERVICES INC DBA VERDANTAS</t>
  </si>
  <si>
    <t>R &amp; R ELECTRIC INC</t>
  </si>
  <si>
    <t>GRAYDON HURST &amp; SON INC</t>
  </si>
  <si>
    <t>SERVICE TIRE TRUCK CENTERS INC</t>
  </si>
  <si>
    <t>UNITED STATES LIFESAVING ASSOCIATION</t>
  </si>
  <si>
    <t>DELAWARE ELEVATOR SERVICES INC</t>
  </si>
  <si>
    <t>STREETTS LANDSCAPING INC</t>
  </si>
  <si>
    <t>RAMSEYS FARM</t>
  </si>
  <si>
    <t>INDUSTRIAL CHEM LABS &amp; SVCS</t>
  </si>
  <si>
    <t>SECC</t>
  </si>
  <si>
    <t>AFSCME COUNCIL 81 LOCAL 918</t>
  </si>
  <si>
    <t>THE BRIDGE OF HOPE INC</t>
  </si>
  <si>
    <t>BIG HOUSE PHILLY LLC</t>
  </si>
  <si>
    <t>PENCO CORP</t>
  </si>
  <si>
    <t>VANDEMARK &amp; LYNCH INC</t>
  </si>
  <si>
    <t>MASTERPIECES PUZZLE COMPANY INC</t>
  </si>
  <si>
    <t>HIGHLAND RECORDS</t>
  </si>
  <si>
    <t>OCCUPATIONAL HEALTH CENTERS</t>
  </si>
  <si>
    <t>PREMIUM FIRE AND SECURITY LLC</t>
  </si>
  <si>
    <t>EVANS FARM LLC</t>
  </si>
  <si>
    <t>LGK LLC</t>
  </si>
  <si>
    <t>HICKS HAY LLC</t>
  </si>
  <si>
    <t>STAPLES INC &amp; SUBSIDIARIES</t>
  </si>
  <si>
    <t>WILLIAM JOSEPH LOUDEN</t>
  </si>
  <si>
    <t>DELMARVA ENVIRONMENTAL</t>
  </si>
  <si>
    <t>DANIEL JOHN LOUDEN</t>
  </si>
  <si>
    <t>LIVING HISTORY COMPANY LLC</t>
  </si>
  <si>
    <t>STEIN TREE SERVICE INC</t>
  </si>
  <si>
    <t>AQUAFIX INC</t>
  </si>
  <si>
    <t>KEENE ENTERPRISES LLC</t>
  </si>
  <si>
    <t>GEORGE J FALTER COMPANY</t>
  </si>
  <si>
    <t>PORTABLE BUILDINGS INC</t>
  </si>
  <si>
    <t>TODAY MEDIA INC</t>
  </si>
  <si>
    <t>QUALITY EXTERIORS</t>
  </si>
  <si>
    <t>Lyons Doughty &amp; Veldhuis</t>
  </si>
  <si>
    <t>MICHAEL F MILLER</t>
  </si>
  <si>
    <t>MARVEL'S PORTABLE WELDING INC</t>
  </si>
  <si>
    <t>SHORE ANSWER INC</t>
  </si>
  <si>
    <t>TUPP SIGNS</t>
  </si>
  <si>
    <t>RICHARD FRUNZI</t>
  </si>
  <si>
    <t>SHORE WATER AND DAGSBORO ELECTRIC INC</t>
  </si>
  <si>
    <t>STAPLES ADVANTAGE</t>
  </si>
  <si>
    <t>CULVER ALAN RAUSCH SR</t>
  </si>
  <si>
    <t>PATTERHN IVES LLC</t>
  </si>
  <si>
    <t>SHORTS MARINE INC</t>
  </si>
  <si>
    <t>ARENA SIGNS</t>
  </si>
  <si>
    <t>STILLMAN LAW OFFICE LLC</t>
  </si>
  <si>
    <t>WILLIAM ROSE</t>
  </si>
  <si>
    <t>LOWERCASE LLC</t>
  </si>
  <si>
    <t>KAT PIG HOMES LLC</t>
  </si>
  <si>
    <t>MARK S HALLER</t>
  </si>
  <si>
    <t>STUART FRANKS</t>
  </si>
  <si>
    <t>LISA SUMPTION</t>
  </si>
  <si>
    <t>BIG JS IRRIGATION LLC</t>
  </si>
  <si>
    <t>FAIRWINDS FARM &amp; STABLES INC</t>
  </si>
  <si>
    <t>NORTH CREEK NURSERIES</t>
  </si>
  <si>
    <t>DIAMOND STATE TIRE INC</t>
  </si>
  <si>
    <t>CARLOS MIR</t>
  </si>
  <si>
    <t>CHERYL OLBRICH DBA CHERYLS EMBROIDERY</t>
  </si>
  <si>
    <t>JOLYN CLOTHING COMPANY LLC</t>
  </si>
  <si>
    <t>CITY OF REHOBOTH BEACH</t>
  </si>
  <si>
    <t>KRUGER TRAILERS INC</t>
  </si>
  <si>
    <t>ARCADIA PUBLISHING</t>
  </si>
  <si>
    <t>ERIN KELSEY MAGNIN</t>
  </si>
  <si>
    <t>RIDLEY ENSLOW</t>
  </si>
  <si>
    <t>DUKES LUMBER &amp; HOME CTR</t>
  </si>
  <si>
    <t>Peter Dudley</t>
  </si>
  <si>
    <t>DTC MUSIC LLC</t>
  </si>
  <si>
    <t>WAYMAN FIRE PROTECTION INC</t>
  </si>
  <si>
    <t>GLOBAL PUBLIC SAFETY LLC</t>
  </si>
  <si>
    <t>DYLAN MCGUIRE</t>
  </si>
  <si>
    <t>DARREN JONES</t>
  </si>
  <si>
    <t>JAMIE WEBB DBA POOHS PLACE DAYCARE</t>
  </si>
  <si>
    <t>CHORDUROY ENT LLC</t>
  </si>
  <si>
    <t>THE BUG COMPANY INC</t>
  </si>
  <si>
    <t>WB MASON COMPANY INC</t>
  </si>
  <si>
    <t>BRYAN HOFFMAN</t>
  </si>
  <si>
    <t>RICHARD L LAYTON JR</t>
  </si>
  <si>
    <t>DIAMOND MOTOR SPORTS INC</t>
  </si>
  <si>
    <t>DNREC WATERSHED STEWARDSHIP</t>
  </si>
  <si>
    <t>WEST DOVER SAWMILL LLC</t>
  </si>
  <si>
    <t>BOBCAT OF NEW CASTLE LLC</t>
  </si>
  <si>
    <t>NORRISTOWN ZOOLOGICAL SOCIETY</t>
  </si>
  <si>
    <t>VPS ENTERTAINMENT LLC</t>
  </si>
  <si>
    <t>KTM 2 LLC DBA ARROW SAFETY DEVICE CO</t>
  </si>
  <si>
    <t>PROTECHS LLC</t>
  </si>
  <si>
    <t>COUNTY ENVIRONMENTAL INC</t>
  </si>
  <si>
    <t>SHORT'S MARINE INC</t>
  </si>
  <si>
    <t>G &amp; E WELDING</t>
  </si>
  <si>
    <t>ARDENTE VETERINARY NUTRITION LLC</t>
  </si>
  <si>
    <t>TRAFFIC LINES</t>
  </si>
  <si>
    <t>H SCHRIER &amp; CO INC</t>
  </si>
  <si>
    <t>TIMEKEEPING SYSTEMS INC</t>
  </si>
  <si>
    <t>Denise Lopes</t>
  </si>
  <si>
    <t>STAPLES CONTRACT &amp; COMMERCIAL INC</t>
  </si>
  <si>
    <t>ROBERT STRETCH</t>
  </si>
  <si>
    <t>NINA SPENCER</t>
  </si>
  <si>
    <t>CHARLES SAMUEL PHILLIPS</t>
  </si>
  <si>
    <t>NUTRICYCLE SYSTEMS LLC</t>
  </si>
  <si>
    <t>RANDY LEE ASHCRAFT</t>
  </si>
  <si>
    <t>JEFFREY L FERRARA DBA SPOKEY SPEAKY</t>
  </si>
  <si>
    <t>ALL MOBILITY SOLUTIONS LLC</t>
  </si>
  <si>
    <t>WIDGEON ENTERPRISES INC.</t>
  </si>
  <si>
    <t>Tiffany Wyman</t>
  </si>
  <si>
    <t>KOMINOS LLC DBA AIRMASTERS</t>
  </si>
  <si>
    <t>ROYS ELECTRICAL SERVICE INC</t>
  </si>
  <si>
    <t>JORDAN BROWN</t>
  </si>
  <si>
    <t>JOSEPH N BAIONE</t>
  </si>
  <si>
    <t>TY SHERWOOD</t>
  </si>
  <si>
    <t>DALLAS VALLEY</t>
  </si>
  <si>
    <t>CHANNEL CRAFT &amp; DISTRIB INC</t>
  </si>
  <si>
    <t>NEW PIG CORP</t>
  </si>
  <si>
    <t>LIBERTY PROPANE INC</t>
  </si>
  <si>
    <t>MARK WALKER</t>
  </si>
  <si>
    <t>JAMES B MARSILII</t>
  </si>
  <si>
    <t>GRETCHEN REEDER</t>
  </si>
  <si>
    <t>HERITAGE CONSERVATION COLLECTIVE LLC</t>
  </si>
  <si>
    <t>PHUNG LUU</t>
  </si>
  <si>
    <t>TOWN OF OCEAN VIEW</t>
  </si>
  <si>
    <t>REHOBOTH BEACH-DEWEY BEACH CHAMBER OF CO</t>
  </si>
  <si>
    <t>TAHIRA PRODUCTIONS INC</t>
  </si>
  <si>
    <t>TAYLOR &amp; MESSICK</t>
  </si>
  <si>
    <t>DELAWARE LOCK LLC</t>
  </si>
  <si>
    <t>SITEONE LANDSCAPE SUPPLY LLC</t>
  </si>
  <si>
    <t>EVERTON SAMUEL</t>
  </si>
  <si>
    <t>LAURA MORATIN SANCHEZ</t>
  </si>
  <si>
    <t>JUSTIN SAMMIS</t>
  </si>
  <si>
    <t>MICHAEL D DAVIS</t>
  </si>
  <si>
    <t>AMERICAN NATIONAL RED CROSS</t>
  </si>
  <si>
    <t>MARY CORCORAN</t>
  </si>
  <si>
    <t>ANGEL BURNS</t>
  </si>
  <si>
    <t>AMERICAN TESTING &amp; INSPECTION SERVICES</t>
  </si>
  <si>
    <t>CHARLOTTE HOLT</t>
  </si>
  <si>
    <t>MCROBERTS SALES CO INC</t>
  </si>
  <si>
    <t>ACR III DBA DOVER PUBLICATIONS</t>
  </si>
  <si>
    <t>AZTEC COPIES LLC</t>
  </si>
  <si>
    <t>MIRANDA BLAS</t>
  </si>
  <si>
    <t>BAYHEALTH MEDICAL CENTER INC</t>
  </si>
  <si>
    <t>ATLANTIC TRACTOR LLC</t>
  </si>
  <si>
    <t>JAMES DILORENZO</t>
  </si>
  <si>
    <t>DELAWARE SOLID WASTE AUTHORITY</t>
  </si>
  <si>
    <t>PC SUPPLIES INC</t>
  </si>
  <si>
    <t>CAROLE M WOLEK</t>
  </si>
  <si>
    <t>HORNEY INDUSTRIAL ELECTRONICS</t>
  </si>
  <si>
    <t>AMER PLANNING ASSOC</t>
  </si>
  <si>
    <t>JACQUELINE M MCCABE</t>
  </si>
  <si>
    <t>CAMDEN AQUARIUM LLC DBA ADVENTURE AQUARI</t>
  </si>
  <si>
    <t>HOWARD F KANE III</t>
  </si>
  <si>
    <t>JOSEPH AVAMPATO</t>
  </si>
  <si>
    <t>KIRKIN ROOFING</t>
  </si>
  <si>
    <t>CARSON  HUDSON</t>
  </si>
  <si>
    <t>JOHN FLYNN</t>
  </si>
  <si>
    <t>GRETCHEN EMERY</t>
  </si>
  <si>
    <t>YEAGER PUBLISHING GROUP</t>
  </si>
  <si>
    <t>MARK LENTZ</t>
  </si>
  <si>
    <t>SONGBIRD PRODUCTIONS LLC</t>
  </si>
  <si>
    <t>RICHARD T HOLMES</t>
  </si>
  <si>
    <t>STATE INDUSTRIAL PRODUCTS CORP</t>
  </si>
  <si>
    <t>MCCLAFFERTY PRINTING CO</t>
  </si>
  <si>
    <t>AXON ENTERPRISE</t>
  </si>
  <si>
    <t>ALANA DELANEY</t>
  </si>
  <si>
    <t>LISA MCHUGH</t>
  </si>
  <si>
    <t>JANEY KRAMLIK</t>
  </si>
  <si>
    <t>GREGORY ABBOTT</t>
  </si>
  <si>
    <t>AMY HADDOCK</t>
  </si>
  <si>
    <t>ALISON VANVORST</t>
  </si>
  <si>
    <t>JOHN LISTER</t>
  </si>
  <si>
    <t>LAURA LEE</t>
  </si>
  <si>
    <t>MARK WISE</t>
  </si>
  <si>
    <t>ATLANTIC CONCRETE CO INC</t>
  </si>
  <si>
    <t>TIDEWATER UTILITIES INC</t>
  </si>
  <si>
    <t>GRANT MELVILLE</t>
  </si>
  <si>
    <t>ATLAS TALENT &amp; SOUND LLC</t>
  </si>
  <si>
    <t>WIDGEON ENTERPRISES INC</t>
  </si>
  <si>
    <t>MICHAEL ALAN EDDINGER</t>
  </si>
  <si>
    <t>SCOTT BORINO</t>
  </si>
  <si>
    <t>THERESA MOSIER</t>
  </si>
  <si>
    <t>LAURA PARKS</t>
  </si>
  <si>
    <t>JDM NO 1 PLUMBING LLC</t>
  </si>
  <si>
    <t>DPH OFFICE OF DRINKING WATER</t>
  </si>
  <si>
    <t>GALAXY DIGITAL LLC</t>
  </si>
  <si>
    <t>ELVIN SCHROCK &amp; SONS INC</t>
  </si>
  <si>
    <t>SCORE SEED LLC</t>
  </si>
  <si>
    <t>PHILLIP LESTER</t>
  </si>
  <si>
    <t>WILLIAM W PIERCE JR</t>
  </si>
  <si>
    <t>ZACHARY HUMENIK</t>
  </si>
  <si>
    <t>MATTHEW CASARINO</t>
  </si>
  <si>
    <t>TODD T BRECK</t>
  </si>
  <si>
    <t>AUSTIN W DAVIS</t>
  </si>
  <si>
    <t>MICHAEL CONNOLLY</t>
  </si>
  <si>
    <t>PETER CASEY</t>
  </si>
  <si>
    <t>DELAWARE ASSOCIATION OF CHIEFS OF POLICE</t>
  </si>
  <si>
    <t>PAUL J WEBER</t>
  </si>
  <si>
    <t>EAST COAST PLUMBING SERVICE</t>
  </si>
  <si>
    <t>TESS INC</t>
  </si>
  <si>
    <t>CLEM BOWEN STORYTELLER</t>
  </si>
  <si>
    <t>MINOUS DURHAM</t>
  </si>
  <si>
    <t>RAY BIVENS</t>
  </si>
  <si>
    <t>MILFORD COMMUNITY BAND INC</t>
  </si>
  <si>
    <t>TOMMY KEITH THE ACOUSTIC JAM</t>
  </si>
  <si>
    <t>NEWARK COMMUNITY BAND</t>
  </si>
  <si>
    <t>J S BENNETT &amp; SON INC</t>
  </si>
  <si>
    <t>ALEXANDER FISHER, ESQ</t>
  </si>
  <si>
    <t>HOWELL NATURE CENTER</t>
  </si>
  <si>
    <t>EDWARD R BARNETT</t>
  </si>
  <si>
    <t>PRISTINE RAEIGN LLC</t>
  </si>
  <si>
    <t>JOEL HAZZARD</t>
  </si>
  <si>
    <t>DIAMOND STATE CONCERT BAND</t>
  </si>
  <si>
    <t>DNREC COASTAL PROGRAMS</t>
  </si>
  <si>
    <t>ELITE ELECTRIC DESIGN GROUP INC</t>
  </si>
  <si>
    <t>CLEAN DELAWARE LLC</t>
  </si>
  <si>
    <t>B &amp; F TOWING CO INC</t>
  </si>
  <si>
    <t>JSJ GROUP INCORPORATED</t>
  </si>
  <si>
    <t>WALDALE MANUFACTURING LTD</t>
  </si>
  <si>
    <t>JACK A NOEL</t>
  </si>
  <si>
    <t>GOLF CART SALES AND SERVICE LLC</t>
  </si>
  <si>
    <t>UNCLE BS KITCHEN LLC</t>
  </si>
  <si>
    <t>KELLY MARTIN DBA PAPER HIBISCUS</t>
  </si>
  <si>
    <t>STEPHANIE PRZYBYLEK</t>
  </si>
  <si>
    <t>BIOMEDICAL WASTE SERVICES INC</t>
  </si>
  <si>
    <t>Lindsay Waugh</t>
  </si>
  <si>
    <t>DELAWARE STATE EDUCATION ASSOC</t>
  </si>
  <si>
    <t>CIVIL WAR DANCE FOUNDATION</t>
  </si>
  <si>
    <t>JAMES JOHNSON</t>
  </si>
  <si>
    <t>JOSEPH G ESHAM</t>
  </si>
  <si>
    <t>KENNETH G LILLY FASTENERS INC</t>
  </si>
  <si>
    <t>TRANSITIONS DELAWARE LLC</t>
  </si>
  <si>
    <t>EMPOWER CHORDS LLC</t>
  </si>
  <si>
    <t>JOHN PALOMBO</t>
  </si>
  <si>
    <t>STEPHANIE FARRIS</t>
  </si>
  <si>
    <t>BETHANY-FENWICK AREA CHMBR COM</t>
  </si>
  <si>
    <t>MONRO MUFFLER BRAKE INC</t>
  </si>
  <si>
    <t>Blades Elementary</t>
  </si>
  <si>
    <t>LINDA MAJEWSKI</t>
  </si>
  <si>
    <t>JEM NATURE AND FOREST THERAPY LLC</t>
  </si>
  <si>
    <t>COLONY POOL SERV</t>
  </si>
  <si>
    <t>DELAWARE ART MUSEUM</t>
  </si>
  <si>
    <t>OMB BUDGET ADMINISTRATION</t>
  </si>
  <si>
    <t>CHOICE MEDWASTE LLC</t>
  </si>
  <si>
    <t>WOODSIDE FARM INC</t>
  </si>
  <si>
    <t>STOCKLEY MATERIALS LLC</t>
  </si>
  <si>
    <t>GENUINE PART COMPANY - NAPA</t>
  </si>
  <si>
    <t>R E MICHEL COMPANY LLC</t>
  </si>
  <si>
    <t>FIRE PREVENTION COMMISSION</t>
  </si>
  <si>
    <t>PHILIP CABABE</t>
  </si>
  <si>
    <t>DELAWARE HUMANITIES COUNCIL</t>
  </si>
  <si>
    <t>PHILADELPHIA MYCOLOGY CLUB</t>
  </si>
  <si>
    <t>MARTEL INC</t>
  </si>
  <si>
    <t>GRABER MANUFACTURING INC</t>
  </si>
  <si>
    <t>Oklahoma Dept of Human Serv</t>
  </si>
  <si>
    <t>EARTHBORNE FELTON LLC</t>
  </si>
  <si>
    <t>MCCLUNG LOGAN EQUIP CO</t>
  </si>
  <si>
    <t>EASTERN SHORE COFFEE</t>
  </si>
  <si>
    <t>KATHERINE LECOCQ</t>
  </si>
  <si>
    <t>Back to Basics Learning Dynami</t>
  </si>
  <si>
    <t>VINCENT PORCELLINI</t>
  </si>
  <si>
    <t>KAYLA CLAUSON</t>
  </si>
  <si>
    <t>GARVILLE HOLDER</t>
  </si>
  <si>
    <t>BRASURES PEST CONTROL INC</t>
  </si>
  <si>
    <t>ERIC MORAN</t>
  </si>
  <si>
    <t>PETER J MCCARTHY</t>
  </si>
  <si>
    <t>MEETA GAJJAR PARKER</t>
  </si>
  <si>
    <t>STEVE BARTHOLD</t>
  </si>
  <si>
    <t>THOMAS STEVEN NOBLES</t>
  </si>
  <si>
    <t>JAMES PARKER</t>
  </si>
  <si>
    <t>Alissa DeMont</t>
  </si>
  <si>
    <t>ROY'S ELECTRICAL SERVICE INC</t>
  </si>
  <si>
    <t>FIRST STATE INSP AGENCY INC</t>
  </si>
  <si>
    <t>VERNON MEGEE</t>
  </si>
  <si>
    <t>Kelly Farms</t>
  </si>
  <si>
    <t>Austin Cooper</t>
  </si>
  <si>
    <t>DNREC WASTE &amp; HAZARDOUS SUBSTANCES</t>
  </si>
  <si>
    <t>JOHN BORKOWSKI</t>
  </si>
  <si>
    <t>Debra Brian</t>
  </si>
  <si>
    <t>CONCENTRA HEALTH SERVICES INC</t>
  </si>
  <si>
    <t>Michael Home</t>
  </si>
  <si>
    <t>LANGUAGE UNIVERSITY</t>
  </si>
  <si>
    <t>MILLMAN AUTO PARTSII DBA HARRINGTON NAPA</t>
  </si>
  <si>
    <t>Gary Bullock</t>
  </si>
  <si>
    <t>MSC INDUSTRIAL SUPPLY CO INC</t>
  </si>
  <si>
    <t>MICHAEL RILEY</t>
  </si>
  <si>
    <t>Local 879</t>
  </si>
  <si>
    <t>CALENDLY LLC</t>
  </si>
  <si>
    <t>Lindsay Graham</t>
  </si>
  <si>
    <t>TUNNELL &amp; RAYSOR PA</t>
  </si>
  <si>
    <t>MAY &amp; PERZA PA</t>
  </si>
  <si>
    <t>DNREC DIVISION OF FISH &amp; WILDLIFE</t>
  </si>
  <si>
    <t>CITY OF MILFORD</t>
  </si>
  <si>
    <t>KINSLEY CONSTRUCTION</t>
  </si>
  <si>
    <t>CASTLE CONSTRUCTION OF DE INC</t>
  </si>
  <si>
    <t>DOA FOREST SERVICE</t>
  </si>
  <si>
    <t>PRECISE BUILDINGS LLC</t>
  </si>
  <si>
    <t>MAYOR &amp; COUNCIL OF NEW CASTLE</t>
  </si>
  <si>
    <t>DELMARVA VETERAN BUILDERS LLC</t>
  </si>
  <si>
    <t>FERRIS ELECTRIC AND SOLAR</t>
  </si>
  <si>
    <t>GERARDI CONSTRUCTION INC</t>
  </si>
  <si>
    <t>CITY OF NEWARK</t>
  </si>
  <si>
    <t>AMERICAN ARBITRATION ASSOCIATION</t>
  </si>
  <si>
    <t>DNREC P &amp; R INTERNSHIP PROGRAM</t>
  </si>
  <si>
    <t>TOWN OF SLAUGHTER BEACH</t>
  </si>
  <si>
    <t>JEFFREY A MILLER CATERING</t>
  </si>
  <si>
    <t>BRANDYWINE NURSERIES</t>
  </si>
  <si>
    <t>CMI LIMITED CO</t>
  </si>
  <si>
    <t>DSP STATE POLICE TRANSPORTATION</t>
  </si>
  <si>
    <t>G AND D SERVICES INC</t>
  </si>
  <si>
    <t>BOMAR SOFTPLAYGROUNDS</t>
  </si>
  <si>
    <t>JHCONTRACTING</t>
  </si>
  <si>
    <t>MOORE SEAL INC</t>
  </si>
  <si>
    <t>MAIN LINE COMMERICALS POOLS</t>
  </si>
  <si>
    <t>SUNNYFIELD CONTRACTORS INC</t>
  </si>
  <si>
    <t>BFI WASTE SERVICES LLC</t>
  </si>
  <si>
    <t>TOWN OF MILLSBORO</t>
  </si>
  <si>
    <t>APEX GRADING &amp; LANDSCAPING</t>
  </si>
  <si>
    <t>STRIPE A LOT INC</t>
  </si>
  <si>
    <t>KARINS ENGINEERING INC</t>
  </si>
  <si>
    <t>EA ENGINEERING SCIENCE AND TECHNOLOGY IN</t>
  </si>
  <si>
    <t>PRICE PLUMBING LLC</t>
  </si>
  <si>
    <t>J-MAR FENCE</t>
  </si>
  <si>
    <t>MURPHY STEEL INC</t>
  </si>
  <si>
    <t>THE BRICK DOCTOR INC</t>
  </si>
  <si>
    <t>CMH HOMES INC</t>
  </si>
  <si>
    <t>J&amp;A FENCE INC</t>
  </si>
  <si>
    <t>SHADRAN CONSTRUCTION LLC</t>
  </si>
  <si>
    <t>COASTAL PUMP &amp; TANK INC</t>
  </si>
  <si>
    <t>ASSOCIATES INTERNATIONAL INC</t>
  </si>
  <si>
    <t>INSTALLED BUILDING PRODUCTS LLC</t>
  </si>
  <si>
    <t>CONCESSIONS HOSPITALITY MANAGEMENT GS</t>
  </si>
  <si>
    <t>LUXE APPAREL INC</t>
  </si>
  <si>
    <t>PLYMOUTH ENVIR CO INC</t>
  </si>
  <si>
    <t>ISAAAC DAVIS</t>
  </si>
  <si>
    <t>THE AMERICAN CHIMNEY GROUP</t>
  </si>
  <si>
    <t>BATTA ENVIRONMENTAL ASSOCIATES INC</t>
  </si>
  <si>
    <t>MORNINGSTAR GOLF AND HOSPITALITY</t>
  </si>
  <si>
    <t>WILMINGTON BLUE ROCKS LP</t>
  </si>
  <si>
    <t>HARVARD ENVIRONMENTAL</t>
  </si>
  <si>
    <t>CONTINENTAL BATTERIES</t>
  </si>
  <si>
    <t>DELAWARE STATE UNIVERSITY</t>
  </si>
  <si>
    <t>SEMAKI &amp; BIRD</t>
  </si>
  <si>
    <t>DNREC ENVIRONMENTAL CRIMES UNIT</t>
  </si>
  <si>
    <t>POLYTECH ADULT EDUCATION</t>
  </si>
  <si>
    <t>WILLIAM SEXTON</t>
  </si>
  <si>
    <t>VILLAGE OF ARDEN</t>
  </si>
  <si>
    <t>ZONE STRIPING INC</t>
  </si>
  <si>
    <t>DONALD G VARNES &amp; SONS INC</t>
  </si>
  <si>
    <t>PACH2 GROUP LLC</t>
  </si>
  <si>
    <t>BOATHOUSE SPORTS</t>
  </si>
  <si>
    <t>HP INC</t>
  </si>
  <si>
    <t>SUSSEX COUNTY LIFESAVING ASSOCIATION</t>
  </si>
  <si>
    <t>CAYCE STEEL COMPANY</t>
  </si>
  <si>
    <t>PIONEER FENCE COMPANY INC</t>
  </si>
  <si>
    <t>CLIFTON L BAKHSH JR INC</t>
  </si>
  <si>
    <t>NA MASONRY LLC</t>
  </si>
  <si>
    <t>UNITED SOUVENIR &amp; APPAREL INC</t>
  </si>
  <si>
    <t>KAPPE ASSOC INC</t>
  </si>
  <si>
    <t>DSP COMMUNICATIONS</t>
  </si>
  <si>
    <t>Liz Symborski</t>
  </si>
  <si>
    <t>JOHN D HYNES &amp; ASSOCIATES INC</t>
  </si>
  <si>
    <t>TOY INVESTMENTS INC</t>
  </si>
  <si>
    <t>CARMEAN APPRAISAL GROUP</t>
  </si>
  <si>
    <t>SWEETWATER HOLDINGS LLC</t>
  </si>
  <si>
    <t>BORDENTOWN DRIVER TRAINING</t>
  </si>
  <si>
    <t>LLOYDS STONEWORKS</t>
  </si>
  <si>
    <t>OCEAN VIEW PLUMBING &amp; HEAT INC</t>
  </si>
  <si>
    <t>FOUR ACRES TRAILER SALES INC</t>
  </si>
  <si>
    <t>THE WEBSTAURANT STORE</t>
  </si>
  <si>
    <t>MOST DEPENDABLE FOUNTAINS INC</t>
  </si>
  <si>
    <t>SS HANDCRAFTED ART LLC</t>
  </si>
  <si>
    <t>NAGS HEAD ART INC</t>
  </si>
  <si>
    <t>TIMOTHY J  SMITH</t>
  </si>
  <si>
    <t>Sara Stauffer</t>
  </si>
  <si>
    <t>VULCAN MATERIALS COMPANY</t>
  </si>
  <si>
    <t>JEAN A MCCORMICK</t>
  </si>
  <si>
    <t>BOULEVARD AUTO SALES INC</t>
  </si>
  <si>
    <t>HAZZARD AUTO PARTS INC</t>
  </si>
  <si>
    <t>EASTERN SHORE FOREST PRODUCTS INC</t>
  </si>
  <si>
    <t>TBS SERVICES INC</t>
  </si>
  <si>
    <t>FISHERS ENVIRONMENTAL LLC</t>
  </si>
  <si>
    <t>ROBERT RILEY</t>
  </si>
  <si>
    <t>MARINE RESCUE PRODUCTS INC</t>
  </si>
  <si>
    <t>MATTHEW JOSEPH OUIMET</t>
  </si>
  <si>
    <t>MCKESSON MEDICAL-SURGICAL MINNESOTA SUPP</t>
  </si>
  <si>
    <t>CHILDRENS BEACH HOUSE INC</t>
  </si>
  <si>
    <t>LORI FERGUSON</t>
  </si>
  <si>
    <t>REBECCA LOVIN</t>
  </si>
  <si>
    <t>DMS HOLDINGS INC</t>
  </si>
  <si>
    <t>HOWARD L RITTER &amp; SON</t>
  </si>
  <si>
    <t>THE PRESTWICK GROUP INC</t>
  </si>
  <si>
    <t>DELAWARE CENTER FOR THE INLAND</t>
  </si>
  <si>
    <t>GREGGO &amp; FERRARA INC</t>
  </si>
  <si>
    <t>DSHS COMMUNICATION/PETTY CASH</t>
  </si>
  <si>
    <t>TEAM LIFE INC</t>
  </si>
  <si>
    <t>EVERLAST CLIMBING INDUSTRIES INC</t>
  </si>
  <si>
    <t>TEN BEARS ENVIRONMENTAL ASSOCIATES CO</t>
  </si>
  <si>
    <t>KIMBERLY A YANAITIS PE LLC</t>
  </si>
  <si>
    <t>ELITE UTILITY LOCATING LLC</t>
  </si>
  <si>
    <t>Michael R Stone</t>
  </si>
  <si>
    <t>DELMARVA TREE</t>
  </si>
  <si>
    <t>GROWMARK FS LLC</t>
  </si>
  <si>
    <t>TOWN OF BOWERS BEACH</t>
  </si>
  <si>
    <t>JENNIFER C PASE</t>
  </si>
  <si>
    <t>JAMES WHARTON</t>
  </si>
  <si>
    <t>SEMACONNECT LLC</t>
  </si>
  <si>
    <t>B &amp; G AUTO BODY INC</t>
  </si>
  <si>
    <t>BRUCE INDUSTRIAL COMPANY</t>
  </si>
  <si>
    <t>JENNESSY CAPITAL LLC</t>
  </si>
  <si>
    <t>KAY DEMLOW DBA LAVENDERS GREEN HISTORIC</t>
  </si>
  <si>
    <t>TIMOTHY DILLINGHAM</t>
  </si>
  <si>
    <t>PEARL POOL PLASTERING LLC</t>
  </si>
  <si>
    <t>Dancing Lights Ballet School</t>
  </si>
  <si>
    <t>MILLER ENVIRONMENTAL GROUP INC</t>
  </si>
  <si>
    <t>Dryzone Llc</t>
  </si>
  <si>
    <t>ALS AFFORDABLE TREE SERVICE</t>
  </si>
  <si>
    <t>WINDVIEW INC</t>
  </si>
  <si>
    <t>HOFFMANS FORGE LLC</t>
  </si>
  <si>
    <t>KC ESSENTIALS</t>
  </si>
  <si>
    <t>SUSSEX DIESEL INC</t>
  </si>
  <si>
    <t>Tom Ellis</t>
  </si>
  <si>
    <t>RENT CO INC DBA DOVER RENT-ALL TENTS</t>
  </si>
  <si>
    <t>AMSTEL MECHANICAL CONTR INC</t>
  </si>
  <si>
    <t>E W BROWN INC</t>
  </si>
  <si>
    <t>PTN WORKPRO HOLDINGS LLC</t>
  </si>
  <si>
    <t>TOWN OF BLADES</t>
  </si>
  <si>
    <t>LEE SWIFT</t>
  </si>
  <si>
    <t>BLUE HEN SPRING WORKS INC</t>
  </si>
  <si>
    <t>CAROLINA FLYING DISC INC</t>
  </si>
  <si>
    <t>INFO SOLUTIONS NORTH AMERICA LLC</t>
  </si>
  <si>
    <t>YMCA OF DE</t>
  </si>
  <si>
    <t>CAREN DEBERNARDO</t>
  </si>
  <si>
    <t>ASSOCIATION OF FISH AND WILDLIFE AGENCIE</t>
  </si>
  <si>
    <t>JOSEPH LOUDEN</t>
  </si>
  <si>
    <t>RACHEL SHEFFIELD</t>
  </si>
  <si>
    <t>MARQUEZ EFFERSON DBA MLANJENI MAGIC ASSO</t>
  </si>
  <si>
    <t>COLUMBIA ENTERTAINMENT RESOURCE GROUP</t>
  </si>
  <si>
    <t>JAMES TOBIN</t>
  </si>
  <si>
    <t>COLEMAN WOODARD</t>
  </si>
  <si>
    <t>ROBERT MOULAND DBA WIREHARP PRODUCTIONS</t>
  </si>
  <si>
    <t>CLEMENT W BOWEN 3RD</t>
  </si>
  <si>
    <t>SCHOOL SPECIALTY LLC</t>
  </si>
  <si>
    <t>MCKINNEYS TOWING &amp; RD SVC LLC</t>
  </si>
  <si>
    <t>UNITED STATES FISH AND WILDLIFE SERVICE</t>
  </si>
  <si>
    <t>THE BUG GUY LLC</t>
  </si>
  <si>
    <t>KYLE BRADLEY</t>
  </si>
  <si>
    <t>William Legates</t>
  </si>
  <si>
    <t>MARK B TURNER</t>
  </si>
  <si>
    <t>Kathleen Crane</t>
  </si>
  <si>
    <t>DOVER DAYS COMMITTEE</t>
  </si>
  <si>
    <t>COASTAL RENTALS &amp; HYDRAULICS LLC</t>
  </si>
  <si>
    <t>DELAWARE STATE POLICE TRAINING ACADEMY</t>
  </si>
  <si>
    <t>Tyler Beutler</t>
  </si>
  <si>
    <t>MIKA DRAKE</t>
  </si>
  <si>
    <t>CHRISTOPHER HERTRICH</t>
  </si>
  <si>
    <t>PATUXENT MATERIALS INC</t>
  </si>
  <si>
    <t>WILMINGTON GLASS CO</t>
  </si>
  <si>
    <t>WESCO RECEIVABLES CORP</t>
  </si>
  <si>
    <t>POPDOT LLC</t>
  </si>
  <si>
    <t>HAJOCA CORP</t>
  </si>
  <si>
    <t>SOMERSET WELL DRILLING CO INC</t>
  </si>
  <si>
    <t>DURANTE RENTALS LLC DBA IRON SOURCE LLC</t>
  </si>
  <si>
    <t>LAUREN MUNEY</t>
  </si>
  <si>
    <t>JOHN COLGAN-DAVIS</t>
  </si>
  <si>
    <t>CHRISTOPHER HALL</t>
  </si>
  <si>
    <t>STRAIGHT LINE STRIPING LLC</t>
  </si>
  <si>
    <t>MARY E CORCORAN</t>
  </si>
  <si>
    <t>BRITTANY ANN TRANBAUGH</t>
  </si>
  <si>
    <t>CHARLES R KREPLEY</t>
  </si>
  <si>
    <t>KENNETH SINGLETON</t>
  </si>
  <si>
    <t>LEADING EDGE GATES AND CONTROLS LLC</t>
  </si>
  <si>
    <t>MICHAEL A CARVER JR</t>
  </si>
  <si>
    <t>MATTHEW BACK INC</t>
  </si>
  <si>
    <t>SOUTH JERSEY PRINTING LLC</t>
  </si>
  <si>
    <t>WASTE MANAGEMENT OF DELAWARE</t>
  </si>
  <si>
    <t>JOSEPH D ORLOWSKY</t>
  </si>
  <si>
    <t>BRIAN NEAL ROSS</t>
  </si>
  <si>
    <t>ANITA QUEPPET</t>
  </si>
  <si>
    <t>CANON SOLUTIONS AMERICA INC</t>
  </si>
  <si>
    <t>KENT SCHOCH</t>
  </si>
  <si>
    <t>ESTHER ALEXANDRA NARANJO CORTEZ</t>
  </si>
  <si>
    <t>ELIZABETH LEE DICECCO</t>
  </si>
  <si>
    <t>HICKMAN OVERHEAD DOOR CO</t>
  </si>
  <si>
    <t>CLEAR VISION GLASS LLC</t>
  </si>
  <si>
    <t>THE ELECTRIC MOTOR REPAIR CO</t>
  </si>
  <si>
    <t>OCEAN CITY BERLIN OPTIMIST CLUB DBA</t>
  </si>
  <si>
    <t>ZW USA INC</t>
  </si>
  <si>
    <t>MCMULLEN ENVIRONMENTAL ENTERPRISES INC</t>
  </si>
  <si>
    <t>SUN &amp; FUN</t>
  </si>
  <si>
    <t>LAURA S GRIMES</t>
  </si>
  <si>
    <t>SANTA JOHN HINTZ</t>
  </si>
  <si>
    <t>RYAN BACHER</t>
  </si>
  <si>
    <t>THE CHESAPEAKE MERMAID INC</t>
  </si>
  <si>
    <t>MECHANICS PARADISE INC</t>
  </si>
  <si>
    <t>FRIENDS OF THE FURNESS RAILROAD DISTRICT</t>
  </si>
  <si>
    <t>BRIAN MILLER</t>
  </si>
  <si>
    <t>BUTLER FUEL AND SONS INC</t>
  </si>
  <si>
    <t>DAVID L WOOD</t>
  </si>
  <si>
    <t>KENT COUNTY LEVY COURT</t>
  </si>
  <si>
    <t>KATELYN CHRISTINE REICHLE</t>
  </si>
  <si>
    <t>CHINESE AMERICAN COMMUNITY CENTER</t>
  </si>
  <si>
    <t>RICHARD RAW PRODUCTIONS LLC</t>
  </si>
  <si>
    <t>AMERICAN LEAK DETECTION</t>
  </si>
  <si>
    <t>JAMES LUDLAM</t>
  </si>
  <si>
    <t>JAMES SPADOLA</t>
  </si>
  <si>
    <t>SELBYVILLE TRACTOR &amp; EQUIPMENT INC</t>
  </si>
  <si>
    <t>SAWYERS SANITATION SERVICE INC</t>
  </si>
  <si>
    <t>EDWARD W SCHARR III PRESSUREWASHERREPAIR</t>
  </si>
  <si>
    <t>RACHEL PERASH</t>
  </si>
  <si>
    <t>C&amp;B PLUMBING LLC</t>
  </si>
  <si>
    <t>FIRE FREE CHIMNEY SWEEPS LLC</t>
  </si>
  <si>
    <t>THE MAKEUP MUSEUM</t>
  </si>
  <si>
    <t>BRYAN MEY</t>
  </si>
  <si>
    <t>A H ANGERSTEIN INC</t>
  </si>
  <si>
    <t>WILLIAM A MCAVOY</t>
  </si>
  <si>
    <t>Butch Lloyd</t>
  </si>
  <si>
    <t>ASHLEY MITCHELL DBA RIVERS AND RHODES</t>
  </si>
  <si>
    <t>MCDONALD REFRIGERATION HVAC LLC</t>
  </si>
  <si>
    <t>BRIMARS ITALIAN ICE</t>
  </si>
  <si>
    <t>KAREN MINNER</t>
  </si>
  <si>
    <t>JAMIE FRITCHMAN</t>
  </si>
  <si>
    <t>LYNCHS TOWING INC</t>
  </si>
  <si>
    <t>Heather Smith</t>
  </si>
  <si>
    <t>THE LAB AT SEASCAPE</t>
  </si>
  <si>
    <t>John Forester</t>
  </si>
  <si>
    <t>LEAH BROOKS</t>
  </si>
  <si>
    <t>APPLE ELECTRIC INC</t>
  </si>
  <si>
    <t>GEORGE H BURNS INC</t>
  </si>
  <si>
    <t>CHARLES HARMON</t>
  </si>
  <si>
    <t>COLLIERS TRIM SHOP INC</t>
  </si>
  <si>
    <t>LIST REFRIG HEATING &amp; A C</t>
  </si>
  <si>
    <t>KELSEY DOYLE</t>
  </si>
  <si>
    <t>VALERIE WEST</t>
  </si>
  <si>
    <t>DEBRA CLARK</t>
  </si>
  <si>
    <t>LORCO OF MARYLAND LLC</t>
  </si>
  <si>
    <t>JOHN POLLARD</t>
  </si>
  <si>
    <t>PETER S SMICK DBA SAM SMICK</t>
  </si>
  <si>
    <t>CAMDEN AQUARIUM LLC</t>
  </si>
  <si>
    <t>DELAWARE ACADEMY OF SCIENCE INC</t>
  </si>
  <si>
    <t>DEIDRE FOSTER</t>
  </si>
  <si>
    <t>MT CUBA ASTRONOMICAL OBSERVATORY</t>
  </si>
  <si>
    <t>Jeffrey Mirto</t>
  </si>
  <si>
    <t>FUSION RACING LLC</t>
  </si>
  <si>
    <t>KIMBALL MIDWEST</t>
  </si>
  <si>
    <t>Samwel Mochama</t>
  </si>
  <si>
    <t>CHRIS KELLER</t>
  </si>
  <si>
    <t>Mary Hopkins</t>
  </si>
  <si>
    <t>Mariangela Fontanez</t>
  </si>
  <si>
    <t>Kara Locktish</t>
  </si>
  <si>
    <t>Kelsey Doyle</t>
  </si>
  <si>
    <t>DOCUVAULT DELAWARE VALLEY LLC</t>
  </si>
  <si>
    <t>Jeffery H Miller</t>
  </si>
  <si>
    <t>Don Jesse</t>
  </si>
  <si>
    <t>Terri Dalton</t>
  </si>
  <si>
    <t>JEFF HERTZOG</t>
  </si>
  <si>
    <t>JJID INC</t>
  </si>
  <si>
    <t>GEORGE &amp; LYNCH INC</t>
  </si>
  <si>
    <t>ALL AMERICAN ROOFING &amp; WATERPROOFING INC</t>
  </si>
  <si>
    <t>PAUL'S POINTING INC</t>
  </si>
  <si>
    <t>TOWN OF WYOMING</t>
  </si>
  <si>
    <t>CROSS COUNTRY COWBOY INC</t>
  </si>
  <si>
    <t>QIAGEN INC</t>
  </si>
  <si>
    <t>CLARK BOAT CO</t>
  </si>
  <si>
    <t>LA VIDA HOSPITALITY LLC</t>
  </si>
  <si>
    <t>TOWN OF ELSMERE</t>
  </si>
  <si>
    <t>DELAWARE COMMUNITY FOUNDATION</t>
  </si>
  <si>
    <t>FOREWINDS GARRISON LAKE LLC</t>
  </si>
  <si>
    <t>G FEDALE GENERAL CONTRACTORS</t>
  </si>
  <si>
    <t>TOWN OF DELMAR</t>
  </si>
  <si>
    <t>MASTEN ELECTRIC, INC</t>
  </si>
  <si>
    <t>ROBERT GRANT INC</t>
  </si>
  <si>
    <t>DETWILER ROOFING</t>
  </si>
  <si>
    <t>THE NORTH SKUNK RIVER GREENBELT ASSOCIAT</t>
  </si>
  <si>
    <t>KENNETH R WALSH</t>
  </si>
  <si>
    <t>CENTRAL FLORIDA YAMAHA INC</t>
  </si>
  <si>
    <t>DIAMOND STATE POLE BLDGS LLC</t>
  </si>
  <si>
    <t>N MALLARI GENERAL CONTRACTING CORP</t>
  </si>
  <si>
    <t>TOWN OF MILLVILLE DELAWARE</t>
  </si>
  <si>
    <t>UNDERGROUND SVCS INC DBA SOFTDIG</t>
  </si>
  <si>
    <t>ACCESSIBLE VANS &amp; MOBILITY LLC</t>
  </si>
  <si>
    <t>COMMERCIAL RECREATION SPECIALISTS INC</t>
  </si>
  <si>
    <t>TOWN OF NEWPORT</t>
  </si>
  <si>
    <t>KAM PRODUCTIONS LLC</t>
  </si>
  <si>
    <t>APTIM COASTAL PLANNING &amp; ENGINEERING IN</t>
  </si>
  <si>
    <t>DELMARVA PETROLEUM SERVICE LLC</t>
  </si>
  <si>
    <t>LARS GRANHOLM</t>
  </si>
  <si>
    <t>BACKYARD WORKS INC</t>
  </si>
  <si>
    <t>PAPCO INC</t>
  </si>
  <si>
    <t>GERARDI SEPTIC SERVICES LLC</t>
  </si>
  <si>
    <t>NATIONAL CAPITAL INDUSTRIES INC</t>
  </si>
  <si>
    <t>FISHER SCIENTIFIC</t>
  </si>
  <si>
    <t>WHITE DOVE MATTRESS LLC</t>
  </si>
  <si>
    <t>GRUBB INC DBA AQUA WASH</t>
  </si>
  <si>
    <t>SMITH ROOT INC</t>
  </si>
  <si>
    <t>SCHWARTZ &amp; SCHWARTZ P A</t>
  </si>
  <si>
    <t>MINXRAY INC</t>
  </si>
  <si>
    <t>COMMONWEALTH HERITAGE GROUP INC</t>
  </si>
  <si>
    <t>IMG COLLEGE LLC</t>
  </si>
  <si>
    <t>FIRST STATE CRANE SVC INC</t>
  </si>
  <si>
    <t>RODENTPRO.COM LLC</t>
  </si>
  <si>
    <t>DAVID CONNELL</t>
  </si>
  <si>
    <t>B L WARD &amp; ASSOCIATES LLC</t>
  </si>
  <si>
    <t>SHURE-LINE CONSTRUCTION INC</t>
  </si>
  <si>
    <t>MILLER LEWIS INC</t>
  </si>
  <si>
    <t>TOWN OF GEORGETOWN</t>
  </si>
  <si>
    <t>MATEFLEX CORP</t>
  </si>
  <si>
    <t>OVERHEAD DOOR CO OF DELMAR INC</t>
  </si>
  <si>
    <t>CHARLES BROWN GLASS COMPANY</t>
  </si>
  <si>
    <t>COUNTRY BUILDERS INC</t>
  </si>
  <si>
    <t>SELMA INC</t>
  </si>
  <si>
    <t>DELAWARE CENTER FOR HORTICULTURE INC</t>
  </si>
  <si>
    <t>COGHAN-HAES LLC</t>
  </si>
  <si>
    <t>VEOLIA WATER DELAWARE INC</t>
  </si>
  <si>
    <t>A C SCHULTES OF DE INC</t>
  </si>
  <si>
    <t>ALL OUT SERVICES LLC</t>
  </si>
  <si>
    <t>WARIHAY FARMS AND HARVESTING</t>
  </si>
  <si>
    <t>4IMPRINT INC</t>
  </si>
  <si>
    <t>DRIVEWAY DOCTORS</t>
  </si>
  <si>
    <t>RWM EMBROIDERY &amp; MORE</t>
  </si>
  <si>
    <t>CARTER MACHINERY COMPANY INC</t>
  </si>
  <si>
    <t>WILLIAM STEELE WELDING &amp; FABRICATION LLC</t>
  </si>
  <si>
    <t>PARK WAREHOUSE LLC</t>
  </si>
  <si>
    <t>QUILLENS RENT ALL INC</t>
  </si>
  <si>
    <t>MARK NEWRUCK DBA MOUNTAIN GRAPHICS</t>
  </si>
  <si>
    <t>DELMARVA POLE BUILDING SUPPLY</t>
  </si>
  <si>
    <t>MILES PARTNERSHIP LLLP</t>
  </si>
  <si>
    <t>VOGL BROS</t>
  </si>
  <si>
    <t>HARRY L BLADES JR LLC</t>
  </si>
  <si>
    <t>DAVID L BANKS</t>
  </si>
  <si>
    <t>BENJAMIN NEIDITZ</t>
  </si>
  <si>
    <t>NORTHERN TIER LLC</t>
  </si>
  <si>
    <t>THE PIC20 GROUP LLC</t>
  </si>
  <si>
    <t>DOWNES HARDWOOD LLC</t>
  </si>
  <si>
    <t>B&amp;S FARMS INC</t>
  </si>
  <si>
    <t>LAWMEN SUPPLY COMPANY OF NJ INC</t>
  </si>
  <si>
    <t>SIR SPEEDY PRINTING WILMINGTON</t>
  </si>
  <si>
    <t>LINDSTROM EXCAVATING CONTRACTORS INC</t>
  </si>
  <si>
    <t>ELECTRICAL INTEGRITY LLC</t>
  </si>
  <si>
    <t>PAUL J SHERIDAN IV</t>
  </si>
  <si>
    <t>G M RECORDS INC</t>
  </si>
  <si>
    <t>COLOSSAL CONTRACTORS INC</t>
  </si>
  <si>
    <t>COMMON GROUND DISTRIBUTORS</t>
  </si>
  <si>
    <t>PSC CONTRACTING INC</t>
  </si>
  <si>
    <t>TOWN OF BETHANY BEACH</t>
  </si>
  <si>
    <t>MATERIALS CONSERVATION COLLABORATION LLC</t>
  </si>
  <si>
    <t>APPLIED CONCEPTS INC</t>
  </si>
  <si>
    <t>SUNBELT RENTALS INC</t>
  </si>
  <si>
    <t>ADAMS CONSTRUCTION INC</t>
  </si>
  <si>
    <t>MARK MACDONALD LLC</t>
  </si>
  <si>
    <t>STABIL SOLUTIONS INC</t>
  </si>
  <si>
    <t>ROGER C SUMMERS LAWN CARE INC</t>
  </si>
  <si>
    <t>DUKES CONSTRUCTION LLC</t>
  </si>
  <si>
    <t>WOODEN WHEELS SERVICE &amp; REPAIR</t>
  </si>
  <si>
    <t>JERRY'S INC</t>
  </si>
  <si>
    <t>JON EUGENIO</t>
  </si>
  <si>
    <t>LEVEL A UNDERGROUND SOLUTIONS</t>
  </si>
  <si>
    <t>TOTAL CONSTRUCTION RENTALS</t>
  </si>
  <si>
    <t>MASTENS ELECTRIC LLC</t>
  </si>
  <si>
    <t>DIAMOND STATE DOOR LLC</t>
  </si>
  <si>
    <t>LIBERTY PURE OF DELMARVA LLC</t>
  </si>
  <si>
    <t>BUSINESS INTERFACE OF MARYLAND</t>
  </si>
  <si>
    <t>MAICHLE'S HEATING &amp; AIR CONDITIONING</t>
  </si>
  <si>
    <t>SECOND STRING LLC</t>
  </si>
  <si>
    <t>L E PARSONS LLC</t>
  </si>
  <si>
    <t>QUICK REFERENCE PUBLISHING INC</t>
  </si>
  <si>
    <t>MATTHEW STEIN</t>
  </si>
  <si>
    <t>MATTHEW PAUL BRENCKLE</t>
  </si>
  <si>
    <t>SUNDEW PAINTING SOUTH INC</t>
  </si>
  <si>
    <t>ANGELICA CRISTANCHO</t>
  </si>
  <si>
    <t>VICTORIA SHERTEL</t>
  </si>
  <si>
    <t>ALL CLEAN POWER WASHING LLC</t>
  </si>
  <si>
    <t>SPECIES360</t>
  </si>
  <si>
    <t>GO-GLASS JOY LLC</t>
  </si>
  <si>
    <t>KENNY ROBERTS POOL WATER INC</t>
  </si>
  <si>
    <t>SHAUN A PEKAR</t>
  </si>
  <si>
    <t>STEVEN C SAVIDGE</t>
  </si>
  <si>
    <t>MICHAEL FOLLIN</t>
  </si>
  <si>
    <t>FRANK KIELB ENTERTAINMENT INC</t>
  </si>
  <si>
    <t>LAURA FRICK</t>
  </si>
  <si>
    <t>EARL TIMMONS DBA VISION VALUATION</t>
  </si>
  <si>
    <t>TOM MELVILLE</t>
  </si>
  <si>
    <t>D&amp;C MECHANICAL LLC</t>
  </si>
  <si>
    <t>SCENARIO LEARNING LLC DBA VECTOR</t>
  </si>
  <si>
    <t>THE COLONIAL WILLIAMSBURG</t>
  </si>
  <si>
    <t>BLUE JAR LLC</t>
  </si>
  <si>
    <t>GARDEN STATE DUST CONTROL</t>
  </si>
  <si>
    <t>SUNSET MARINA LLC</t>
  </si>
  <si>
    <t>EWING FOUNDATION</t>
  </si>
  <si>
    <t>SUNSTATES SECURITY LLC</t>
  </si>
  <si>
    <t>CARSON SMITH</t>
  </si>
  <si>
    <t>ANDY PRESSURE CLEANING SERVICE LLC</t>
  </si>
  <si>
    <t>James Kessler</t>
  </si>
  <si>
    <t>TAPPAHANNA SERVICES LLC</t>
  </si>
  <si>
    <t>THERESA J CHARNEY</t>
  </si>
  <si>
    <t>ROBINS HARBOR ART STUDIOS</t>
  </si>
  <si>
    <t>THE PETTING ZOO INC</t>
  </si>
  <si>
    <t>SUSSEX ENVIRONMENTAL HEALTH</t>
  </si>
  <si>
    <t>GARY JOHNSON RENOVATION LLC</t>
  </si>
  <si>
    <t>BELLA TERRA LLC</t>
  </si>
  <si>
    <t>TOWLES ELECTRIC INC</t>
  </si>
  <si>
    <t>CHRISTINA FABRIS</t>
  </si>
  <si>
    <t>Vanessa Kline</t>
  </si>
  <si>
    <t>FOOD EQUIPMENT SERVICE INC</t>
  </si>
  <si>
    <t>SUSSEX LUMBER COMPANY INC</t>
  </si>
  <si>
    <t>PAPE DEMBA SAMB</t>
  </si>
  <si>
    <t>STANTONS 4TH WALL</t>
  </si>
  <si>
    <t>REDDIX TRANSPORTATION INC</t>
  </si>
  <si>
    <t>CLASSIC TREATS LLC</t>
  </si>
  <si>
    <t>CONSERVATION CTR FOR ART</t>
  </si>
  <si>
    <t>KHARI HAYDEN</t>
  </si>
  <si>
    <t>DELTA FORMS INC</t>
  </si>
  <si>
    <t>RANDALL SHINE</t>
  </si>
  <si>
    <t>ASHER LURIE</t>
  </si>
  <si>
    <t>CHICAGO ZOOLOGICAL SOCIETY</t>
  </si>
  <si>
    <t>DELAWARE PLUMBING SUPPLY CO</t>
  </si>
  <si>
    <t>CAREY'S DIESEL INC</t>
  </si>
  <si>
    <t>ARC DOCUMENT SOLUTIONS</t>
  </si>
  <si>
    <t>JOSEPH BECTON</t>
  </si>
  <si>
    <t>JOHN D DURANT JR</t>
  </si>
  <si>
    <t>CRAIG RHOADS</t>
  </si>
  <si>
    <t>LAURA SCHARLE</t>
  </si>
  <si>
    <t>ALL AMERICAN BOOT MFGI NC</t>
  </si>
  <si>
    <t>THOMAS SUMMERS</t>
  </si>
  <si>
    <t>SHAUNA MCVEY</t>
  </si>
  <si>
    <t>CHARLES J BECK</t>
  </si>
  <si>
    <t>WILMA A PULMANO</t>
  </si>
  <si>
    <t>GARY FRANCIS</t>
  </si>
  <si>
    <t>BURKE EQUIPMENT-SEAFORD, INC.</t>
  </si>
  <si>
    <t>WINDCREST ANIMAL HOSPITAL</t>
  </si>
  <si>
    <t>SRR ENTERTAINMENT</t>
  </si>
  <si>
    <t>DESMOND M KAHN</t>
  </si>
  <si>
    <t>NICK DIFALCO</t>
  </si>
  <si>
    <t>FRIENDS OF WILMINGTON PARKS INC</t>
  </si>
  <si>
    <t>Chesapeake Environmental Services, LLC</t>
  </si>
  <si>
    <t>DEAN MATTHEW RITTER</t>
  </si>
  <si>
    <t>MEGEE PLUMBING AND HEATING CO INC</t>
  </si>
  <si>
    <t>OSWALD M BECKE</t>
  </si>
  <si>
    <t>MARK A TURDO</t>
  </si>
  <si>
    <t>JAIME STRANO</t>
  </si>
  <si>
    <t>DELAWARE ZOOLOGICAL SOCIETY INC</t>
  </si>
  <si>
    <t>STEPHEN E QUILLEN</t>
  </si>
  <si>
    <t>ANDREW LYTER</t>
  </si>
  <si>
    <t>JOHN COLEMAN</t>
  </si>
  <si>
    <t>BRIGHTBAY WELLNESS LLC</t>
  </si>
  <si>
    <t>Kent-Sussex Industries Inc.</t>
  </si>
  <si>
    <t>BENZ HYDRAULICS INC</t>
  </si>
  <si>
    <t>VEOLIA ES TECHNICAL SOLUTIONS</t>
  </si>
  <si>
    <t>ROGER MUSTALISH</t>
  </si>
  <si>
    <t>ANDREW FITZKEE</t>
  </si>
  <si>
    <t>RALPH GRESHAM LAM</t>
  </si>
  <si>
    <t>DENNIS J COKER</t>
  </si>
  <si>
    <t>BRADLEY BENNETT</t>
  </si>
  <si>
    <t>JOSEPH SCHELL</t>
  </si>
  <si>
    <t>ELENA STEWART</t>
  </si>
  <si>
    <t>MONTAGE ENTERPRISES INC</t>
  </si>
  <si>
    <t>CANN ERIKSON BINDERY INC</t>
  </si>
  <si>
    <t>OLIVIA REYNOLDS MUSIC LLC</t>
  </si>
  <si>
    <t>REBEL NATTY MUSIC</t>
  </si>
  <si>
    <t>CHRISTOPHER MAHER</t>
  </si>
  <si>
    <t>SAMUEL NOBLES</t>
  </si>
  <si>
    <t>LUCAS R CLAWSON</t>
  </si>
  <si>
    <t>COASTAL POINT</t>
  </si>
  <si>
    <t>KENT SIGNS COMPANY INC</t>
  </si>
  <si>
    <t>ATLANTIC REFRIGERATION</t>
  </si>
  <si>
    <t>MORNING STAR PUBLICATIONS INC</t>
  </si>
  <si>
    <t>NORTHERN SAFETY CO INC</t>
  </si>
  <si>
    <t>NEW CASTLE HISTORICAL SOCIETY</t>
  </si>
  <si>
    <t>MICHAEL MCDERMOTT</t>
  </si>
  <si>
    <t>THOMAS E MARVEL</t>
  </si>
  <si>
    <t>HIGHWAY SAFETY</t>
  </si>
  <si>
    <t>FARNANS LOCK SERVICE</t>
  </si>
  <si>
    <t>DELCOLLO ELECTRIC INC</t>
  </si>
  <si>
    <t>SIMPLOT AB RETAIL SUB INC</t>
  </si>
  <si>
    <t>CHESAPEAKE SUPPLY &amp; EQUIPMENT</t>
  </si>
  <si>
    <t>JUNE P GALLAGHER</t>
  </si>
  <si>
    <t>EASTERN SHORE ENERGY INC</t>
  </si>
  <si>
    <t>AMBROGI INTEGRATIVE HEALTH SERVICES</t>
  </si>
  <si>
    <t>VALERIE  WEST</t>
  </si>
  <si>
    <t>CHERYL DEERING</t>
  </si>
  <si>
    <t>Hatboro Troop 3, Brian Dutill</t>
  </si>
  <si>
    <t>LINDE GAS &amp; EQUIPMENT INC.</t>
  </si>
  <si>
    <t>EMILY MATHEWS</t>
  </si>
  <si>
    <t>LISA WATT</t>
  </si>
  <si>
    <t>GABRIELLE SMITH</t>
  </si>
  <si>
    <t>WYOMING MILLWORK</t>
  </si>
  <si>
    <t>DELAWARE MUSEUM ASSOCIATION</t>
  </si>
  <si>
    <t>FEDEX</t>
  </si>
  <si>
    <t>Kimberly Lawson</t>
  </si>
  <si>
    <t>GERALDINE PIZARRO</t>
  </si>
  <si>
    <t>PHYLLIS D BIRCH</t>
  </si>
  <si>
    <t>ANN BURRUSS</t>
  </si>
  <si>
    <t>BRENDA HACKERS</t>
  </si>
  <si>
    <t>Cheryl Deering</t>
  </si>
  <si>
    <t>Joseph Hill</t>
  </si>
  <si>
    <t>RICHARD SAPP</t>
  </si>
  <si>
    <t>KRIS KNUTSEN</t>
  </si>
  <si>
    <t>KYLA HUCKER</t>
  </si>
  <si>
    <t>CENTURY ENGINEERING INC</t>
  </si>
  <si>
    <t>IRON SOURCE LLC</t>
  </si>
  <si>
    <t>UNDERCOMM INC</t>
  </si>
  <si>
    <t>HYDRO-MARINE CONSTRUCTION CO INC</t>
  </si>
  <si>
    <t>THE BORSELLO COMPANIES INC</t>
  </si>
  <si>
    <t>TOWN OF FREDERICA</t>
  </si>
  <si>
    <t>FERRIS ELECTRIC &amp; SOLAR</t>
  </si>
  <si>
    <t>TAG CONSTRUCTION LLC</t>
  </si>
  <si>
    <t>BERNARDON LLC</t>
  </si>
  <si>
    <t>DELL MARKETING LP</t>
  </si>
  <si>
    <t>MICHAEL JOHNSON MIKES CUSTOM FENCE</t>
  </si>
  <si>
    <t>FARRELL ROOFING COMPANY</t>
  </si>
  <si>
    <t>SUEZ WATER DELAWARE INC</t>
  </si>
  <si>
    <t>ZIGGY'S INC</t>
  </si>
  <si>
    <t>JOHN L BRIGGS &amp; CO</t>
  </si>
  <si>
    <t>SALISBURY DOOR &amp; HARDWARE INC</t>
  </si>
  <si>
    <t>BRENNANS OFFICE INTERIORS INC</t>
  </si>
  <si>
    <t>VCI MANAGEMENT INC</t>
  </si>
  <si>
    <t>GARTH ENTERPRISES LTD</t>
  </si>
  <si>
    <t>BTS ENTERPRISES INC</t>
  </si>
  <si>
    <t>GAYLORD BROS</t>
  </si>
  <si>
    <t>MORSE HOME IMPROVEMENT LLC</t>
  </si>
  <si>
    <t>GRAYDIE WELDING LLC</t>
  </si>
  <si>
    <t>DAVID NIESCIOR</t>
  </si>
  <si>
    <t>VERTICAL CONSULTANTS LLC</t>
  </si>
  <si>
    <t>PREMIUM POWER SERVICES LLC</t>
  </si>
  <si>
    <t>SHIELDS ELECTRIC INC</t>
  </si>
  <si>
    <t>PITTSBURG TANK AND TOWER MAINT CO INC</t>
  </si>
  <si>
    <t>SEAN CONSIDINE</t>
  </si>
  <si>
    <t>DELDOT FINANCE</t>
  </si>
  <si>
    <t>SUSSEX CONSERVATION DISTRICT</t>
  </si>
  <si>
    <t>BEACHUM RECREATION</t>
  </si>
  <si>
    <t>ECO PLASTIC PRODUCTS OF DELAWARE</t>
  </si>
  <si>
    <t>OXFORD NANOPORE TECHNOLOGIES INC</t>
  </si>
  <si>
    <t>K&amp;C CONSTRUCTION &amp; LANDSCAPING LLC</t>
  </si>
  <si>
    <t>UNION WHOLESALE COMPANY</t>
  </si>
  <si>
    <t>KIRSTEN HAMMERSTROM</t>
  </si>
  <si>
    <t>BURNS &amp; MCBRIDE INC</t>
  </si>
  <si>
    <t>ALL ABOUT GUTTERS INC</t>
  </si>
  <si>
    <t>THE KNOT WORLDWIDE INC</t>
  </si>
  <si>
    <t>DOWNES HARDWOOD FLOORS INC</t>
  </si>
  <si>
    <t>MICHAELINA JONES</t>
  </si>
  <si>
    <t>JOHN D MOORE</t>
  </si>
  <si>
    <t>F O P Lodge 3</t>
  </si>
  <si>
    <t>BROWN BOX THEATRE PROJECT</t>
  </si>
  <si>
    <t>H &amp; M ACOUSTICAL SERVICES INC</t>
  </si>
  <si>
    <t>ALBERTSON &amp; NUNAN INC</t>
  </si>
  <si>
    <t>Alexis Perez</t>
  </si>
  <si>
    <t>HENRY COOKE DBA HISTORICAL COSTUME</t>
  </si>
  <si>
    <t>BMC EAST LLC</t>
  </si>
  <si>
    <t>TRI-STATE TILE RESTORATION</t>
  </si>
  <si>
    <t>RECREATION RESOURCE USA LLC</t>
  </si>
  <si>
    <t>4 OCEAN LLC</t>
  </si>
  <si>
    <t>HOFFMANS EXTERMINATING CO INC</t>
  </si>
  <si>
    <t>ASTEC INC</t>
  </si>
  <si>
    <t>FOULK LAWN &amp; EQUIP</t>
  </si>
  <si>
    <t>NOODLEBOX DESIGN LLC</t>
  </si>
  <si>
    <t>APRIL C THOMAS</t>
  </si>
  <si>
    <t>WESTERN INDUSTRIES NORTH INC</t>
  </si>
  <si>
    <t>BAKER INGRAM &amp; ASSOC</t>
  </si>
  <si>
    <t>ECOINCLUSIVE STRATEGIES LLC</t>
  </si>
  <si>
    <t>FIRST STATE BALLET THEATRE</t>
  </si>
  <si>
    <t>DIAMOND STATE PARTY RNTLS</t>
  </si>
  <si>
    <t>PUZZLES THAT ROCK</t>
  </si>
  <si>
    <t>ROGER C SUMMERS</t>
  </si>
  <si>
    <t>AMERICAN WHOLESALE DISTRIBUTORS</t>
  </si>
  <si>
    <t>DE STATE FIRE SCHOOL/PETTY CASH</t>
  </si>
  <si>
    <t>RUMSEY ELECTRIC COMPANY INC</t>
  </si>
  <si>
    <t>Sara Digennaro</t>
  </si>
  <si>
    <t>KATHRYN HOERNER-MCGINNES</t>
  </si>
  <si>
    <t>FISHER AND SON COMPANY INC</t>
  </si>
  <si>
    <t>STEVEN LEWERS &amp; ASSOCIATES</t>
  </si>
  <si>
    <t>Michael Rogers</t>
  </si>
  <si>
    <t>VENTURESPORT</t>
  </si>
  <si>
    <t>GUARDIAN FENCE CO</t>
  </si>
  <si>
    <t>MOMAR INC</t>
  </si>
  <si>
    <t>KONO NATION LLC</t>
  </si>
  <si>
    <t>CHRISTIAN CAMPBELL</t>
  </si>
  <si>
    <t>WBOC/FOX 21</t>
  </si>
  <si>
    <t>SOIL AND ENVIRONMENTAL ASSOCIATES LLC</t>
  </si>
  <si>
    <t>PRO-LOCK &amp; SAFE LLC</t>
  </si>
  <si>
    <t>JOSEPH ULRICH</t>
  </si>
  <si>
    <t>ALTEC INDUSTRIES INC</t>
  </si>
  <si>
    <t>CITY WINDOW CLEANING INC OF DE</t>
  </si>
  <si>
    <t>SHERRIE KREBS</t>
  </si>
  <si>
    <t>PAUL'S PLASTERING</t>
  </si>
  <si>
    <t>SILK BARON INC</t>
  </si>
  <si>
    <t>JOAN BETZOLD</t>
  </si>
  <si>
    <t>RYAN FENTON</t>
  </si>
  <si>
    <t>GEORGE W PLUMMER &amp; SON INC</t>
  </si>
  <si>
    <t>FRIENDS OF AUBURN VALLEY</t>
  </si>
  <si>
    <t>MADDOX ENTERPRISES INC</t>
  </si>
  <si>
    <t>JOHANNA ELLIS</t>
  </si>
  <si>
    <t>MILFORD GUTTER GUYS LLC</t>
  </si>
  <si>
    <t>MID SOUTH AUDIO L L C</t>
  </si>
  <si>
    <t>J BENJAMIN ROY JR</t>
  </si>
  <si>
    <t>ELLIOTTS HOME IMPROVEMENTS INC</t>
  </si>
  <si>
    <t>GATEWAY GARDEN CENTER</t>
  </si>
  <si>
    <t>STAFF DEVELOPMENT AND TRAINING</t>
  </si>
  <si>
    <t>ASHLEY SK DAVIS</t>
  </si>
  <si>
    <t>FIRST STATE ELECTRIC COMPANY INC</t>
  </si>
  <si>
    <t>DANIEL P PAISLEY</t>
  </si>
  <si>
    <t>DALE H SIPPLE</t>
  </si>
  <si>
    <t>JOHN GIESEKING</t>
  </si>
  <si>
    <t>MADELYNN NIEVES</t>
  </si>
  <si>
    <t>KATHERINE GRAHL</t>
  </si>
  <si>
    <t>FREDERICK ENTERPRISES INC</t>
  </si>
  <si>
    <t>A &amp; A AIR SERVICES</t>
  </si>
  <si>
    <t>Raymond Irwin</t>
  </si>
  <si>
    <t>SOUTHERN DELAWARE TOURISM INC</t>
  </si>
  <si>
    <t>ROBIN L SCHURICHT</t>
  </si>
  <si>
    <t>JEWISH FEDERATION OF DELAWARE</t>
  </si>
  <si>
    <t>ENVIROCORP INC</t>
  </si>
  <si>
    <t>DNREC FISCAL MANAGEMENT</t>
  </si>
  <si>
    <t>CURLEY DODGE FUNK LLC</t>
  </si>
  <si>
    <t>PETROCHOICE HOLDINGS INC</t>
  </si>
  <si>
    <t>PORTER SAND &amp; GRAVEL INC</t>
  </si>
  <si>
    <t>RON ALBANESE</t>
  </si>
  <si>
    <t>Bethany Fiske</t>
  </si>
  <si>
    <t>SYRETTA KING</t>
  </si>
  <si>
    <t>STEAMBOAT STICKER COMPANY</t>
  </si>
  <si>
    <t>AMY SPAMPINATO</t>
  </si>
  <si>
    <t>OCEAN CITY BERLIN OPTIMIST CLUB</t>
  </si>
  <si>
    <t>WALNUT HILL VETERINARY CLINIC</t>
  </si>
  <si>
    <t>KRISTYN SMALL</t>
  </si>
  <si>
    <t>SUPERIOR ELECTRIC SVC CO</t>
  </si>
  <si>
    <t>SCOTTONS SANITATION LLC</t>
  </si>
  <si>
    <t>DON BRILL LLC</t>
  </si>
  <si>
    <t>TOLSONS ELECTRICAL SERVICES</t>
  </si>
  <si>
    <t>HARRYAWENZEL</t>
  </si>
  <si>
    <t>ERVIN YODER</t>
  </si>
  <si>
    <t>COASTAL TOWING INC</t>
  </si>
  <si>
    <t>JAMES KRZYANOWSKI</t>
  </si>
  <si>
    <t>WEBBYS SEPTIC SERVICES</t>
  </si>
  <si>
    <t>OFFICE DEPOT</t>
  </si>
  <si>
    <t>Shannon Cord</t>
  </si>
  <si>
    <t>MARK ZIMMERMANN</t>
  </si>
  <si>
    <t>HOLLY HUNSUCKER</t>
  </si>
  <si>
    <t>HANNA PAIGE MELBA</t>
  </si>
  <si>
    <t>DUCKSHOP OF LITTLE CREEK</t>
  </si>
  <si>
    <t>KEITH SCHMIERER DMS</t>
  </si>
  <si>
    <t>MARVIN-ALONZO GREER</t>
  </si>
  <si>
    <t>MARIBETH STEINBERG</t>
  </si>
  <si>
    <t>ERIN HESS</t>
  </si>
  <si>
    <t>WILLIAM FITZGERALD</t>
  </si>
  <si>
    <t>ARUGIE ENTERPRISES CORPORATION</t>
  </si>
  <si>
    <t>COLLEEN B NORTHEY</t>
  </si>
  <si>
    <t>Rausch Fuel Oil Company Inc</t>
  </si>
  <si>
    <t>ANDREW D ROY</t>
  </si>
  <si>
    <t>CELESTE KELLY</t>
  </si>
  <si>
    <t>DANIELLE LEVREDGE</t>
  </si>
  <si>
    <t>RYAN SCHWARTZ</t>
  </si>
  <si>
    <t>CONSTRUCTION SUPPLY HOLDINGS II LLC</t>
  </si>
  <si>
    <t>JOSEPH F ZITO</t>
  </si>
  <si>
    <t>RACHAEL ADKINS</t>
  </si>
  <si>
    <t>CHRISTINE DUNCAN FOR BFF</t>
  </si>
  <si>
    <t>STACIA LACHOLE RUSSELL</t>
  </si>
  <si>
    <t>AMY JAMES</t>
  </si>
  <si>
    <t>TRINITY BRASS DBA TOUCH OF BRASS</t>
  </si>
  <si>
    <t>CAREYS INC</t>
  </si>
  <si>
    <t>KURT BLATTNER</t>
  </si>
  <si>
    <t>LAURA ADIE</t>
  </si>
  <si>
    <t>JOSHUA ZIMMERMAN</t>
  </si>
  <si>
    <t>Rose Mallery</t>
  </si>
  <si>
    <t>FORESTRY SUPPLIERS INC</t>
  </si>
  <si>
    <t>SHARPGAS INC</t>
  </si>
  <si>
    <t>JODYS PLUMBING INC</t>
  </si>
  <si>
    <t>DIAMOND STATE GLASS INC</t>
  </si>
  <si>
    <t>EMILY RACHAEL CHAMELIN</t>
  </si>
  <si>
    <t>EMILY TRUITT</t>
  </si>
  <si>
    <t>CHESAPEAKE ENVIRONMENTAL LAB INC</t>
  </si>
  <si>
    <t>ERIC F ZUELKE</t>
  </si>
  <si>
    <t>FRANK KORNFELD</t>
  </si>
  <si>
    <t>WILLIS PHELPS JR</t>
  </si>
  <si>
    <t>DE DIVISION OF REVENUE</t>
  </si>
  <si>
    <t>CONOR TIMONEY</t>
  </si>
  <si>
    <t>SANDRA M FISCHER</t>
  </si>
  <si>
    <t>LELA OTTO</t>
  </si>
  <si>
    <t>JEREMY BIRNBAUM</t>
  </si>
  <si>
    <t>SAFETY-KLEEN SYSTEMS INC</t>
  </si>
  <si>
    <t>Michael Orhelein</t>
  </si>
  <si>
    <t>SUE HENRY</t>
  </si>
  <si>
    <t>SUE LEMMONS</t>
  </si>
  <si>
    <t>KEVIN SARKISSIAN</t>
  </si>
  <si>
    <t>USLA MID-ATLANTIC REGION</t>
  </si>
  <si>
    <t>DEENA GREENWOOD</t>
  </si>
  <si>
    <t>Carolina Tailwinds</t>
  </si>
  <si>
    <t>MICHAEL RIGGIN</t>
  </si>
  <si>
    <t>RON MICHAELS</t>
  </si>
  <si>
    <t>Amanda Love</t>
  </si>
  <si>
    <t>PASCO HOLDINGS LLC</t>
  </si>
  <si>
    <t>BETHANY AUTO PARTS</t>
  </si>
  <si>
    <t>BARBARA EDMONSON</t>
  </si>
  <si>
    <t>GARY MACY</t>
  </si>
  <si>
    <t>BENJAMIN WOODARD</t>
  </si>
  <si>
    <t>ERCO CEILINGS INC</t>
  </si>
  <si>
    <t>ALEXANDER RUMM</t>
  </si>
  <si>
    <t>ROBERT HACKNEY</t>
  </si>
  <si>
    <t>IAN DRUMMOND</t>
  </si>
  <si>
    <t>GREENBERG SUPPLY CO INC</t>
  </si>
  <si>
    <t>TYLER BEUTLER</t>
  </si>
  <si>
    <t>JENNIFER SERVISS</t>
  </si>
  <si>
    <t>LISETTE AMPARO</t>
  </si>
  <si>
    <t>Heather Dougherty</t>
  </si>
  <si>
    <t>BRIAN ROBBINS</t>
  </si>
  <si>
    <t>JESSE WEEG</t>
  </si>
  <si>
    <t>WHITING TURNER CONTRACTING CO</t>
  </si>
  <si>
    <t>OFFICE OF ADMINISTRATION</t>
  </si>
  <si>
    <t>P S C CONTRACTING INC</t>
  </si>
  <si>
    <t>ADVANTECH INC</t>
  </si>
  <si>
    <t>FINCH SERVICES INC</t>
  </si>
  <si>
    <t>G &amp; J HOLDINGS LLC</t>
  </si>
  <si>
    <t>AMERICORP STATE PARK PARTNERS</t>
  </si>
  <si>
    <t>TYSON F SARTIN INC</t>
  </si>
  <si>
    <t>GUN CLUB ROAD MAINTENANCE CORPPORATION</t>
  </si>
  <si>
    <t>GREENS HEATING AND COOLING</t>
  </si>
  <si>
    <t>FUJIFILM SONOSITE INC</t>
  </si>
  <si>
    <t>BEYONDGREEN BIOTECH INC</t>
  </si>
  <si>
    <t>CURTIS 1000 INC</t>
  </si>
  <si>
    <t>PENNY ENTERPRISES INC</t>
  </si>
  <si>
    <t>NATIONWIDE PROPERTY &amp; APPRAISAL SERVICES</t>
  </si>
  <si>
    <t>.CHANCELLOR LANE LLC</t>
  </si>
  <si>
    <t>RIGGINS INC</t>
  </si>
  <si>
    <t>DE COLLINS AND COMPANY LLC</t>
  </si>
  <si>
    <t>HYMAN REIVER &amp; CO</t>
  </si>
  <si>
    <t>ENVIROCOAT INSTALLATION COMPANY</t>
  </si>
  <si>
    <t>BRICON ENTERPRISES LLC</t>
  </si>
  <si>
    <t>BRICON SERVICE INC DBA TRIANGLE SERVICE</t>
  </si>
  <si>
    <t>PHYSIO CONTROL INC</t>
  </si>
  <si>
    <t>GB SHADES LLC</t>
  </si>
  <si>
    <t>WATERPARK CONSTRUCTION INC</t>
  </si>
  <si>
    <t>MCMULLEN &amp; SONS INC</t>
  </si>
  <si>
    <t>SAMANTHA KING LLC</t>
  </si>
  <si>
    <t>WILKINS WILDLIFE &amp; BEDBUG 911</t>
  </si>
  <si>
    <t>SYSTECH DESIGN INC</t>
  </si>
  <si>
    <t>NORTH EAST PARTS GROUP</t>
  </si>
  <si>
    <t>FIRST CLASS HEATING &amp; AC INC</t>
  </si>
  <si>
    <t>ADLER DISPLAY STUDIO INC</t>
  </si>
  <si>
    <t>DOURON INC</t>
  </si>
  <si>
    <t>MCKENZIES HOUSE OF COLOR</t>
  </si>
  <si>
    <t>BEAR INDUSTRIES INC</t>
  </si>
  <si>
    <t>SPLASHTACULAR LLC</t>
  </si>
  <si>
    <t>R&amp;B RESTORATION CARPENTRY INC</t>
  </si>
  <si>
    <t>THE STATION GALLERY</t>
  </si>
  <si>
    <t>WALKER'S MARINE INC</t>
  </si>
  <si>
    <t>ALBAN TRACTOR LLC</t>
  </si>
  <si>
    <t>ALL STATES MANAGEMENT CO INC</t>
  </si>
  <si>
    <t>U S ARMY CORPS OF ENGINEERS</t>
  </si>
  <si>
    <t>LEFORT APPRAISAL &amp; CONSULTING INC</t>
  </si>
  <si>
    <t>VALUATION CONSULTING PARTNERS</t>
  </si>
  <si>
    <t>TAYLOR CORPORATION</t>
  </si>
  <si>
    <t>Autism Delaware</t>
  </si>
  <si>
    <t>RICHARD &amp; CHRISTINE DI SABATINO</t>
  </si>
  <si>
    <t>THE CLASS PRODUCE GROUP</t>
  </si>
  <si>
    <t>CHARLES HAIRSTON</t>
  </si>
  <si>
    <t>EDWARD OTTER INC</t>
  </si>
  <si>
    <t>BRYAN COHEN BFC PAINTING</t>
  </si>
  <si>
    <t>DE JUSTICE INFORMATION SYSTEMS PC</t>
  </si>
  <si>
    <t>PSC PROPERTIES LLC</t>
  </si>
  <si>
    <t>AQUA TECH WATER SPECIALTIES LLC</t>
  </si>
  <si>
    <t>NATIONAL ASSOCIATION OF STATE PARK DIREC</t>
  </si>
  <si>
    <t>BSN SPORTS INC</t>
  </si>
  <si>
    <t>WELLSPRING FARMS INC</t>
  </si>
  <si>
    <t>BURKHOLDER BROTHERS INC</t>
  </si>
  <si>
    <t>RPJ WASTE SERVICES INC</t>
  </si>
  <si>
    <t>ARROW SAFETY DEVICE COMPANY</t>
  </si>
  <si>
    <t>MICHAEL JOHN CACKOWSKI</t>
  </si>
  <si>
    <t>WARD-BOLAND ASSOCS INC</t>
  </si>
  <si>
    <t>YSI INCORPORATED</t>
  </si>
  <si>
    <t>CYPRESS CONSTRUCTION LLC</t>
  </si>
  <si>
    <t>A PLUS SEAMLESS GUTTERING</t>
  </si>
  <si>
    <t>MICHAEL B FINEGAN</t>
  </si>
  <si>
    <t>SETH KIRSCHNER</t>
  </si>
  <si>
    <t>BROADCAST MUSIC INC</t>
  </si>
  <si>
    <t>ROSEMARIE &amp; ROBERT SIMMONS</t>
  </si>
  <si>
    <t>LIZ SYMBORSKI</t>
  </si>
  <si>
    <t>AMERICAN BIRDING ASSOCIATION</t>
  </si>
  <si>
    <t>AMER ARBORIST SUP</t>
  </si>
  <si>
    <t>B &amp; B ENTERPRISE</t>
  </si>
  <si>
    <t>ANDERSON LANDSCAPING LLC</t>
  </si>
  <si>
    <t>BILBROUGHS ELECTRIC INC</t>
  </si>
  <si>
    <t>HICKS BROTHERS LLC</t>
  </si>
  <si>
    <t>SETTLEMENT PAYMENT</t>
  </si>
  <si>
    <t>GROUND PENETRATING RADAR SYSTEMS INC</t>
  </si>
  <si>
    <t>GREATER THAN MINISTRIES</t>
  </si>
  <si>
    <t>ANDREW GREENE</t>
  </si>
  <si>
    <t>BENJAMIN HANNAS</t>
  </si>
  <si>
    <t>GRIGCO USED OIL SERVICE</t>
  </si>
  <si>
    <t>LAWN &amp; GOLF SUP CO</t>
  </si>
  <si>
    <t>Douglas K Olson</t>
  </si>
  <si>
    <t>WILLIAM M DUNLEAVY &amp; CO INC</t>
  </si>
  <si>
    <t>ERCO INTERIOR SYS INC</t>
  </si>
  <si>
    <t>NATIONAL KIDNEY FOUNDATION</t>
  </si>
  <si>
    <t>ROBERT MATTHIAS</t>
  </si>
  <si>
    <t>SUSSEX MARINE CONSTRUCTION INC</t>
  </si>
  <si>
    <t>C&amp;M CONSTRUCTION COMPANY LLC</t>
  </si>
  <si>
    <t>LINDA SIMON</t>
  </si>
  <si>
    <t>AMERICAN RED CROSS DELMARVA PENINSULA</t>
  </si>
  <si>
    <t>SUZANNE NOVAL</t>
  </si>
  <si>
    <t>AMBER SHOEMATE</t>
  </si>
  <si>
    <t>Denise Austin</t>
  </si>
  <si>
    <t>STEPHANIE REISSNER</t>
  </si>
  <si>
    <t>RACHEL YOUNG</t>
  </si>
  <si>
    <t>ASHLEY HUGHES</t>
  </si>
  <si>
    <t>Relation Insurance Services - Specialty</t>
  </si>
  <si>
    <t>DELAWARE BREAST CANCER COALITION</t>
  </si>
  <si>
    <t>FORAKER OIL INCORPORATED</t>
  </si>
  <si>
    <t>JULIANN D EMORY</t>
  </si>
  <si>
    <t>SUDANOS PRODUCE LLC</t>
  </si>
  <si>
    <t>JULIE COONEY</t>
  </si>
  <si>
    <t>DENISE WESTBROOK</t>
  </si>
  <si>
    <t>ARF RENTAL SERVICES</t>
  </si>
  <si>
    <t>GEORGE ELLIOT</t>
  </si>
  <si>
    <t>TSN PUBLISHING DBA OUT &amp; ABOUT MAGAZINE</t>
  </si>
  <si>
    <t>PENNSY SUPPLY INC</t>
  </si>
  <si>
    <t>FUSION LAX</t>
  </si>
  <si>
    <t>TERESA ALLEN</t>
  </si>
  <si>
    <t>DANIELLE &amp; MATT BERGEZ</t>
  </si>
  <si>
    <t>FEIFISH LLC</t>
  </si>
  <si>
    <t>LOIS HOFFMAN</t>
  </si>
  <si>
    <t>LIMEN HOUSE</t>
  </si>
  <si>
    <t>Benjamin Croucher</t>
  </si>
  <si>
    <t>CANDI CAPORALE</t>
  </si>
  <si>
    <t>CYNTHIA PACE</t>
  </si>
  <si>
    <t>MCKESSON MEDICAL SURGICAL</t>
  </si>
  <si>
    <t>AUSTIN BERGERON</t>
  </si>
  <si>
    <t>DAN MCGINNIS</t>
  </si>
  <si>
    <t>PALMA RITI</t>
  </si>
  <si>
    <t>BRANDYWINE CAD DESIGN INC</t>
  </si>
  <si>
    <t>STEVEN &amp; BEATRICE POPA</t>
  </si>
  <si>
    <t>JOHN C SMITH</t>
  </si>
  <si>
    <t>CHRISTOPHER THOMPSON</t>
  </si>
  <si>
    <t>NANCY SATO &amp; MARK TUINMAN</t>
  </si>
  <si>
    <t>PAUL SEDACCA</t>
  </si>
  <si>
    <t>SHRUTI SHENAI</t>
  </si>
  <si>
    <t>SAFELITE FULFILLMENT INC</t>
  </si>
  <si>
    <t>Ludora Riegel</t>
  </si>
  <si>
    <t>SUSAN &amp; MATT LILLARD</t>
  </si>
  <si>
    <t>LINDA HIRSCH</t>
  </si>
  <si>
    <t>MID-ATLANTIC ELECTRICAL SERVICES INC</t>
  </si>
  <si>
    <t>TOWER HILL SCHOOL</t>
  </si>
  <si>
    <t>CHAMBERS MOTORS INC</t>
  </si>
  <si>
    <t>WESTERN TERMITE &amp; PEST CONTROL</t>
  </si>
  <si>
    <t>CAPITOL CLEANERS &amp; LAUNDERERS</t>
  </si>
  <si>
    <t>ELIZABETH BRETSCHER</t>
  </si>
  <si>
    <t>GEN-EL SAFETY &amp; IND PROD LLC</t>
  </si>
  <si>
    <t>ELECTRONICS DISTRIBUTION INC</t>
  </si>
  <si>
    <t>OUTERSPACES INC</t>
  </si>
  <si>
    <t>HUGH GOFFINET</t>
  </si>
  <si>
    <t>DIANE ANGELINE</t>
  </si>
  <si>
    <t>REGINA HOUPT</t>
  </si>
  <si>
    <t>MARGARET &amp; JAMES THOMPSON</t>
  </si>
  <si>
    <t>INDEPENDENT NEWSMEDIA INC USA</t>
  </si>
  <si>
    <t>SAFEWARE INC</t>
  </si>
  <si>
    <t>HOLLY REYNOLDS</t>
  </si>
  <si>
    <t>DOMINIC &amp; STACEY MUZZI</t>
  </si>
  <si>
    <t>STEPHEN FRENCH</t>
  </si>
  <si>
    <t>BRITNEY WHITBY</t>
  </si>
  <si>
    <t>ROBERT ROOT JR</t>
  </si>
  <si>
    <t>MICHAEL BROOK</t>
  </si>
  <si>
    <t>CHRISTINE DI SABATINO</t>
  </si>
  <si>
    <t>SETH HAMMONDS</t>
  </si>
  <si>
    <t>LEE HOEHN</t>
  </si>
  <si>
    <t>LYNN M KLEIN</t>
  </si>
  <si>
    <t>TRI-SUPPLY &amp; EQUIPMENT</t>
  </si>
  <si>
    <t>Kate Callihan</t>
  </si>
  <si>
    <t>JESSICA WILLIAMSON</t>
  </si>
  <si>
    <t>SLAUGHTER SEPTIC SERVICES INC</t>
  </si>
  <si>
    <t>VOSS SIGNS LLC</t>
  </si>
  <si>
    <t>VALERIE SMITH</t>
  </si>
  <si>
    <t>SUSSEX PRINTING CORP</t>
  </si>
  <si>
    <t>JENNIFER BLANKENSHIP</t>
  </si>
  <si>
    <t>HAMMERHEADS INC</t>
  </si>
  <si>
    <t>JAN WALKER</t>
  </si>
  <si>
    <t>ANDREW WAJID-ALI</t>
  </si>
  <si>
    <t>JOHN WISNER</t>
  </si>
  <si>
    <t>ROBERT NOVAK</t>
  </si>
  <si>
    <t>AMIE &amp; JASON WILLIAMS</t>
  </si>
  <si>
    <t>VERIZON &amp; DRAGO VASKO</t>
  </si>
  <si>
    <t>MOLLY &amp; BRETT VANSICKLE</t>
  </si>
  <si>
    <t>LINDA &amp; DEVIN DOYLE</t>
  </si>
  <si>
    <t>CATHERINE SOUZA</t>
  </si>
  <si>
    <t>MIRTA BELLVER</t>
  </si>
  <si>
    <t>SEAN CHAMBERS</t>
  </si>
  <si>
    <t>KATHLEEN CARTER</t>
  </si>
  <si>
    <t>ANNA DANEGGER</t>
  </si>
  <si>
    <t>SUSSEX CO 4H</t>
  </si>
  <si>
    <t>HOPE FOR SUCCESS INC</t>
  </si>
  <si>
    <t>MICHELLE MAXEY</t>
  </si>
  <si>
    <t>DARRYL BRYANT</t>
  </si>
  <si>
    <t>JOHN WALES</t>
  </si>
  <si>
    <t>PAUL TUKEY</t>
  </si>
  <si>
    <t>WAYNE KNOLLS</t>
  </si>
  <si>
    <t>DAVID L GIVENS</t>
  </si>
  <si>
    <t>CENVEO WORLDWIDE LIMITED</t>
  </si>
  <si>
    <t>ANDREW MCDONOUGH B+ FOUNDATION</t>
  </si>
  <si>
    <t>ABIGAIL SHEPARD</t>
  </si>
  <si>
    <t>MATTHEW THOMPSON</t>
  </si>
  <si>
    <t>DELAWARE  POLICE CHIEFS COUNCIL INC</t>
  </si>
  <si>
    <t>SIERRA BOUCHELLE</t>
  </si>
  <si>
    <t>Cynthia Pace</t>
  </si>
  <si>
    <t>SHANNAHAN WATER COMPANY LLC</t>
  </si>
  <si>
    <t>KRISTIN COMOLLI</t>
  </si>
  <si>
    <t>MCOGL</t>
  </si>
  <si>
    <t>LISA TIMBERS</t>
  </si>
  <si>
    <t>GLENN CATCHINGS</t>
  </si>
  <si>
    <t>JULIA &amp; FRAN COLE</t>
  </si>
  <si>
    <t>LINDA BELL</t>
  </si>
  <si>
    <t>GINA HASTINGS</t>
  </si>
  <si>
    <t>PETER CULLEY</t>
  </si>
  <si>
    <t>KATE &amp; JOHN ROWLANDS</t>
  </si>
  <si>
    <t>KAREN MCKINNON</t>
  </si>
  <si>
    <t>LINDA SHULTZ</t>
  </si>
  <si>
    <t>Jennifer Blankenship</t>
  </si>
  <si>
    <t>BRIDGET FANNON</t>
  </si>
  <si>
    <t>PASCO OF MILLSBORO</t>
  </si>
  <si>
    <t>DOMINIC MUZZI</t>
  </si>
  <si>
    <t>ST. ANNE'S EPISCOPAL SCHOOL</t>
  </si>
  <si>
    <t>JOE HAYS</t>
  </si>
  <si>
    <t>ELLEN S DIERENFELD</t>
  </si>
  <si>
    <t>TAMMY SEVERSON</t>
  </si>
  <si>
    <t>JANEY &amp; JEREMY KRAMLIK</t>
  </si>
  <si>
    <t>Grace Tinley</t>
  </si>
  <si>
    <t>SARAH PALMER</t>
  </si>
  <si>
    <t>SCORE SEED &amp; GARDEN SUPPLY</t>
  </si>
  <si>
    <t>JENNETTE &amp; SEAN FIRLEIN</t>
  </si>
  <si>
    <t>NIC DECAIRE</t>
  </si>
  <si>
    <t>HEATHER BARRETT</t>
  </si>
  <si>
    <t>BEEBE MEDICAL CENTER INC</t>
  </si>
  <si>
    <t>KATHRYN KADLUBAR</t>
  </si>
  <si>
    <t>Nicholas Madden</t>
  </si>
  <si>
    <t>J &amp; A GRINDING INC</t>
  </si>
  <si>
    <t>MIKE ARNDT</t>
  </si>
  <si>
    <t>ANDREW JONES</t>
  </si>
  <si>
    <t>MICHAEL HENRY</t>
  </si>
  <si>
    <t>HEATHER HIGGINS</t>
  </si>
  <si>
    <t>Laura Parks</t>
  </si>
  <si>
    <t>Marilyn Brown</t>
  </si>
  <si>
    <t>BSA TROOP 828 C/O CHERYL TOUNG</t>
  </si>
  <si>
    <t>John Barczak</t>
  </si>
  <si>
    <t>WILLIAM DATZ</t>
  </si>
  <si>
    <t>BSA TROOP 30 C/O MARK PASCHETAG</t>
  </si>
  <si>
    <t>JIM HEFFERNAN</t>
  </si>
  <si>
    <t>BRIAN BOSCOLO</t>
  </si>
  <si>
    <t>DAWN WILLIAMS</t>
  </si>
  <si>
    <t>ROSS &amp; BARR INC</t>
  </si>
  <si>
    <t>SEAN MCDEVITT</t>
  </si>
  <si>
    <t>SOPHIE TROY</t>
  </si>
  <si>
    <t>CHRISTINE VETTER</t>
  </si>
  <si>
    <t>OMB DELAWARE SURPLUS SERVICES</t>
  </si>
  <si>
    <t>DOVER PUBLICATIONS INC</t>
  </si>
  <si>
    <t>DELAWARE SUPERMARKETS INC</t>
  </si>
  <si>
    <t>SAUL EWING LLP</t>
  </si>
  <si>
    <t>ECKERT SEAMANS CHERIN &amp;</t>
  </si>
  <si>
    <t>AMAKOR INC</t>
  </si>
  <si>
    <t>DNREC P &amp; R MANAGEMENT &amp; SUPPORT</t>
  </si>
  <si>
    <t>CHAS S WINNER INC</t>
  </si>
  <si>
    <t>RICHARD'S PAVING INC</t>
  </si>
  <si>
    <t>TOWN OF MILTON INC</t>
  </si>
  <si>
    <t>MILES MEDIA GROUP LLLP</t>
  </si>
  <si>
    <t>PLAYCORE WISCONSIN INC</t>
  </si>
  <si>
    <t>WALLACE ROBERTS AND TODD LLC</t>
  </si>
  <si>
    <t>GREG STEFAN STUDIOS LLC</t>
  </si>
  <si>
    <t>AFFORDABLE HEATING &amp; A/C INC</t>
  </si>
  <si>
    <t>RHOADS INDUSTRIES INC</t>
  </si>
  <si>
    <t>MERESTONE CONSULTANTS INC</t>
  </si>
  <si>
    <t>HARBOR STONE CONSTRUCTION COMPANY LLC</t>
  </si>
  <si>
    <t>NILO ELECTRICAL CONTRACTORS LLC</t>
  </si>
  <si>
    <t>DALE COOPER LLC</t>
  </si>
  <si>
    <t>ADVANCED PAVEMENT GROUP CORP</t>
  </si>
  <si>
    <t>STEEN ASSOCIATES INC</t>
  </si>
  <si>
    <t>PRETTYMAN BUIDERS LLC</t>
  </si>
  <si>
    <t>LITECURE LLC</t>
  </si>
  <si>
    <t>COMPASS ENERGY INC</t>
  </si>
  <si>
    <t>OPTO INTERMEDIATE HOLDCO INC</t>
  </si>
  <si>
    <t>SUMMIT NORTH MARINA INC</t>
  </si>
  <si>
    <t>WIGGINS LIFT CO INC</t>
  </si>
  <si>
    <t>HERTRICH FLEET SERVICES INC</t>
  </si>
  <si>
    <t>DESIGN MINDS INC</t>
  </si>
  <si>
    <t>POWER SOLUTIONS ASSOCIATES</t>
  </si>
  <si>
    <t>INSIGHT PUBLIC SECTOR</t>
  </si>
  <si>
    <t>DOVER DOWNS INC</t>
  </si>
  <si>
    <t>MTM TECHNOLOGIES INC</t>
  </si>
  <si>
    <t>B &amp; H FOTO &amp; ELECTRONICS CORP</t>
  </si>
  <si>
    <t>STRATEGIC PERFORMANCE GROUP LLC</t>
  </si>
  <si>
    <t>HILL &amp; SMITH INC</t>
  </si>
  <si>
    <t>BIG PINE VENTURES LLC</t>
  </si>
  <si>
    <t>CORE &amp; MAIN LP</t>
  </si>
  <si>
    <t>BOULDEN INC</t>
  </si>
  <si>
    <t>DELAWARE GLASS SERVICES INC</t>
  </si>
  <si>
    <t>THOMAS A COCHRAN &amp; SON INC</t>
  </si>
  <si>
    <t>WILDERNESS CANOE TRIPS INC</t>
  </si>
  <si>
    <t>US RADAR INC</t>
  </si>
  <si>
    <t>ADAMS KEMP ASSOC INC</t>
  </si>
  <si>
    <t>JEFF BARTSCH INC</t>
  </si>
  <si>
    <t>HILLCREST ASSOCIATES INC</t>
  </si>
  <si>
    <t>ROBERT E DAVIS III</t>
  </si>
  <si>
    <t>NO FAULT LLC</t>
  </si>
  <si>
    <t>AMERICA LEARNS LLC</t>
  </si>
  <si>
    <t>TOWN OF FRANKFORD</t>
  </si>
  <si>
    <t>ROOF MENDERS INC</t>
  </si>
  <si>
    <t>MARK A RILEY</t>
  </si>
  <si>
    <t>TOWN OF SOUTH BETHANY</t>
  </si>
  <si>
    <t>NEXT DAY BLINDS CORPORATION</t>
  </si>
  <si>
    <t>DUFFIELD ASSOCIATES INC</t>
  </si>
  <si>
    <t>GUARDIAN ENVIRONMENTAL SERVICES CO INC</t>
  </si>
  <si>
    <t>BULLDOG MFG LLC</t>
  </si>
  <si>
    <t>DOODLE DESIGN INC</t>
  </si>
  <si>
    <t>WEATHERPROOFING TECH INC</t>
  </si>
  <si>
    <t>BRANDYWINE MANAGEMENT</t>
  </si>
  <si>
    <t>SEAGULL FENCE AND CONCRETE LLC</t>
  </si>
  <si>
    <t>CORNERS LIMITED</t>
  </si>
  <si>
    <t>JOHN FIORENTINO III</t>
  </si>
  <si>
    <t>EAGLE PUMP SYSTEMS LLC</t>
  </si>
  <si>
    <t>JACOBSON HAT CO INC</t>
  </si>
  <si>
    <t>ROBERT DERR RDS AUTOMOTIVE EQUIPMENT</t>
  </si>
  <si>
    <t>THE CUTTING EDGE OF DELAWARE INC</t>
  </si>
  <si>
    <t>STERN WILLIAMS COMPANY</t>
  </si>
  <si>
    <t>TRI-STATE BATTERY AND AUTO ELECTRIC INC</t>
  </si>
  <si>
    <t>WEST MARINE</t>
  </si>
  <si>
    <t>KLENZOID INC</t>
  </si>
  <si>
    <t>COMMERCE CONSTRUCTION CORPORATION</t>
  </si>
  <si>
    <t>RICHARD ROTHROCK</t>
  </si>
  <si>
    <t>MONTANA CONSERVATION CORPS INC</t>
  </si>
  <si>
    <t>BLANCKE MARINE SERVICES</t>
  </si>
  <si>
    <t>ALVIN WALKER DBA ALL CLEAN</t>
  </si>
  <si>
    <t>HOOK 'EM &amp; COOK 'EM</t>
  </si>
  <si>
    <t>LANGUAGE TRAINING CENTER</t>
  </si>
  <si>
    <t>BEYOND GUTTERS INC</t>
  </si>
  <si>
    <t>SCOTT R RIEDEL AND ASSOCIATES LIMITED</t>
  </si>
  <si>
    <t>MASTER LOCATERS INC</t>
  </si>
  <si>
    <t>THE PARK RANGER INSTITUTE</t>
  </si>
  <si>
    <t>TOYOTA MATERIAL HANDLING NORTHEAST INC</t>
  </si>
  <si>
    <t>GVMS - GREAT VALLEY</t>
  </si>
  <si>
    <t>DS SERVICES OF AMERICA INC</t>
  </si>
  <si>
    <t>GEO-SCI CONSULTANTS LLC</t>
  </si>
  <si>
    <t>DEAFINITIONS &amp; INTERPRETING LLC</t>
  </si>
  <si>
    <t>AUTISM DELAWARE</t>
  </si>
  <si>
    <t>STEVEN GOLD DBA BALL DIAMOND SERVICES</t>
  </si>
  <si>
    <t>COOPER BROS INC</t>
  </si>
  <si>
    <t>AQUAFLOW PUMP &amp; SUP</t>
  </si>
  <si>
    <t>RED WING SHOES (WESJEM INC)</t>
  </si>
  <si>
    <t>ATLANTIC TACTICAL</t>
  </si>
  <si>
    <t>AMERICAN PUBLIC SAFETY LLC</t>
  </si>
  <si>
    <t>SUSAN &amp; HAROLD THOMAS</t>
  </si>
  <si>
    <t>CAPE GAZETTE</t>
  </si>
  <si>
    <t>DELAWARE AUDIO VISUAL INTEGRATION &amp; DESI</t>
  </si>
  <si>
    <t>SUSSEX TREE INC</t>
  </si>
  <si>
    <t>Maryland Child Support Account</t>
  </si>
  <si>
    <t>CHIM GUARD CHIMNEY SWEEPS</t>
  </si>
  <si>
    <t>BROOKS COURIER SERVICE INC</t>
  </si>
  <si>
    <t>WILLIAMS SYNDROME ASSOCIATION</t>
  </si>
  <si>
    <t>COMPREHENSIVE DIAGNOSTIC CTR</t>
  </si>
  <si>
    <t>SHORE AQUARIUM SERVICES INC</t>
  </si>
  <si>
    <t>ALBAN TRACTOR CO INC</t>
  </si>
  <si>
    <t>RAYMOND KELLER</t>
  </si>
  <si>
    <t>JAMES NANCE</t>
  </si>
  <si>
    <t>IRON RANGERS LLC</t>
  </si>
  <si>
    <t>CAPTURED CONCEPTS LLC</t>
  </si>
  <si>
    <t>PARTNERSHIP FOR THE DELAWARE ESTUARY INC</t>
  </si>
  <si>
    <t>G M CONSTRUCTION</t>
  </si>
  <si>
    <t>LATONYA GILLIAM</t>
  </si>
  <si>
    <t>KELLY MEYER</t>
  </si>
  <si>
    <t>ERIN PRESLEY</t>
  </si>
  <si>
    <t>KEVIN STANISZEWSKI</t>
  </si>
  <si>
    <t>DREAM QUEST LTD</t>
  </si>
  <si>
    <t>EDGAR MAULL</t>
  </si>
  <si>
    <t>SUSSEX COUNTY 4-H</t>
  </si>
  <si>
    <t>ADAMS PARTS LLC</t>
  </si>
  <si>
    <t>THOMPSON &amp; SONS CONTRACTING INC</t>
  </si>
  <si>
    <t>DOVER NUNAN LLC</t>
  </si>
  <si>
    <t>JACQUE ANNE WILLIAMSON</t>
  </si>
  <si>
    <t>MELISSA HILL</t>
  </si>
  <si>
    <t>SARAH BRYSON</t>
  </si>
  <si>
    <t>BERLITE INC  CLEAR VIEW MICROSCOPE</t>
  </si>
  <si>
    <t>GROWMARK FS INC</t>
  </si>
  <si>
    <t>CYNTHIA AMAN</t>
  </si>
  <si>
    <t>CONTRACTORS MATERIAL</t>
  </si>
  <si>
    <t>ADEL B KORKOR FOUNDATION</t>
  </si>
  <si>
    <t>BRIAN STEPHEN BECKER</t>
  </si>
  <si>
    <t>PARDEE PLUMBING LLC</t>
  </si>
  <si>
    <t>EARLY MAN IMAGES INC</t>
  </si>
  <si>
    <t>ALISHA MALCARNE</t>
  </si>
  <si>
    <t>SHORE ELECTRIC INC</t>
  </si>
  <si>
    <t>C A TYRE ENTERTAINMENT</t>
  </si>
  <si>
    <t>KIDSTUFF PUBLICATIONS INC</t>
  </si>
  <si>
    <t>MICHAEL C VENDZULES</t>
  </si>
  <si>
    <t>CORMAN AND ASSOCIATES INC</t>
  </si>
  <si>
    <t>CLIFFORD K MCCALL</t>
  </si>
  <si>
    <t>KEVIN H SHORT TA THE REMINDERS</t>
  </si>
  <si>
    <t>ELITE FASHION ACCESSORIES CORP</t>
  </si>
  <si>
    <t>DUANE DOUGLAS</t>
  </si>
  <si>
    <t>SEALAKE PRODUCTS LLC</t>
  </si>
  <si>
    <t>DAMON TVARYANAS</t>
  </si>
  <si>
    <t>KELLY FARRELL</t>
  </si>
  <si>
    <t>EASE YOUR MIND ENTERTAINMENT</t>
  </si>
  <si>
    <t>SUMMIT MECHANICAL INC</t>
  </si>
  <si>
    <t>PAMELA W GORDY</t>
  </si>
  <si>
    <t>MARK LEARY</t>
  </si>
  <si>
    <t>KAY WACHTER</t>
  </si>
  <si>
    <t>LIBERTY COCA-COLA BEVERAGES LLC</t>
  </si>
  <si>
    <t>BRAVO LOCK &amp; SAFE CO</t>
  </si>
  <si>
    <t>THOMAS SCIENTIFIC INC</t>
  </si>
  <si>
    <t>BUILDING PRESERVATION SERVICES</t>
  </si>
  <si>
    <t>MATHEW SMITH</t>
  </si>
  <si>
    <t>SANFORD SCHOOL</t>
  </si>
  <si>
    <t>ANDREW SCHARFF</t>
  </si>
  <si>
    <t>HARPERS TRANSPORTATION INC</t>
  </si>
  <si>
    <t>CHRISTOPHER BRADDOCK</t>
  </si>
  <si>
    <t>JOHN FRANCIS MORAN</t>
  </si>
  <si>
    <t>MATT GISH</t>
  </si>
  <si>
    <t>GAIL PINEAULT</t>
  </si>
  <si>
    <t>JEFFERY C NORTHEY</t>
  </si>
  <si>
    <t>KENCOR INC</t>
  </si>
  <si>
    <t>PAMELA K MINOR</t>
  </si>
  <si>
    <t>LINDSEY SMITH</t>
  </si>
  <si>
    <t>James F Garee</t>
  </si>
  <si>
    <t>MIKE RUSCK</t>
  </si>
  <si>
    <t>TOMMY &amp; KAREN MARVASO</t>
  </si>
  <si>
    <t>RICHARD SZUTENBACH II</t>
  </si>
  <si>
    <t>CHIP PIERCE</t>
  </si>
  <si>
    <t>RODNEY THOMPSON MIDDLE SCHOOL</t>
  </si>
  <si>
    <t>KELLEY PRICE</t>
  </si>
  <si>
    <t>SETH KUSHKIN - TOWER HILL SCHOOL</t>
  </si>
  <si>
    <t>LEO ESCHBACH</t>
  </si>
  <si>
    <t>JERRY  LEE ADKINS</t>
  </si>
  <si>
    <t>STEFFI M HOLMES</t>
  </si>
  <si>
    <t>ALBERT H KLEINSCHMIDT</t>
  </si>
  <si>
    <t>PHILIP CALABRESE</t>
  </si>
  <si>
    <t>WEAVERS SANITATION LLC</t>
  </si>
  <si>
    <t>HOPKINS AND SONS INC</t>
  </si>
  <si>
    <t>NASTASSIA PARKER</t>
  </si>
  <si>
    <t>INSTA SIGNS PLUS INC</t>
  </si>
  <si>
    <t>ENVIRONMENTAL RESOURCE ASSOCIATES</t>
  </si>
  <si>
    <t>DEANA CRONK</t>
  </si>
  <si>
    <t>JAMES TERRY</t>
  </si>
  <si>
    <t>CARA LEE MACDONALD</t>
  </si>
  <si>
    <t>FAITH BROWN WOOD</t>
  </si>
  <si>
    <t>WEST CHESTER SWING KINGS</t>
  </si>
  <si>
    <t>DEBBIE ORTIZ</t>
  </si>
  <si>
    <t>PATRICIA S HARDER</t>
  </si>
  <si>
    <t>KRIS HUNTINGTON</t>
  </si>
  <si>
    <t>LISA M SCHIRTZINGER</t>
  </si>
  <si>
    <t>AMY CALLOWAY</t>
  </si>
  <si>
    <t>MARY LOU SAVERY</t>
  </si>
  <si>
    <t>MICHAEL W FROMM</t>
  </si>
  <si>
    <t>THE CORNER GARAGE LLC</t>
  </si>
  <si>
    <t>RACHAEL PHILLOS</t>
  </si>
  <si>
    <t>DAVID JOHNSON</t>
  </si>
  <si>
    <t>DANIELLE BERGEZ</t>
  </si>
  <si>
    <t>LIZA NELSON</t>
  </si>
  <si>
    <t>WICKED R WESTERN PROD INC</t>
  </si>
  <si>
    <t>MELISSA ALESI</t>
  </si>
  <si>
    <t>MUSICOPIA</t>
  </si>
  <si>
    <t>1ST DELAWARE REGIMENT</t>
  </si>
  <si>
    <t>JEFF HAGUE</t>
  </si>
  <si>
    <t>MICHAEL HITCH</t>
  </si>
  <si>
    <t>DOTTIE ALMONEY</t>
  </si>
  <si>
    <t>BEAR MATERIALS LLC</t>
  </si>
  <si>
    <t>MARY ANN WYATT</t>
  </si>
  <si>
    <t>WENDY COPITHORNE</t>
  </si>
  <si>
    <t>BLUE RIDGE YURTS LLC</t>
  </si>
  <si>
    <t>MIRIAM MADDEN</t>
  </si>
  <si>
    <t>ANNA MARCOTTE</t>
  </si>
  <si>
    <t>JULIA SANTINI</t>
  </si>
  <si>
    <t>ROSE STRAB</t>
  </si>
  <si>
    <t>LOVELL DESIGNS INC</t>
  </si>
  <si>
    <t>EDWARD GERTLER</t>
  </si>
  <si>
    <t>ELIZABETH MEAD</t>
  </si>
  <si>
    <t>JENN CROWELL</t>
  </si>
  <si>
    <t>MELODY ONESCHUK</t>
  </si>
  <si>
    <t>NECIA J BECK</t>
  </si>
  <si>
    <t>DOVER ENGLISH COUNTRY DANCERS</t>
  </si>
  <si>
    <t>LAUREN CORNELL</t>
  </si>
  <si>
    <t>ZACHARY C COFFMAN</t>
  </si>
  <si>
    <t>BETHANY JUBILEE</t>
  </si>
  <si>
    <t>JOHN LIN</t>
  </si>
  <si>
    <t>JILL &amp; MIKE DiPAOLO</t>
  </si>
  <si>
    <t>RICHARD M HUDSON</t>
  </si>
  <si>
    <t>HILTON BUS LLC</t>
  </si>
  <si>
    <t>SUSANNAH SYDELL</t>
  </si>
  <si>
    <t>MEAGAN MAY</t>
  </si>
  <si>
    <t>SARAH ZIMMERMAN</t>
  </si>
  <si>
    <t>CHIMNEYS INC LLC</t>
  </si>
  <si>
    <t>NANCY SATO</t>
  </si>
  <si>
    <t>BART GOLDBERG</t>
  </si>
  <si>
    <t>MIKE HOLT ENTERPRISES</t>
  </si>
  <si>
    <t>RCP IV LLC DBA PORTER FORD MITSUBISHI</t>
  </si>
  <si>
    <t>FAIRWINDS CHRISTIAN SCHOOL</t>
  </si>
  <si>
    <t>DENVER ZOOLOGICAL FOUNDATION INC</t>
  </si>
  <si>
    <t>KAPLAN EARLY LEARNING CO</t>
  </si>
  <si>
    <t>GINA BOWERS</t>
  </si>
  <si>
    <t>KRISTIN TOMCZAK</t>
  </si>
  <si>
    <t>THE PINOLA CONSERVANCY</t>
  </si>
  <si>
    <t>VIVIEN MAKOS</t>
  </si>
  <si>
    <t>GRACE WARNICK CRHS ARVED</t>
  </si>
  <si>
    <t>HAWKINS &amp; SONS</t>
  </si>
  <si>
    <t>GEORGE WILLIAMS</t>
  </si>
  <si>
    <t>GW JERRY THOMPSON</t>
  </si>
  <si>
    <t>KIRSTEN MURRAY</t>
  </si>
  <si>
    <t>DC-AFS AIR TEAM</t>
  </si>
  <si>
    <t>DENNIS MCMULLAN</t>
  </si>
  <si>
    <t>VERMEER SALES &amp; SERVICE INC</t>
  </si>
  <si>
    <t>BEST PLUMBING SPECIALTIES INC</t>
  </si>
  <si>
    <t>WESTTOWN SCHOOL</t>
  </si>
  <si>
    <t>STATE COLLEGE FRIENDS SCHOOL</t>
  </si>
  <si>
    <t>BREANNA PIERCE</t>
  </si>
  <si>
    <t>HENRIETTA BELLMAN</t>
  </si>
  <si>
    <t>KIMBERLY MOORE</t>
  </si>
  <si>
    <t>RAMSEY'S FARM</t>
  </si>
  <si>
    <t>BST 835 / ALLEN</t>
  </si>
  <si>
    <t>CHRISTINA KUPSICK</t>
  </si>
  <si>
    <t>MICHAEL DUNN</t>
  </si>
  <si>
    <t>DEVON ADAMS</t>
  </si>
  <si>
    <t>BST 158 / LAIRD</t>
  </si>
  <si>
    <t>TRI-DIM FILTER CORP</t>
  </si>
  <si>
    <t>STATE OF NEW JERSEY</t>
  </si>
  <si>
    <t>ANGERSTEIN PROPERTIES LLC</t>
  </si>
  <si>
    <t>E SHAWN QAISSAUNEE</t>
  </si>
  <si>
    <t>DOWNTOWN DOVER PARTNERSHIP</t>
  </si>
  <si>
    <t>STANDARD INDUSTRIAL SUPPLY CO INC</t>
  </si>
  <si>
    <t>NATIONAL CONSTRUCTION RENTALS</t>
  </si>
  <si>
    <t>THOMAS R SMITH</t>
  </si>
  <si>
    <t>JAYME GRAVELL</t>
  </si>
  <si>
    <t>Internal Revenue Service</t>
  </si>
  <si>
    <t>RICHARD R SCHUMAN</t>
  </si>
  <si>
    <t>CAMPUS COMMUNITY SCHOOL</t>
  </si>
  <si>
    <t>ANDREA MANGUM</t>
  </si>
  <si>
    <t>CAESAR RODNEY DISTRICT OFFICE</t>
  </si>
  <si>
    <t>BEST EQUIPMENT INC</t>
  </si>
  <si>
    <t>MTM RECOGNITION</t>
  </si>
  <si>
    <t>ROBENIA BOLLING</t>
  </si>
  <si>
    <t>DANA BOULDEN</t>
  </si>
  <si>
    <t>CHRISTIE BONNIWELL</t>
  </si>
  <si>
    <t>FAIRFAX HARDWARE</t>
  </si>
  <si>
    <t>COURTNEY FIRTH</t>
  </si>
  <si>
    <t>ELLIOTT DELANE JR</t>
  </si>
  <si>
    <t>JOSE SANTIAGO</t>
  </si>
  <si>
    <t>KATHLEEN FISHER</t>
  </si>
  <si>
    <t>CSP 865 / KLEMM</t>
  </si>
  <si>
    <t>BS TROOP 315</t>
  </si>
  <si>
    <t>BST 116 / KLINE</t>
  </si>
  <si>
    <t>BST 260 / MURRAY</t>
  </si>
  <si>
    <t>EMILY SMULOWITZ</t>
  </si>
  <si>
    <t>RON HUNT</t>
  </si>
  <si>
    <t>PETER G ABESSINIO</t>
  </si>
  <si>
    <t>GST 70595 / HOUCK</t>
  </si>
  <si>
    <t>BST 313 / FRETZ</t>
  </si>
  <si>
    <t>CRAIG D DEPPE</t>
  </si>
  <si>
    <t>BETH SHARP</t>
  </si>
  <si>
    <t>ERIN BROWNAWELL</t>
  </si>
  <si>
    <t>CHRISTA ANDERSEN</t>
  </si>
  <si>
    <t>THE KEY SCHOOL</t>
  </si>
  <si>
    <t>PATTI BEBBINGTON</t>
  </si>
  <si>
    <t>KEN AGATONE</t>
  </si>
  <si>
    <t>CHRISTA ANDERSON</t>
  </si>
  <si>
    <t>CENVEO CORP</t>
  </si>
  <si>
    <t>ANNE FENIMORE</t>
  </si>
  <si>
    <t>TERENCE LTNAM</t>
  </si>
  <si>
    <t>ALISSA DeMONT</t>
  </si>
  <si>
    <t>LATISHA JACKSON</t>
  </si>
  <si>
    <t>MICHAEL GRAHAM</t>
  </si>
  <si>
    <t>LOUIS TALLARICO</t>
  </si>
  <si>
    <t>BOY SCOUT TROOP PACK 960</t>
  </si>
  <si>
    <t>BST TROOP 239</t>
  </si>
  <si>
    <t>BST 24 / SUNDE</t>
  </si>
  <si>
    <t>BST 50 / BEBBINGTON</t>
  </si>
  <si>
    <t>MARIAN SERAT</t>
  </si>
  <si>
    <t>HILARY MADEN</t>
  </si>
  <si>
    <t>VERITIV OPERATING COMAPNY</t>
  </si>
  <si>
    <t>JOY CANNON</t>
  </si>
  <si>
    <t>KENT CONSTRUCTION CO INC</t>
  </si>
  <si>
    <t>ADVENTURE TRAILERS</t>
  </si>
  <si>
    <t>TOWN OF LEIPSIC</t>
  </si>
  <si>
    <t>ROHRER ENTERPRISES INC</t>
  </si>
  <si>
    <t>I G BURTON &amp; CO INC</t>
  </si>
  <si>
    <t>THORN ELECTRIC</t>
  </si>
  <si>
    <t>BEST BUILT CONSTRUCTION INC</t>
  </si>
  <si>
    <t>UNIVERSAL SERVICES ASSOCIATES</t>
  </si>
  <si>
    <t>BRAND DESIGN CO INC</t>
  </si>
  <si>
    <t>MCLAUGHLIN ERECTORS INC</t>
  </si>
  <si>
    <t>L WILSON MASONRY INC</t>
  </si>
  <si>
    <t>ERCO CEILINGS &amp; INTERIORS</t>
  </si>
  <si>
    <t>DELAWARE RIVER &amp; BAY AUTHORITY</t>
  </si>
  <si>
    <t>TURNER SCULPTURE</t>
  </si>
  <si>
    <t>CITY ELECTRIC CONTRACTING CO</t>
  </si>
  <si>
    <t>PELSA COMPANY</t>
  </si>
  <si>
    <t>ERICA A MILLER</t>
  </si>
  <si>
    <t>VOHNE LICHE KENNELS INC</t>
  </si>
  <si>
    <t>STANLEY SMOKLER SCULPTURE</t>
  </si>
  <si>
    <t>TRAFCON INDUSTRIES INC</t>
  </si>
  <si>
    <t>BENJAMIN WEBB SR</t>
  </si>
  <si>
    <t>GARVILLA SERVICES INC</t>
  </si>
  <si>
    <t>TOWN OF FARMINGTON</t>
  </si>
  <si>
    <t>REYBOLD CONSTRUCTION GROUP LLC</t>
  </si>
  <si>
    <t>BAYSIDE EXTERIORS LLC</t>
  </si>
  <si>
    <t>APEX ENGINEERING INC</t>
  </si>
  <si>
    <t>CUTTING EDGE OF DELAWARE</t>
  </si>
  <si>
    <t>GREEN GRAZER GOATS</t>
  </si>
  <si>
    <t>JOSEPH T RICHARDSON INC</t>
  </si>
  <si>
    <t>W E SHONE COMPANY DBA SHONE LUMBER</t>
  </si>
  <si>
    <t>MULTI-PAK USA INC</t>
  </si>
  <si>
    <t>COUNTERPARTS LLC</t>
  </si>
  <si>
    <t>PIPE PROS JETTING &amp; PLUMBING LLC</t>
  </si>
  <si>
    <t>CAPITOL BOILER WORKS INC</t>
  </si>
  <si>
    <t>RICHARD GRUBB AND ASSOCIATES INC</t>
  </si>
  <si>
    <t>SHI INTERNATIONAL CORP</t>
  </si>
  <si>
    <t>COASTAL WOOD INDUSTRIES</t>
  </si>
  <si>
    <t>GALLS LLC</t>
  </si>
  <si>
    <t>ANIMAL SPEC &amp; PROVISIONS</t>
  </si>
  <si>
    <t>LEWES PIGS LLC</t>
  </si>
  <si>
    <t>POWELL DRILLING AND SERVICES INCORPORATE</t>
  </si>
  <si>
    <t>EARTH ANCHORING SUPPLIERS LLC</t>
  </si>
  <si>
    <t>FURLOW ASSOC INC</t>
  </si>
  <si>
    <t>LONG FENCE CO INC</t>
  </si>
  <si>
    <t>C S WEBB DAUGHTER &amp; SON INC</t>
  </si>
  <si>
    <t>MONAGHAN FENCE CO</t>
  </si>
  <si>
    <t>FOUNTAIN CAULKING CO INC</t>
  </si>
  <si>
    <t>STRATEGIC EQUIPMENT LLC</t>
  </si>
  <si>
    <t>A-1 MIDDLETOWN TENTS AND EVENTS INC</t>
  </si>
  <si>
    <t>STANDARD PIPE SERVICES LLC</t>
  </si>
  <si>
    <t>TUDOR ELECTRIC INC</t>
  </si>
  <si>
    <t>APPRAISAL ASSOC</t>
  </si>
  <si>
    <t>DLT SOLUTIONS LLC</t>
  </si>
  <si>
    <t>CUSTOM IRON SHOP INC</t>
  </si>
  <si>
    <t>SERTIFIED LLC</t>
  </si>
  <si>
    <t>REBECCA MCGOVERN</t>
  </si>
  <si>
    <t>AIR MAX LLC</t>
  </si>
  <si>
    <t>JEFFREY MOORE</t>
  </si>
  <si>
    <t>SOUTHLAND INSULATORS OF DELAWARE LLC</t>
  </si>
  <si>
    <t>OHIOPYLE PRINTS INC</t>
  </si>
  <si>
    <t>MID ATLANTIC PRODUCTS INC</t>
  </si>
  <si>
    <t>STEVEN FENDER DBA SHED OUTLET</t>
  </si>
  <si>
    <t>ENVIREP INC</t>
  </si>
  <si>
    <t>LINDA BROWN</t>
  </si>
  <si>
    <t>PAUL HARRIS</t>
  </si>
  <si>
    <t>JOHNSON CONTROLS FIRE PROTECTION LP</t>
  </si>
  <si>
    <t>MANSFIELD OIL COMPANY OF GAINESVILLE INC</t>
  </si>
  <si>
    <t>SMITH PAINTING INC</t>
  </si>
  <si>
    <t>PEAK PERFORMANCE CONTR LLC</t>
  </si>
  <si>
    <t>RUSSELL MELANSON</t>
  </si>
  <si>
    <t>NATIONAL NURSE-LED CARE CONSORTIUM</t>
  </si>
  <si>
    <t>TIM WATERS</t>
  </si>
  <si>
    <t>ROY KLEBE</t>
  </si>
  <si>
    <t>JAIME MUNOZ DBA CREATIVE PAINTINGS</t>
  </si>
  <si>
    <t>STEVEN A CAMERON</t>
  </si>
  <si>
    <t>WERTZ AND CO INC</t>
  </si>
  <si>
    <t>TAYLOR STUDIOS INC</t>
  </si>
  <si>
    <t>MR ROBERT WARIHAY</t>
  </si>
  <si>
    <t>PEAK PERFORMANCE SERV. INC</t>
  </si>
  <si>
    <t>SUPERIOR YARDWORKS INC</t>
  </si>
  <si>
    <t>HEMKER PARK &amp; ZOO</t>
  </si>
  <si>
    <t>WILLIAM LEPP</t>
  </si>
  <si>
    <t>JOHN ENCH</t>
  </si>
  <si>
    <t>MERIT MECHANICAL CO INC</t>
  </si>
  <si>
    <t>DHSS GOVERNOR BACON</t>
  </si>
  <si>
    <t>MICHAEL HINDT DBA ENVIROTEMP</t>
  </si>
  <si>
    <t>LOOCKERMANS TREE AND STUMP</t>
  </si>
  <si>
    <t>BARRY-OWEN CO INC</t>
  </si>
  <si>
    <t>MICHAEL MENDES</t>
  </si>
  <si>
    <t>BILL RIENHOFF</t>
  </si>
  <si>
    <t>SHURELINE ELECTRICAL INC</t>
  </si>
  <si>
    <t>KEVIN H SHORT</t>
  </si>
  <si>
    <t>ILLINOIS RAILWAY MUSEUM INC</t>
  </si>
  <si>
    <t>AUTOMOTIVE SERVICES INC</t>
  </si>
  <si>
    <t>MARTIN MARIETTA MATERIALS INC</t>
  </si>
  <si>
    <t>GANNETT CO INC DBA THE NEWS JOURNAL MEDI</t>
  </si>
  <si>
    <t>ZOOLOGICAL SOCIETY OF PHILADELPHIA</t>
  </si>
  <si>
    <t>JOHN COVINGTON</t>
  </si>
  <si>
    <t>RED THE UNIFORM TAILOR</t>
  </si>
  <si>
    <t>WILSON FLEET &amp; EQUIPMT SER</t>
  </si>
  <si>
    <t>DENNIS DINGER</t>
  </si>
  <si>
    <t>ANDREW A WHITEHEAD ESQ</t>
  </si>
  <si>
    <t>STAR LINEN</t>
  </si>
  <si>
    <t>HORNS MACHINE SHOP INC</t>
  </si>
  <si>
    <t>DATA GUARD INC</t>
  </si>
  <si>
    <t>ENVIRONMENTAL RESOURCES INC</t>
  </si>
  <si>
    <t>LEWES-REHOBOTH ROTARY CLUB</t>
  </si>
  <si>
    <t>DEVINE'S INC</t>
  </si>
  <si>
    <t>WILCOX LANDSCAPING</t>
  </si>
  <si>
    <t>UNDERGROUND PROTECTION INC</t>
  </si>
  <si>
    <t>CHRIS URBAN</t>
  </si>
  <si>
    <t>GREGG &amp; SONS MECHANICAL</t>
  </si>
  <si>
    <t>COZY QUARTERS FARM</t>
  </si>
  <si>
    <t>JONATHAN RICHARDSON</t>
  </si>
  <si>
    <t>WIND RIVER ENVIRIONMENTAL DBA ROSEYS</t>
  </si>
  <si>
    <t>RICHARD L EWING</t>
  </si>
  <si>
    <t>VERITEXT CORP</t>
  </si>
  <si>
    <t>WELL BY NATURE</t>
  </si>
  <si>
    <t>K9BITEDR LLC</t>
  </si>
  <si>
    <t>MYSTIC SEAPORT MUSEUM INC</t>
  </si>
  <si>
    <t>SAVANNAH ANIMAL HOSPITAL LLC</t>
  </si>
  <si>
    <t>S G WILLIAMS &amp; BROS CO INC</t>
  </si>
  <si>
    <t>M &amp; H ENTERPRISES INC</t>
  </si>
  <si>
    <t>CAPITAL SCHOOL DISTRICT</t>
  </si>
  <si>
    <t>WOODROW J MARVEL</t>
  </si>
  <si>
    <t>WINDISH MUSIC AND PRODUCTIONS</t>
  </si>
  <si>
    <t>BAY BEYOND INC</t>
  </si>
  <si>
    <t>CHARLES SKINNER</t>
  </si>
  <si>
    <t>STEVE BINNIG</t>
  </si>
  <si>
    <t>HMSHOST CORPORATION</t>
  </si>
  <si>
    <t>JOHN  LAMEDICA DBA JUNGLE JOHN ENTERTA</t>
  </si>
  <si>
    <t>LIBERTY ELEVATOR EXPERTS LLC</t>
  </si>
  <si>
    <t>REEDY POINT PLAYERS LTD</t>
  </si>
  <si>
    <t>RAY AQUINO</t>
  </si>
  <si>
    <t>ANCHOR FENCE OF DE</t>
  </si>
  <si>
    <t>WALKER  AND  LABERGE OF DELAWARE INC</t>
  </si>
  <si>
    <t>BRIDGEVILLE RIFLE</t>
  </si>
  <si>
    <t>HEATHER BLANCH</t>
  </si>
  <si>
    <t>PPC LUBRICANTS INC</t>
  </si>
  <si>
    <t>CAROLINE ANN GREENE</t>
  </si>
  <si>
    <t>INDIAN RIVER EDUCATIONAL COMPLEX</t>
  </si>
  <si>
    <t>KAREN RODRIGUEZ</t>
  </si>
  <si>
    <t>COMPLIANCE ENVIROMENTAL INC</t>
  </si>
  <si>
    <t>TRUGREEN COMPANIES LLC</t>
  </si>
  <si>
    <t>THE JUGGLING HOFFMANS</t>
  </si>
  <si>
    <t>MARTIN COUGHLIN</t>
  </si>
  <si>
    <t>KENNETH GILDEA</t>
  </si>
  <si>
    <t>DONOVAN MARINE INC</t>
  </si>
  <si>
    <t>JONATHAN WICKERT</t>
  </si>
  <si>
    <t>JACOB MILLER</t>
  </si>
  <si>
    <t>R E MICHEL CO INC</t>
  </si>
  <si>
    <t>MILLMANS APPLIANCES</t>
  </si>
  <si>
    <t>GEIGER BROTHERS</t>
  </si>
  <si>
    <t>JOHN A CLARK</t>
  </si>
  <si>
    <t>NANCY ELLEN GARDNER</t>
  </si>
  <si>
    <t>LAURIE BROWN</t>
  </si>
  <si>
    <t>RED INC</t>
  </si>
  <si>
    <t>MARTEK OF MARYLAND INC</t>
  </si>
  <si>
    <t>MAINELY BUOYS LLC</t>
  </si>
  <si>
    <t>DELAWARE RIVER BASIN COMMISSION</t>
  </si>
  <si>
    <t>GREATER WILMINGTON CONVENTION &amp; VISITORS</t>
  </si>
  <si>
    <t>KEVIN W COTTMAN</t>
  </si>
  <si>
    <t>ANGELA MITCHELL</t>
  </si>
  <si>
    <t>WILLIAM MCDANIEL</t>
  </si>
  <si>
    <t>NORTH STAR</t>
  </si>
  <si>
    <t>ACTION SPECIAL EVENT PRODUCTIONS RENTALS</t>
  </si>
  <si>
    <t>J MELCHIORRE &amp; SONS INC</t>
  </si>
  <si>
    <t>FAIRWAY MFG CO</t>
  </si>
  <si>
    <t>PTL CHIMNEY &amp; WATERPROOFING SERVICES INC</t>
  </si>
  <si>
    <t>TERITA MCMENAMIN REEVE</t>
  </si>
  <si>
    <t>XPEDX</t>
  </si>
  <si>
    <t>MADISON BAY CO</t>
  </si>
  <si>
    <t>KATHARINE SARA JACKSON CANNON</t>
  </si>
  <si>
    <t>SAFEGUARD DOCUMENT DESTRUCTION</t>
  </si>
  <si>
    <t>CHESTER COUNTY BAMBOO LLC</t>
  </si>
  <si>
    <t>SUSAN M PLAISTED</t>
  </si>
  <si>
    <t>JAMES G MCGIFFIN JR</t>
  </si>
  <si>
    <t>CHARLIE LYNCH</t>
  </si>
  <si>
    <t>PARK PARTNERS INC</t>
  </si>
  <si>
    <t>ASHLEY KROON</t>
  </si>
  <si>
    <t>CINDY LORING</t>
  </si>
  <si>
    <t>SKYTOP IMAGES LLC</t>
  </si>
  <si>
    <t>LINDA K JENNINGS</t>
  </si>
  <si>
    <t>JONATHAN COHEN</t>
  </si>
  <si>
    <t>KRISTEN CAMPBELL</t>
  </si>
  <si>
    <t>DAVID BARTOO</t>
  </si>
  <si>
    <t>SANDRA GINGRICH</t>
  </si>
  <si>
    <t>MDS INTERPRETING LLC</t>
  </si>
  <si>
    <t>JASON DEAN</t>
  </si>
  <si>
    <t>SECURITY GUARD INC DBA GETTIER SECURTIY</t>
  </si>
  <si>
    <t>GEORGE R SMALLWOOD</t>
  </si>
  <si>
    <t>CHRISTOPHER P BENNETT</t>
  </si>
  <si>
    <t>CONNEY SAFETY PRODUCTS LLC</t>
  </si>
  <si>
    <t>EMED CO INC</t>
  </si>
  <si>
    <t>ANDY STYER</t>
  </si>
  <si>
    <t>THOMAS LENHARD</t>
  </si>
  <si>
    <t>MARK KAMMER</t>
  </si>
  <si>
    <t>CAROLINE FOLTZ</t>
  </si>
  <si>
    <t>SECURITAS ELECTRONIC SECURITY INC</t>
  </si>
  <si>
    <t>DEMPSEY'S SERV CTR</t>
  </si>
  <si>
    <t>VWR INTERNATIONAL LLC</t>
  </si>
  <si>
    <t>KOMPRESSED AIR OF DEL INC</t>
  </si>
  <si>
    <t>CHARLES BROWN</t>
  </si>
  <si>
    <t>MARY MARCZELY</t>
  </si>
  <si>
    <t>ANNE CHEYNEY</t>
  </si>
  <si>
    <t>KRISTINA BROSIOUS</t>
  </si>
  <si>
    <t>WILSON BAKER INC</t>
  </si>
  <si>
    <t>RAMONA D LONG</t>
  </si>
  <si>
    <t>SIMON BROWN</t>
  </si>
  <si>
    <t>TANYJAH WRIGHT</t>
  </si>
  <si>
    <t>JANE MOTT MILLER</t>
  </si>
  <si>
    <t>LARKIN'S BUS SERVICE LLC</t>
  </si>
  <si>
    <t>KENNETH BALKUS</t>
  </si>
  <si>
    <t>ROBERT EHEMANN</t>
  </si>
  <si>
    <t>STATE OF DELAWARE</t>
  </si>
  <si>
    <t>RICHARD GREEN</t>
  </si>
  <si>
    <t>ANGELA NATRIN</t>
  </si>
  <si>
    <t>DELAWARE NURSEY &amp; LANDSCAPING ASSOC</t>
  </si>
  <si>
    <t>SHANNON LIVINGSTON</t>
  </si>
  <si>
    <t>WENDY A FREEMAN</t>
  </si>
  <si>
    <t>TODD LOBAUGH</t>
  </si>
  <si>
    <t>THOMAS YATES</t>
  </si>
  <si>
    <t>BUILDING SYS &amp; SVCS INC</t>
  </si>
  <si>
    <t>LARRY CROSSWELL</t>
  </si>
  <si>
    <t>LINDA D CARTER</t>
  </si>
  <si>
    <t>SARA ANN GARRISON</t>
  </si>
  <si>
    <t>BYLERS STOVE SHOPPE INC</t>
  </si>
  <si>
    <t>ROBERT MOODY</t>
  </si>
  <si>
    <t>LYNN KOEHLER</t>
  </si>
  <si>
    <t>BICAST</t>
  </si>
  <si>
    <t>MCDONALD SAFETY EQUIPMENT INC.</t>
  </si>
  <si>
    <t>ROBERT TERRY</t>
  </si>
  <si>
    <t>RJ LOCK  SECURITY OF THE EASTERN SHOR</t>
  </si>
  <si>
    <t>KOOL ICE &amp; SEAFOOD CO INC</t>
  </si>
  <si>
    <t>JESSICA GRAAE</t>
  </si>
  <si>
    <t>ACTION UNLIMITED RESOURCES INC</t>
  </si>
  <si>
    <t>DEBRA BIALECKI</t>
  </si>
  <si>
    <t>ROBERT P CROCE</t>
  </si>
  <si>
    <t>ANGELEE GEROVASILIOU</t>
  </si>
  <si>
    <t>GREENBANK MILL ASSOC</t>
  </si>
  <si>
    <t>DENNIS EAST INTERNATIONAL</t>
  </si>
  <si>
    <t>JANET CHARLSEN</t>
  </si>
  <si>
    <t>HERITAGE CRYSTAL CLEAN INC</t>
  </si>
  <si>
    <t>ALEXANDER J FORVEY</t>
  </si>
  <si>
    <t>LARRY QUILLEN</t>
  </si>
  <si>
    <t>LEISL STACY</t>
  </si>
  <si>
    <t>ELIZABETH SCOTT</t>
  </si>
  <si>
    <t>RANDALL BURRIDGE</t>
  </si>
  <si>
    <t>BEV HARRINGTON</t>
  </si>
  <si>
    <t>BOB BOHANNON</t>
  </si>
  <si>
    <t>RAY MEGONIGAL</t>
  </si>
  <si>
    <t>DESIGN MASTER ASSOCIATES</t>
  </si>
  <si>
    <t>CYNTHIA TODD</t>
  </si>
  <si>
    <t>ELIZABETH IRENE GREEN</t>
  </si>
  <si>
    <t>ERIC WENRICH</t>
  </si>
  <si>
    <t>RED CLAY CONSOL SCH DIST OFC</t>
  </si>
  <si>
    <t>DELAWARE BRICK COMPANY</t>
  </si>
  <si>
    <t>JESSICA WALKER</t>
  </si>
  <si>
    <t>JOAN GRUTTAN</t>
  </si>
  <si>
    <t>CHRISTOPHER SMITH</t>
  </si>
  <si>
    <t>JAMES ANTHONY LEE</t>
  </si>
  <si>
    <t>JOHN MANN</t>
  </si>
  <si>
    <t>DELAWARE ASSOCIATION OF REHABILITATION</t>
  </si>
  <si>
    <t>SALISBURY AUTOMOTIVE DE INC</t>
  </si>
  <si>
    <t>WAYNE D KLINE</t>
  </si>
  <si>
    <t>DANIEL  BORTNER</t>
  </si>
  <si>
    <t>JUSTYN FOTH</t>
  </si>
  <si>
    <t>STEVEN MARSH</t>
  </si>
  <si>
    <t>DAVID LUCAS</t>
  </si>
  <si>
    <t>GEORGINA E PROKOPCHAK</t>
  </si>
  <si>
    <t>CHARLES CRAIG</t>
  </si>
  <si>
    <t>SETH MICHAEL</t>
  </si>
  <si>
    <t>CHARLES MOYER</t>
  </si>
  <si>
    <t>STEVE NAZIGIAN</t>
  </si>
  <si>
    <t>MICHELLE WATERS</t>
  </si>
  <si>
    <t>GPM INVESTMENTS LLC</t>
  </si>
  <si>
    <t>ACTIVE NETWORK INC</t>
  </si>
  <si>
    <t>ZACK EXCAVATING INC</t>
  </si>
  <si>
    <t>DELDOT PLANNING</t>
  </si>
  <si>
    <t>LAWRENCE C BATH ON BUILDERS INC</t>
  </si>
  <si>
    <t>KUBOTA TRACTOR CORPORATION</t>
  </si>
  <si>
    <t>OMB HUMAN RESOURCE MANAGEMENT</t>
  </si>
  <si>
    <t>AEGIS RESTAURO LLC</t>
  </si>
  <si>
    <t>DIAMOND MATERIALS LLC</t>
  </si>
  <si>
    <t>KAY PARK REC CORP</t>
  </si>
  <si>
    <t>SUMMIT AMERICA INSURANCE SERVICES INC</t>
  </si>
  <si>
    <t>THE CONSERVATION FUND</t>
  </si>
  <si>
    <t>BRIAN P EARP</t>
  </si>
  <si>
    <t>SEAFORD ICE INC</t>
  </si>
  <si>
    <t>WILKINSON ROOFING &amp; SIDING</t>
  </si>
  <si>
    <t>PATIO SYSTEMS INC</t>
  </si>
  <si>
    <t>COLLINS BUSINESS SYSTEMS INC</t>
  </si>
  <si>
    <t>GLOVER FURNITURE AND DESIGN GROUP INC</t>
  </si>
  <si>
    <t>4WARD PLANNING INC</t>
  </si>
  <si>
    <t>DONALD M MELLINGER</t>
  </si>
  <si>
    <t>DELAWARE NATURE SOCIETY INC</t>
  </si>
  <si>
    <t>PHILIP ROSENAU CO INC</t>
  </si>
  <si>
    <t>C K CONSTRUCTION INC</t>
  </si>
  <si>
    <t>TOWN OF KENTON</t>
  </si>
  <si>
    <t>JC CONTRACTORS LLC</t>
  </si>
  <si>
    <t>PARK N POOL CORP</t>
  </si>
  <si>
    <t>ATT SPORTS INC</t>
  </si>
  <si>
    <t>CLEAR CHANNEL COMMUNICATIONS</t>
  </si>
  <si>
    <t>APEX REALTY ADVISORY LLC</t>
  </si>
  <si>
    <t>MARLINGS INC</t>
  </si>
  <si>
    <t>JIM WARRINGTON CONTRACTOR INC</t>
  </si>
  <si>
    <t>JEFFREY HATCH SR</t>
  </si>
  <si>
    <t>DELAWARE COUNTY SUPPLY COMPANY INC</t>
  </si>
  <si>
    <t>OAT FOUNDRY LLC</t>
  </si>
  <si>
    <t>DELAWARE 87ERS LLC</t>
  </si>
  <si>
    <t>GREEN FLUSH TECHNOLOGIES LLC</t>
  </si>
  <si>
    <t>CLARK ASSOCIATES INC</t>
  </si>
  <si>
    <t>BLUEGRASS MATERIALS COMPANY LLC</t>
  </si>
  <si>
    <t>WWI 100TH ANNIVERSARY MOBILE MUSEUM</t>
  </si>
  <si>
    <t>J T PAINTING AND CONTRACTORS</t>
  </si>
  <si>
    <t>DIAMOND STATE ENGINEERING</t>
  </si>
  <si>
    <t>CARL DEPUTY &amp; SON BUILDERS LLC</t>
  </si>
  <si>
    <t>COMCAST SPOTLIGHT</t>
  </si>
  <si>
    <t>HOME DEPOT</t>
  </si>
  <si>
    <t>DEPARTMENT OF EDUCATION</t>
  </si>
  <si>
    <t>CHARLES C CONNELL CO</t>
  </si>
  <si>
    <t>GILES AND RANSOME INC</t>
  </si>
  <si>
    <t>KNAPP MANUFACTURING INC</t>
  </si>
  <si>
    <t>FIRING LINE INC</t>
  </si>
  <si>
    <t>MOORES TREE SERVICE</t>
  </si>
  <si>
    <t>WINNER PREMIUM LLC</t>
  </si>
  <si>
    <t>NATHAN NAZDROWICZ</t>
  </si>
  <si>
    <t>TATE ENGINEERING SYS INC</t>
  </si>
  <si>
    <t>CENTRAL NEBRASKA PACKING INC</t>
  </si>
  <si>
    <t>GARRISON ENTERPRISES LLC</t>
  </si>
  <si>
    <t>BRINT SPENCER</t>
  </si>
  <si>
    <t>CARLISLE'S MARINE, INC</t>
  </si>
  <si>
    <t>SHARK RIVER PADDLING LLC</t>
  </si>
  <si>
    <t>R W GREER INC</t>
  </si>
  <si>
    <t>FRENS AND FRENS LLC</t>
  </si>
  <si>
    <t>ROBERT G CLEVELAND</t>
  </si>
  <si>
    <t>AD-ART SIGN CO</t>
  </si>
  <si>
    <t>JEFFERY C NICKEL</t>
  </si>
  <si>
    <t>GKJ PAINTING LLC</t>
  </si>
  <si>
    <t>HOT SPRINGS ENTERPRISES INC DBA STANLEY</t>
  </si>
  <si>
    <t>PYRZ WATER SUPPLY CO INC</t>
  </si>
  <si>
    <t>ROGER W MCCASLIN</t>
  </si>
  <si>
    <t>HOYT ROARK</t>
  </si>
  <si>
    <t>XEROX CORPORATION</t>
  </si>
  <si>
    <t>THE WILMINGTON DELAWARE AREA ROTARY CLUB</t>
  </si>
  <si>
    <t>DUAL CORE LLC</t>
  </si>
  <si>
    <t>GO-GLASS CORP</t>
  </si>
  <si>
    <t>FRED R MOORE AND SON INC</t>
  </si>
  <si>
    <t>SCHIFFER PUBLISHING LTD</t>
  </si>
  <si>
    <t>AIKEN AND ASSOCIATES INC</t>
  </si>
  <si>
    <t>RC POWER SERVICES</t>
  </si>
  <si>
    <t>DARREN LAWSON</t>
  </si>
  <si>
    <t>COMCAST CABLE</t>
  </si>
  <si>
    <t>U S DEPARTMENT OF THE INTERIOR NATIONAL</t>
  </si>
  <si>
    <t>MARTY CROSS</t>
  </si>
  <si>
    <t>KEENE ENTERPRISES INC</t>
  </si>
  <si>
    <t>ESTATE OF GREGORY SALVATO</t>
  </si>
  <si>
    <t>THOMAS T NEALEIGH</t>
  </si>
  <si>
    <t>BRADS FUEL FILTERING</t>
  </si>
  <si>
    <t>DE STATE POLICE</t>
  </si>
  <si>
    <t>DELAWARE BUILDING SUPPLY INC</t>
  </si>
  <si>
    <t>DEJANA TRUCK &amp; UTILITY EQUIPMENT INC</t>
  </si>
  <si>
    <t>BRUNSWICK CORPORATION</t>
  </si>
  <si>
    <t>ATLANTIC SURVEYING AND MAPPING LLC</t>
  </si>
  <si>
    <t>WHEELING PARK COMMISSION</t>
  </si>
  <si>
    <t>WILLIAM C GRAYSON</t>
  </si>
  <si>
    <t>CASE OF BLUES LLC</t>
  </si>
  <si>
    <t>GEORGE WALTON</t>
  </si>
  <si>
    <t>JOHN T DRYSDALE</t>
  </si>
  <si>
    <t>SOUTHERN LIVING</t>
  </si>
  <si>
    <t>DANIEL FISTERE</t>
  </si>
  <si>
    <t>ROTO-ROOTER SERVICES CO</t>
  </si>
  <si>
    <t>ASHWORTH ASSOC MFG &amp; WHLS JEWELERS INC</t>
  </si>
  <si>
    <t>SUSAN C BREEDING</t>
  </si>
  <si>
    <t>D BARRETT EDWARDS IV ESQ</t>
  </si>
  <si>
    <t>MARJORIE L MILLER</t>
  </si>
  <si>
    <t>KRISTA M L SCUDLARK</t>
  </si>
  <si>
    <t>COCA-COLA ENTERPRISES INC</t>
  </si>
  <si>
    <t>HARFORD COUNTY MARYLAND</t>
  </si>
  <si>
    <t>THERESA CATHERINE MASEK</t>
  </si>
  <si>
    <t>CREATIVE CO-OP INC</t>
  </si>
  <si>
    <t>SCHOOL SPECIALTY</t>
  </si>
  <si>
    <t>MICHAEL TOUGIAS</t>
  </si>
  <si>
    <t>AIRBORNE SIDING &amp; WINDOW</t>
  </si>
  <si>
    <t>PENINSULA WINPRO INCORPORATED</t>
  </si>
  <si>
    <t>R D COLLINS &amp; SONS</t>
  </si>
  <si>
    <t>GLENN DOBROGOSZ</t>
  </si>
  <si>
    <t>SHANA SABBATH</t>
  </si>
  <si>
    <t>SWINGING DELICIOUS LLC</t>
  </si>
  <si>
    <t>KANE ELECTRIC INC</t>
  </si>
  <si>
    <t>MORNING STAR FELLOWSHIP</t>
  </si>
  <si>
    <t>MARTY MITCHELL</t>
  </si>
  <si>
    <t>BIG WHISKEY LLC</t>
  </si>
  <si>
    <t>ANDREW CHARLES MOORE</t>
  </si>
  <si>
    <t>DEAN RUBENSTEIN</t>
  </si>
  <si>
    <t>KWESI KANKAM</t>
  </si>
  <si>
    <t>BRIAN GARY</t>
  </si>
  <si>
    <t>NATIONAL GEOGRAPHIC PARTNERS LLC</t>
  </si>
  <si>
    <t>DENNIS P MCCAUGHEY DBA TROPICAL SOUL</t>
  </si>
  <si>
    <t>SUN BEAR APIARY LLC</t>
  </si>
  <si>
    <t>WESJEM INC</t>
  </si>
  <si>
    <t>RIVER ROAD UNITARIAN</t>
  </si>
  <si>
    <t>WALTER KENWORTHY</t>
  </si>
  <si>
    <t>TINA WHARTON</t>
  </si>
  <si>
    <t>MEGAN HARRINGTON DALFOVO-SZABO</t>
  </si>
  <si>
    <t>SONIA DIANE SAUNDERS</t>
  </si>
  <si>
    <t>ANGELA HOWELL</t>
  </si>
  <si>
    <t>ARCHMERE ACADEMY</t>
  </si>
  <si>
    <t>DONNA ANTTILA</t>
  </si>
  <si>
    <t>MADELINE ELLE ZIEGLER</t>
  </si>
  <si>
    <t>GATEHOUSE MEDIA DE HOLDINGS INC</t>
  </si>
  <si>
    <t>DIRECTV LLC</t>
  </si>
  <si>
    <t>JEFFERY NICKEL</t>
  </si>
  <si>
    <t>PETER GABRIEL BOSSERMAN</t>
  </si>
  <si>
    <t>ADAMS AUTO PARTS</t>
  </si>
  <si>
    <t>THE BRIGGS COMPANY</t>
  </si>
  <si>
    <t>EUGENE R MCCLONE</t>
  </si>
  <si>
    <t>LARRY WAYNE SPENCER</t>
  </si>
  <si>
    <t>JAY S MILLER</t>
  </si>
  <si>
    <t>R B ENVIRONMENTAL SERVICES INC</t>
  </si>
  <si>
    <t>JIMMY L MARLER  ARKANSAS CANE</t>
  </si>
  <si>
    <t>MARY BRYAN INC</t>
  </si>
  <si>
    <t>DRAIN KING LLC</t>
  </si>
  <si>
    <t>JOSEPH S KREISHER</t>
  </si>
  <si>
    <t>BLANK PARK ZOO FOUNDATION INC</t>
  </si>
  <si>
    <t>NEW CASTLE COUNTY CHAMBER OF COMMERCE</t>
  </si>
  <si>
    <t>WILLIAM FILER</t>
  </si>
  <si>
    <t>UNIQUE CRAFTERS COMPANY</t>
  </si>
  <si>
    <t>SHANE PALKOVITZ</t>
  </si>
  <si>
    <t>BELLA TERRA PUBLISHING LLC</t>
  </si>
  <si>
    <t>LINDSAY MORRA</t>
  </si>
  <si>
    <t>CHARLES L MOLLER DBA MASTERCRAFT WELDING</t>
  </si>
  <si>
    <t>HAWKINS AND SONS INC</t>
  </si>
  <si>
    <t>TROOP 4513</t>
  </si>
  <si>
    <t>SADIE GREENS INC</t>
  </si>
  <si>
    <t>DRAKE BURD</t>
  </si>
  <si>
    <t>ANTHONY JESSON</t>
  </si>
  <si>
    <t>ELENA BROKUS</t>
  </si>
  <si>
    <t>CRYSTAL BAYNARD-NORMAN</t>
  </si>
  <si>
    <t>MATTHEW C DODD</t>
  </si>
  <si>
    <t>ELIZABETH D SHOCKLEY</t>
  </si>
  <si>
    <t>AAA DRY FOAM PROFESSIONAL</t>
  </si>
  <si>
    <t>EAST COAST PLUMBING &amp; HVAC INC</t>
  </si>
  <si>
    <t>CUB SCOUT PACK 3834</t>
  </si>
  <si>
    <t>JOHN HINTZ DBA PERPLUS</t>
  </si>
  <si>
    <t>JOHN O &amp; JOHN C DICKERSON PARTNERS</t>
  </si>
  <si>
    <t>O A NEWTON AND SON COMPANY</t>
  </si>
  <si>
    <t>Nicolette Stevenson</t>
  </si>
  <si>
    <t>ELIZABETH WEBSTER</t>
  </si>
  <si>
    <t>ZACHARY CROUCH</t>
  </si>
  <si>
    <t>CUB SCOUT PACK 274</t>
  </si>
  <si>
    <t>EPX ACQUISITION COMPANY LLC</t>
  </si>
  <si>
    <t>ELIZABETH A ANDROSKAUT</t>
  </si>
  <si>
    <t>LAUREN HEWITT</t>
  </si>
  <si>
    <t>ALLPORT EDITIONS</t>
  </si>
  <si>
    <t>CTA ROOFING &amp; WATERPROOFNG INC</t>
  </si>
  <si>
    <t>MILLERS ISLAND PROPELLER INC</t>
  </si>
  <si>
    <t>TERRETTA HOWARD</t>
  </si>
  <si>
    <t>KESHAUN D E SCOTT</t>
  </si>
  <si>
    <t>PAUL F DEWOLFE</t>
  </si>
  <si>
    <t>EDWARD OKONOWICZ</t>
  </si>
  <si>
    <t>BRUCE ANTHONY</t>
  </si>
  <si>
    <t>JOSEPH J GONZALES</t>
  </si>
  <si>
    <t>KENT COUNTY TOURISM CORP INC</t>
  </si>
  <si>
    <t>SHARON MOORE</t>
  </si>
  <si>
    <t>LAVERE ELECTRIC INC</t>
  </si>
  <si>
    <t>PAGE BIRNEY</t>
  </si>
  <si>
    <t>ALEKSANDRA WYATT</t>
  </si>
  <si>
    <t>KATHRYN BIRCH</t>
  </si>
  <si>
    <t>BRENAN SMITH</t>
  </si>
  <si>
    <t>KEVIN P COOGAN</t>
  </si>
  <si>
    <t>ALISON HOUCK</t>
  </si>
  <si>
    <t>JESSICA ANTON</t>
  </si>
  <si>
    <t>CENTERVILLE LAYTON SCHOOL</t>
  </si>
  <si>
    <t>W T SCHRIDER &amp; SONS INC</t>
  </si>
  <si>
    <t>WILLIAM G DAY COMPANY</t>
  </si>
  <si>
    <t>SEAN DEMPSEY</t>
  </si>
  <si>
    <t>ERIC TSAVDAR</t>
  </si>
  <si>
    <t>EILEEN MARONEY</t>
  </si>
  <si>
    <t>EBENEZER UNITED METHODIST CHURCH</t>
  </si>
  <si>
    <t>BRAN DRUMBORE</t>
  </si>
  <si>
    <t>SAVEWAY COMPOUNDING</t>
  </si>
  <si>
    <t>STEVEN C WELCH</t>
  </si>
  <si>
    <t>WILLIAM NAGY</t>
  </si>
  <si>
    <t>ELAINE M MANCUSO</t>
  </si>
  <si>
    <t>DANIEL WHITECOTTON</t>
  </si>
  <si>
    <t>HEATHER AKRIDGE</t>
  </si>
  <si>
    <t>RODNEY BRESSLER</t>
  </si>
  <si>
    <t>TOWN OF CENTREVILLE</t>
  </si>
  <si>
    <t>DELAWARE MUSEUM OF NATURAL HISTORY</t>
  </si>
  <si>
    <t>ROBIN CHANDLER</t>
  </si>
  <si>
    <t>PAUL HENNINGER</t>
  </si>
  <si>
    <t>LISA MUELLER</t>
  </si>
  <si>
    <t>SHORE FINANCE LLC</t>
  </si>
  <si>
    <t>CORINNE LITZENBERG</t>
  </si>
  <si>
    <t>URBAN BIKE PROJECT OF WILMINGTON</t>
  </si>
  <si>
    <t>STEWART GAHAGAN</t>
  </si>
  <si>
    <t>CHARLES REEVES</t>
  </si>
  <si>
    <t>ROBERT GIBBS</t>
  </si>
  <si>
    <t>THOMAS McCORMICK</t>
  </si>
  <si>
    <t>W G MALDEN INC</t>
  </si>
  <si>
    <t>LAKE FOREST SCHOOL DIST OFC</t>
  </si>
  <si>
    <t>ST LOUIS ZOOLOGICAL PARK</t>
  </si>
  <si>
    <t>SUSAN BARTON</t>
  </si>
  <si>
    <t>JIM HUNT</t>
  </si>
  <si>
    <t>STEPHANIE MORRISON</t>
  </si>
  <si>
    <t>EILEEN BUTLER</t>
  </si>
  <si>
    <t>CALICO INDUSTRIAL SUPPLY LLC</t>
  </si>
  <si>
    <t>KENT-SUSSEX INDUSTRIES INC</t>
  </si>
  <si>
    <t>DTI INC</t>
  </si>
  <si>
    <t>MARY JO BOCK</t>
  </si>
  <si>
    <t>LIZ TARASEWICZ</t>
  </si>
  <si>
    <t>MAZIE BARBOSA</t>
  </si>
  <si>
    <t>CAESAR RODNEY HIGH SCHOOL</t>
  </si>
  <si>
    <t>COACHING SYSTEMS LLC</t>
  </si>
  <si>
    <t>KIM HOUTZ</t>
  </si>
  <si>
    <t>Delaware State Troopers Assoc</t>
  </si>
  <si>
    <t>ELLEN H COLE</t>
  </si>
  <si>
    <t>OLIVIA MCDONALD</t>
  </si>
  <si>
    <t>DSTA Life Insurance Fund</t>
  </si>
  <si>
    <t>TRACEY MUSOTTO</t>
  </si>
  <si>
    <t>DSP Museum Fund</t>
  </si>
  <si>
    <t>Del St Troopers Memorial Fund</t>
  </si>
  <si>
    <t>United Way of Delaware</t>
  </si>
  <si>
    <t>2025</t>
  </si>
  <si>
    <t>2024</t>
  </si>
  <si>
    <t>2023</t>
  </si>
  <si>
    <t>2022</t>
  </si>
  <si>
    <t>2021</t>
  </si>
  <si>
    <t>2020</t>
  </si>
  <si>
    <t>2019</t>
  </si>
  <si>
    <t>2018</t>
  </si>
  <si>
    <t>ttl</t>
  </si>
  <si>
    <t>pctAllTimeExp</t>
  </si>
  <si>
    <t>cumPctAllTimeExp</t>
  </si>
  <si>
    <t>classify</t>
  </si>
  <si>
    <t>PAYROLL</t>
  </si>
  <si>
    <t>LEGAL</t>
  </si>
  <si>
    <t>NOT CLASSIFIED</t>
  </si>
  <si>
    <t>CAPITAL PROJECTS</t>
  </si>
  <si>
    <t>CONSERVATION DISTRICT</t>
  </si>
  <si>
    <t>FORT DUPONT</t>
  </si>
  <si>
    <t>INTERAGENCY</t>
  </si>
  <si>
    <t>Direct employee salaries and wages — largest single expense line</t>
  </si>
  <si>
    <t>Pension, health insurance, FICA, workers comp — mandatory benefits costs</t>
  </si>
  <si>
    <t>Law firm. $27M in FY24 is extraordinary — likely Fort DuPont bond counsel or redevelopment legal. FLAG THIS.</t>
  </si>
  <si>
    <t>Quasi-governmental redevelopment entity. Steady ~$2.3M/yr. Separate from normal park operations.</t>
  </si>
  <si>
    <t>State Division of Accounting — central accounting services charged back to Parks</t>
  </si>
  <si>
    <t>CONSTRUCTION</t>
  </si>
  <si>
    <t>General contractor. Lumpy spending pattern = capital project work</t>
  </si>
  <si>
    <t>Delaware law firm. Steady multi-year payments suggest ongoing legal counsel retainer</t>
  </si>
  <si>
    <t>Fuel/energy supplier for park vehicles and equipment. Jumped in FY19 — possibly new contract</t>
  </si>
  <si>
    <t>County conservation district — provides maintenance labor and conservation work at northern DE parks</t>
  </si>
  <si>
    <t>State fleet management — vehicle leases and maintenance charged back to Parks</t>
  </si>
  <si>
    <t>Same firm as Saul Ewing Arnstein &amp; Lehr — name changed after merger. Pre-2021 payments. DUPLICATE VENDOR.</t>
  </si>
  <si>
    <t>General contractor. Lumpy spending = capital projects</t>
  </si>
  <si>
    <t>General contractor. Large capital project work, peaked FY22-23</t>
  </si>
  <si>
    <t>General contractor. Capital project work, active FY22-25</t>
  </si>
  <si>
    <t>PROFESSIONAL SERVICES</t>
  </si>
  <si>
    <t>Consistent ~$700K-$1.1M/yr. Likely management consulting or contracted park services. VERIFY.</t>
  </si>
  <si>
    <t>ENGINEERING</t>
  </si>
  <si>
    <t>Engineering firm. $3.9M in FY25 = major design project. DUPLICATE of Century Engineering Inc.</t>
  </si>
  <si>
    <t>General contractor. Large project FY22, otherwise sporadic</t>
  </si>
  <si>
    <t>Architecture/design firm (Baltimore). Consistent spending suggests ongoing design services for park facilities</t>
  </si>
  <si>
    <t>Water utility. $2.8M spike in FY23 is unusual — possible infrastructure project or back-payment. FLAG.</t>
  </si>
  <si>
    <t>Delaware law firm. Active FY22-24 only — likely project-specific legal work</t>
  </si>
  <si>
    <t>Electric utility — Delmarva Peninsula. Steady, consistent, expected</t>
  </si>
  <si>
    <t>Concrete contractor. Large in FY18-19, then small — completed major project</t>
  </si>
  <si>
    <t>General contractor. Big FY23 project, otherwise absent</t>
  </si>
  <si>
    <t>Contractor. Active FY19-20 only</t>
  </si>
  <si>
    <t>Heavy civil/paving contractor. Sporadic capital work</t>
  </si>
  <si>
    <t>DNREC Secretary's office — overhead allocation or shared services</t>
  </si>
  <si>
    <t>Major national GC. $2.4M FY21 = one large capital project</t>
  </si>
  <si>
    <t>MUNICIPAL</t>
  </si>
  <si>
    <t>County government. Variable spending suggests grants or shared service agreements</t>
  </si>
  <si>
    <t>Engineering firm. DUPLICATE of Century Engineering LLC — same firm, older entity name</t>
  </si>
  <si>
    <t>Heavy civil contractor. Large FY19 project</t>
  </si>
  <si>
    <t>Internal DNREC fund — environmental compliance or financing charges</t>
  </si>
  <si>
    <t>EQUIPMENT &amp; SUPPLIES</t>
  </si>
  <si>
    <t>Equipment dealer. Consistent moderate spending = ongoing equipment purchases/maintenance</t>
  </si>
  <si>
    <t>Engineering/planning firm. Consistent multi-year = ongoing infrastructure design</t>
  </si>
  <si>
    <t>Law firm. Single $1.75M payment FY20 — one-time legal matter</t>
  </si>
  <si>
    <t>FACILITY MAINTENANCE</t>
  </si>
  <si>
    <t>Specialized maintenance services. Consistent ~$200K/yr = ongoing contract</t>
  </si>
  <si>
    <t>DelDOT — $1.5M in FY19 likely road or bridge work at park</t>
  </si>
  <si>
    <t>Contractor. $1.5M in FY25 only — single project</t>
  </si>
  <si>
    <t>Municipal water/sewer utility serving Cape Henlopen and nearby parks</t>
  </si>
  <si>
    <t>Marine/waterfront contractor. $817K spike FY20 = marina or shoreline project</t>
  </si>
  <si>
    <t>Roofing contractor. Consistent = ongoing roof maintenance across parks</t>
  </si>
  <si>
    <t>Sister division — shared projects or services</t>
  </si>
  <si>
    <t>Wilmington city — likely Brandywine Park or urban park shared services</t>
  </si>
  <si>
    <t>Dept of Technology &amp; Information — IT services charged back to Parks</t>
  </si>
  <si>
    <t>OPERATIONS</t>
  </si>
  <si>
    <t>Waste/trash hauling. Steady growth tracks park visitation increases</t>
  </si>
  <si>
    <t>Construction/engineering firm. Project-based FY22-23</t>
  </si>
  <si>
    <t>GROUNDS</t>
  </si>
  <si>
    <t>Landscaping. $1.3M FY25 only — new large contract or one-time project</t>
  </si>
  <si>
    <t>Equipment leasing. Consistent = ongoing lease agreements</t>
  </si>
  <si>
    <t>General contractor. $1.2M FY25 only — single active project</t>
  </si>
  <si>
    <t>Electric cooperative serving rural/southern DE parks</t>
  </si>
  <si>
    <t>Masonry contractor. Sporadic = project-based repairs</t>
  </si>
  <si>
    <t>Contractor. $894K spike FY21 = single project</t>
  </si>
  <si>
    <t>Heating fuel/HVAC services. Steady ~$150K/yr = energy supply contract</t>
  </si>
  <si>
    <t>Engineering/transportation firm. Growing FY23-25 = active design projects</t>
  </si>
  <si>
    <t>Masonry pointing/restoration. Consistent = ongoing historic structure maintenance. DUPLICATE of PAULS POINTING INC.</t>
  </si>
  <si>
    <t>Playground surfacing/mulch manufacturer. Consistent FY21-24</t>
  </si>
  <si>
    <t>General contractor. DUPLICATE of PRETTYMAN BUIDERS LLC (typo).</t>
  </si>
  <si>
    <t>Sussex County government — likely conservation district payments or shared services</t>
  </si>
  <si>
    <t>Major national engineering firm. Consistent multi-year = infrastructure design</t>
  </si>
  <si>
    <t>Water utility serving southern DE parks. Very steady ~$125K/yr</t>
  </si>
  <si>
    <t xml:space="preserve"> INC</t>
  </si>
  <si>
    <t>Electrical contractor. DUPLICATE of MASTEN ELECTRIC INC.</t>
  </si>
  <si>
    <t>Tree care company. Consistent = ongoing tree maintenance across parks</t>
  </si>
  <si>
    <t>General contractor. Growing FY24-25 = active projects</t>
  </si>
  <si>
    <t>City of Newark — likely shared services or White Clay Creek SP related</t>
  </si>
  <si>
    <t>Internal Parks account. NEGATIVE values FY19-20 = journal reversals. DUPLICATE of DNREC P &amp; R MANAGEMENT &amp; SUPPORT.</t>
  </si>
  <si>
    <t>Janitorial/cleaning services. Steady ~$120K/yr = ongoing contract</t>
  </si>
  <si>
    <t>Consulting firm. Varied spending — likely project-based consulting</t>
  </si>
  <si>
    <t>Plumbing and HVAC contractor. Sporadic = repair-based</t>
  </si>
  <si>
    <t>Conservation/land trust. $442K in FY18, declining. Likely conservation easement or land partnership.</t>
  </si>
  <si>
    <t>Dept of Agriculture Forest Service — shared land management</t>
  </si>
  <si>
    <t>Internal DNREC IT — technology services. $354K FY19 spike = system project</t>
  </si>
  <si>
    <t>Plumbing/mechanical contractor. Steady = ongoing maintenance</t>
  </si>
  <si>
    <t>Likely contracted concession or facility management at a specific park</t>
  </si>
  <si>
    <t>General maintenance/construction. Consistent moderate spending</t>
  </si>
  <si>
    <t>$671K FY18 only. Likely gas station/convenience operator — possibly marina fuel contract. VERIFY.</t>
  </si>
  <si>
    <t>Marine/coastal engineering firm. Growing FY24-25 = active marina or shoreline project</t>
  </si>
  <si>
    <t>Paving contractor. Active FY22-25</t>
  </si>
  <si>
    <t>Internal Parks internship program. Declining trend. DUPLICATE coded differently from P&amp;R Management.</t>
  </si>
  <si>
    <t>Roofing contractor. $492K FY18 spike = major roof project</t>
  </si>
  <si>
    <t>Parking meter/kiosk technology company. Payment processing for park fees</t>
  </si>
  <si>
    <t>Turf/grounds equipment. Sporadic = equipment purchases as needed</t>
  </si>
  <si>
    <t>DUPLICATE of DNREC P&amp;R MANAGEMENT AND SUPPORT</t>
  </si>
  <si>
    <t>Fuel services. $234K spike FY23 unusual vs ~$40K norm. VERIFY.</t>
  </si>
  <si>
    <t>Dept of Correction — inmate labor for park maintenance. Common in state parks.</t>
  </si>
  <si>
    <t>Cleaning supplies. Very steady ~$78K/yr</t>
  </si>
  <si>
    <t>General contractor. Sporadic project work</t>
  </si>
  <si>
    <t>General contractor. $605K FY25 only</t>
  </si>
  <si>
    <t>Contractor. Sporadic — various maintenance projects</t>
  </si>
  <si>
    <t>Propane supplier. Steady growth tracks fuel costs</t>
  </si>
  <si>
    <t>Industrial contractor. Active FY18-19 only</t>
  </si>
  <si>
    <t>Excavation contractor. $453K FY18 = one project</t>
  </si>
  <si>
    <t>Maintenance services. Variable spending</t>
  </si>
  <si>
    <t>Media/communications. $322K spike FY23 — marketing campaign?</t>
  </si>
  <si>
    <t>AmeriCorps volunteers program for state parks. Declining, ended FY21.</t>
  </si>
  <si>
    <t>General contractor/maintenance. Declined from FY19 peak</t>
  </si>
  <si>
    <t>Painting contractor. Consistent = ongoing painting maintenance</t>
  </si>
  <si>
    <t>Marina boat lift equipment. $387K FY20 = major equipment purchase</t>
  </si>
  <si>
    <t>Masonry contractor. $460K FY18 = one project</t>
  </si>
  <si>
    <t>Recreation management software (now part of Global Payments). $487K FY18 = campground reservation system.</t>
  </si>
  <si>
    <t>Roofing contractor. Active FY23-25</t>
  </si>
  <si>
    <t>Catering. Variable — event-based spending</t>
  </si>
  <si>
    <t>Wholesale camp store merchandise supplier. Steady = retail inventory for park stores</t>
  </si>
  <si>
    <t>Electrical contractor. DUPLICATE of MASTEN ELECTRIC, INC</t>
  </si>
  <si>
    <t>Contractor. $314K spike FY20 = one project</t>
  </si>
  <si>
    <t>Engineering firm. Consistent moderate spending</t>
  </si>
  <si>
    <t>Municipal partner. Very steady ~$52K/yr = likely shared services agreement</t>
  </si>
  <si>
    <t>Playground equipment supplier. Consistent = ongoing playground maintenance/upgrades</t>
  </si>
  <si>
    <t>City of Milford. $310K FY24 = likely one-time project or grant</t>
  </si>
  <si>
    <t>State HR division — training, hiring services charged back</t>
  </si>
  <si>
    <t>Electrical contractor. $248K FY19 peak, declining</t>
  </si>
  <si>
    <t>Direct mail/printing company. $261K FY25 = possible marketing campaign</t>
  </si>
  <si>
    <t>Office furniture/interiors. $345K FY25 = office renovation</t>
  </si>
  <si>
    <t>Prefabricated restroom buildings. $315K FY20 = new restroom installation</t>
  </si>
  <si>
    <t>Individual consultant. Very steady ~$50K/yr = ongoing retainer. VERIFY nature of work.</t>
  </si>
  <si>
    <t>Contract security guards. Active FY23-25 only — new contract</t>
  </si>
  <si>
    <t>City of Lewes. Variable — project-based</t>
  </si>
  <si>
    <t>$329K FY23 spike = one-time project or grant</t>
  </si>
  <si>
    <t>Communications/IT company. Growing — technology upgrades</t>
  </si>
  <si>
    <t>State prison industries — furniture, signs, other manufactured goods</t>
  </si>
  <si>
    <t>Highway/paving specialist. $348K FY25 only</t>
  </si>
  <si>
    <t>Painting contractor. Consistent = ongoing maintenance</t>
  </si>
  <si>
    <t>HVAC/mechanical contractor. Active FY24-25</t>
  </si>
  <si>
    <t>Electrical supply distributor. Steady = ongoing supplies</t>
  </si>
  <si>
    <t>General contractor. $297K FY24</t>
  </si>
  <si>
    <t>Farm/grounds equipment dealer. $140K FY19 peak = equipment purchase</t>
  </si>
  <si>
    <t>Contractor. Active FY22-24</t>
  </si>
  <si>
    <t>General contractor. Sporadic projects</t>
  </si>
  <si>
    <t>Dept of Technology &amp; Information. $319K FY25 = IT project</t>
  </si>
  <si>
    <t>Historic preservation/conservation consulting. Project-based</t>
  </si>
  <si>
    <t>City of Seaford. Variable — grants or shared services</t>
  </si>
  <si>
    <t>DRBA — ferry or shared transportation services</t>
  </si>
  <si>
    <t>Embroidered uniforms/merchandise. Park staff uniforms and gift shop items</t>
  </si>
  <si>
    <t>Maintenance/construction services. Sporadic</t>
  </si>
  <si>
    <t>Masonry pointing. DUPLICATE of PAUL'S POINTING INC</t>
  </si>
  <si>
    <t>General contractor. $300K FY24 = one project</t>
  </si>
  <si>
    <t>Industrial/construction supplies. Variable</t>
  </si>
  <si>
    <t>Environmental consulting. $142K spike FY23</t>
  </si>
  <si>
    <t>Janitorial services. Growing — expanding cleaning contracts</t>
  </si>
  <si>
    <t>Architecture firm. Active FY22-25 = ongoing design projects</t>
  </si>
  <si>
    <t>Individual consultant. $107K spike FY20. VERIFY.</t>
  </si>
  <si>
    <t>DE marketing/PR firm. Active FY21-25 = parks marketing</t>
  </si>
  <si>
    <t>Tourism media company. Active FY18-20 only — old marketing contract</t>
  </si>
  <si>
    <t>Contractor. Active FY24-25</t>
  </si>
  <si>
    <t>HVAC controls/building automation. Consistent low-level</t>
  </si>
  <si>
    <t>Commercial refrigeration. Project-based</t>
  </si>
  <si>
    <t>Grants or shared services</t>
  </si>
  <si>
    <t>General contractor. $267K FY25 only</t>
  </si>
  <si>
    <t>Variable — shared services or projects</t>
  </si>
  <si>
    <t>Flooring/carpet contractor</t>
  </si>
  <si>
    <t>Equipment/tool supplier. $173K FY22</t>
  </si>
  <si>
    <t>Ice delivery for park stores/concessions. Steady ~$35K/yr</t>
  </si>
  <si>
    <t>Decal/permit manufacturer. Park passes and vehicle decals</t>
  </si>
  <si>
    <t>Consulting. $199K FY25</t>
  </si>
  <si>
    <t>Contractor. Active FY18 only</t>
  </si>
  <si>
    <t>Excavation. $238K FY18 only</t>
  </si>
  <si>
    <t>Law firm. $200K FY21 = specific legal matter</t>
  </si>
  <si>
    <t>Technology/staffing company</t>
  </si>
  <si>
    <t>Plumbing/HVAC supply distributor. Steady</t>
  </si>
  <si>
    <t>Environmental consulting. $223K FY23</t>
  </si>
  <si>
    <t>General maintenance. Variable</t>
  </si>
  <si>
    <t>Kent County government. Variable</t>
  </si>
  <si>
    <t>$189K FY25 = project</t>
  </si>
  <si>
    <t>Amusement ride/equipment restoration. Likely carousel or historic ride at park</t>
  </si>
  <si>
    <t>Pole building materials supplier</t>
  </si>
  <si>
    <t>State admin services</t>
  </si>
  <si>
    <t>Prefab building contractor. $223K FY24</t>
  </si>
  <si>
    <t>General contractor/maintenance</t>
  </si>
  <si>
    <t>Ice cream supplier for park concessions. Steady ~$28K/yr</t>
  </si>
  <si>
    <t>Sports court/field construction. Ongoing maintenance</t>
  </si>
  <si>
    <t>$124K FY22 spike</t>
  </si>
  <si>
    <t>Fire alarm/suppression inspection. Steady = annual compliance</t>
  </si>
  <si>
    <t>$150K FY23</t>
  </si>
  <si>
    <t>Electrical contractor</t>
  </si>
  <si>
    <t>Communications/underground utilities. $124K FY22</t>
  </si>
  <si>
    <t>Pole building construction. Active FY23-25</t>
  </si>
  <si>
    <t>Equipment. $128K FY22 = major equipment purchase</t>
  </si>
  <si>
    <t>Electrical contractor. DUPLICATE of FERRIS ELECTRIC AND SOLAR</t>
  </si>
  <si>
    <t>Temporary modular buildings/trailers. Consistent = seasonal or construction temp space</t>
  </si>
  <si>
    <t>Signage company. $122K FY25</t>
  </si>
  <si>
    <t>DUPLICATE of PRETTYMAN BUILDERS LLC — typo in vendor name</t>
  </si>
  <si>
    <t>General contractor. Sporadic</t>
  </si>
  <si>
    <t>Steady ~$49K/yr. Possibly lease or rental agreement. VERIFY.</t>
  </si>
  <si>
    <t>Steel/metalwork. Sporadic projects</t>
  </si>
  <si>
    <t>Uniforms for park staff. Growing FY23-25</t>
  </si>
  <si>
    <t>Swimming pool maintenance. Consistent = annual pool maintenance at parks</t>
  </si>
  <si>
    <t>General contractor/maintenance. Growing</t>
  </si>
  <si>
    <t>Pole building construction</t>
  </si>
  <si>
    <t>Industrial supply distributor. Steady = ongoing supplies</t>
  </si>
  <si>
    <t>$160K FY24</t>
  </si>
  <si>
    <t>Individual. $97K FY21 spike. VERIFY nature of work.</t>
  </si>
  <si>
    <t>General contractor. Active FY18-19</t>
  </si>
  <si>
    <t>Outdoor/work gear supplier. Park staff equipment. Steady ~$23K/yr</t>
  </si>
  <si>
    <t>Plant nursery. Sporadic = landscape planting projects</t>
  </si>
  <si>
    <t>Consulting/professional services</t>
  </si>
  <si>
    <t>General contractor. Active FY18-20</t>
  </si>
  <si>
    <t>Portable toilet rental. Events and trail access</t>
  </si>
  <si>
    <t>Gas/propane supplier. Steady</t>
  </si>
  <si>
    <t>Cultural resource/archaeological consulting. Historic site compliance</t>
  </si>
  <si>
    <t>Masonry repair. Sporadic</t>
  </si>
  <si>
    <t>Mechanical/HVAC contractor. Active FY18-19</t>
  </si>
  <si>
    <t>Lighting/electrical. $107K FY25</t>
  </si>
  <si>
    <t>Uniforms for park staff</t>
  </si>
  <si>
    <t>Contractor. Small consistent work</t>
  </si>
  <si>
    <t>Property lease/rental. Small consistent payments</t>
  </si>
  <si>
    <t>Aggregate/stone supplier for trails and roads</t>
  </si>
  <si>
    <t>Contractor. Active FY24-25 only</t>
  </si>
  <si>
    <t>Pest control. Steady ~$20K/yr = annual contracts</t>
  </si>
  <si>
    <t>Veterinarian. Steady $36K/yr. Likely Brandywine Zoo.</t>
  </si>
  <si>
    <t>General contractor/repairs</t>
  </si>
  <si>
    <t>General maintenance/repairs</t>
  </si>
  <si>
    <t>$151K FY24 spike vs ~$500/yr norm — one-time project</t>
  </si>
  <si>
    <t>Accessibility consulting/ADA compliance for park facilities</t>
  </si>
  <si>
    <t>DUPLICATE of FERRIS ELECTRIC &amp; SOLAR</t>
  </si>
  <si>
    <t>Two-way radios/communications. $132K FY22 = equipment purchase</t>
  </si>
  <si>
    <t>Contractor. Sporadic</t>
  </si>
  <si>
    <t>Forklift/material handling equipment</t>
  </si>
  <si>
    <t>Marina equipment and supplies. Steady ~$18K/yr = Indian River Marina</t>
  </si>
  <si>
    <t>$146K FY23 only. Likely event or program-related. VERIFY.</t>
  </si>
  <si>
    <t>Roofing contractor</t>
  </si>
  <si>
    <t>Pool construction/maintenance</t>
  </si>
  <si>
    <t>Environmental consulting</t>
  </si>
  <si>
    <t>Environmental engineering firm</t>
  </si>
  <si>
    <t>Trailer purchase. $143K FY19 = one-time</t>
  </si>
  <si>
    <t>Recreation equipment supplier</t>
  </si>
  <si>
    <t>Equipment/supplies. Sporadic</t>
  </si>
  <si>
    <t>Site furnishings — benches, trash cans, bike racks for parks</t>
  </si>
  <si>
    <t>Friends group for Auburn Heights Preserve. Partnership/programming support</t>
  </si>
  <si>
    <t>Road/parking lot striping. $94K FY22 spike</t>
  </si>
  <si>
    <t>Survey research firm specializing in outdoor recreation. Visitor surveys.</t>
  </si>
  <si>
    <t>Paving contractor. Active FY20 only</t>
  </si>
  <si>
    <t>Wholesale souvenir/gift shop merchandise</t>
  </si>
  <si>
    <t>Tree care. $72K FY24 spike = storm damage or major tree work</t>
  </si>
  <si>
    <t>Welding/industrial gases. Consistent = shop supplies</t>
  </si>
  <si>
    <t>Contractor. $120K FY19</t>
  </si>
  <si>
    <t>Geotechnical/environmental engineering</t>
  </si>
  <si>
    <t>FORT DUPONT RPC</t>
  </si>
  <si>
    <t>?</t>
  </si>
  <si>
    <t>ENERGY/WATER/REFUSE</t>
  </si>
  <si>
    <t>INTERNAL DPR ACCOUNT</t>
  </si>
  <si>
    <t>my_classification</t>
  </si>
  <si>
    <t>claude_classification</t>
  </si>
  <si>
    <t>claude_notes</t>
  </si>
  <si>
    <t>PAYROLL/LABOR</t>
  </si>
  <si>
    <t>INVENTORY PURCHASE</t>
  </si>
  <si>
    <t>LAND / ACQUISITIONS</t>
  </si>
  <si>
    <t>IT</t>
  </si>
  <si>
    <t>INTERAGENCY - OTHER</t>
  </si>
  <si>
    <t>FLEET/EQUIPMENT</t>
  </si>
  <si>
    <t>Row Labels</t>
  </si>
  <si>
    <t>Grand Total</t>
  </si>
  <si>
    <t>Sum of ttl</t>
  </si>
  <si>
    <t>Sum of pctAllTimeExp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</si>
</sst>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2" applyFont="1"/>
    <xf numFmtId="164" fontId="0" fillId="0" borderId="0" xfId="2" applyNumberFormat="1" applyFont="1"/>
    <xf numFmtId="164" fontId="0" fillId="0" borderId="0" xfId="0" applyNumberFormat="1"/>
    <xf numFmtId="165" fontId="0" fillId="0" borderId="0" xfId="1" applyNumberFormat="1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2">
    <dxf>
      <numFmt numFmtId="0" formatCode="General"/>
    </dxf>
    <dxf>
      <numFmt numFmtId="164" formatCode="0.0%"/>
    </dxf>
    <dxf>
      <numFmt numFmtId="164" formatCode="0.0%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 Tricarico" refreshedDate="46076.696268402775" createdVersion="8" refreshedVersion="8" minRefreshableVersion="3" recordCount="2492" xr:uid="{3AFF8F0D-7BBF-4677-8D6D-FB9F718DD239}">
  <cacheSource type="worksheet">
    <worksheetSource name="Table1"/>
  </cacheSource>
  <cacheFields count="17">
    <cacheField name="index" numFmtId="0">
      <sharedItems containsSemiMixedTypes="0" containsString="0" containsNumber="1" containsInteger="1" minValue="0" maxValue="2491"/>
    </cacheField>
    <cacheField name="claude_classification" numFmtId="0">
      <sharedItems containsBlank="1"/>
    </cacheField>
    <cacheField name="my_classification" numFmtId="0">
      <sharedItems count="25">
        <s v="PAYROLL/LABOR"/>
        <s v="LEGAL"/>
        <s v="FORT DUPONT RPC"/>
        <s v="INTERAGENCY - OTHER"/>
        <s v="CAPITAL PROJECTS"/>
        <s v="ENERGY/WATER/REFUSE"/>
        <s v="CONSERVATION DISTRICT"/>
        <s v="FLEET/EQUIPMENT"/>
        <s v="MUNICIPAL"/>
        <s v="ENGINEERING"/>
        <s v="FACILITY MAINTENANCE"/>
        <s v="IT"/>
        <s v="GROUNDS"/>
        <s v="OPERATIONS"/>
        <s v="INTERNAL DPR ACCOUNT"/>
        <s v="PROFESSIONAL SERVICES"/>
        <s v="LAND / ACQUISITIONS"/>
        <s v="INVENTORY PURCHASE"/>
        <s v="NOT CLASSIFIED"/>
        <s v="MAINTENANCE" u="1"/>
        <s v="CONSTRUCTION" u="1"/>
        <s v="EQUIPMENT &amp; SUPPLIES" u="1"/>
        <s v="GOV-OTHER STATE AGENCY" u="1"/>
        <s v="COUNSEL" u="1"/>
        <s v="GOV-LOCAL" u="1"/>
      </sharedItems>
    </cacheField>
    <cacheField name="claude_notes" numFmtId="0">
      <sharedItems containsBlank="1"/>
    </cacheField>
    <cacheField name="vendor" numFmtId="0">
      <sharedItems/>
    </cacheField>
    <cacheField name="2025" numFmtId="165">
      <sharedItems containsSemiMixedTypes="0" containsString="0" containsNumber="1" minValue="0" maxValue="18010753.149999999"/>
    </cacheField>
    <cacheField name="2024" numFmtId="165">
      <sharedItems containsSemiMixedTypes="0" containsString="0" containsNumber="1" minValue="0" maxValue="27142932.620000001"/>
    </cacheField>
    <cacheField name="2023" numFmtId="165">
      <sharedItems containsSemiMixedTypes="0" containsString="0" containsNumber="1" minValue="0" maxValue="15111922.65"/>
    </cacheField>
    <cacheField name="2022" numFmtId="165">
      <sharedItems containsSemiMixedTypes="0" containsString="0" containsNumber="1" minValue="0" maxValue="13511402.43"/>
    </cacheField>
    <cacheField name="2021" numFmtId="165">
      <sharedItems containsSemiMixedTypes="0" containsString="0" containsNumber="1" minValue="0" maxValue="12475721.189999999"/>
    </cacheField>
    <cacheField name="2020" numFmtId="165">
      <sharedItems containsSemiMixedTypes="0" containsString="0" containsNumber="1" minValue="-401631.49" maxValue="12372693.92"/>
    </cacheField>
    <cacheField name="2019" numFmtId="165">
      <sharedItems containsSemiMixedTypes="0" containsString="0" containsNumber="1" minValue="-64445.26" maxValue="11763584.43"/>
    </cacheField>
    <cacheField name="2018" numFmtId="165">
      <sharedItems containsSemiMixedTypes="0" containsString="0" containsNumber="1" minValue="0" maxValue="11140598.18"/>
    </cacheField>
    <cacheField name="ttl" numFmtId="165">
      <sharedItems containsSemiMixedTypes="0" containsString="0" containsNumber="1" minValue="0.54" maxValue="110800148.72"/>
    </cacheField>
    <cacheField name="pctAllTimeExp" numFmtId="164">
      <sharedItems containsSemiMixedTypes="0" containsString="0" containsNumber="1" minValue="1.0888716506557393E-9" maxValue="0.22342063116601443"/>
    </cacheField>
    <cacheField name="cumPctAllTimeExp" numFmtId="164">
      <sharedItems containsSemiMixedTypes="0" containsString="0" containsNumber="1" minValue="0.22342063116601443" maxValue="1.000000000000002"/>
    </cacheField>
    <cacheField name="classif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2">
  <r>
    <n v="0"/>
    <s v="PAYROLL"/>
    <x v="0"/>
    <s v="Direct employee salaries and wages — largest single expense line"/>
    <s v="EMPLOYEE COMPENSATION"/>
    <n v="18010753.149999999"/>
    <n v="16413472.77"/>
    <n v="15111922.65"/>
    <n v="13511402.43"/>
    <n v="12475721.189999999"/>
    <n v="12372693.92"/>
    <n v="11763584.43"/>
    <n v="11140598.18"/>
    <n v="110800148.72"/>
    <n v="0.22342063116601443"/>
    <n v="0.22342063116601443"/>
    <b v="1"/>
  </r>
  <r>
    <n v="2"/>
    <s v="PAYROLL"/>
    <x v="0"/>
    <s v="Pension, health insurance, FICA, workers comp — mandatory benefits costs"/>
    <s v="OTHER EMPLOYMENT COSTS BENEFITS"/>
    <n v="6657719.9400000004"/>
    <n v="5689157.1399999997"/>
    <n v="5179131.49"/>
    <n v="4832867.59"/>
    <n v="4499480.1399999997"/>
    <n v="4467066.97"/>
    <n v="4242813.2300000004"/>
    <n v="4052478.31"/>
    <n v="39620714.810000002"/>
    <n v="7.9892357658009255E-2"/>
    <n v="0.30331298882402369"/>
    <b v="1"/>
  </r>
  <r>
    <n v="1"/>
    <s v="LEGAL"/>
    <x v="1"/>
    <s v="Law firm. $27M in FY24 is extraordinary — likely Fort DuPont bond counsel or redevelopment legal. FLAG THIS."/>
    <s v="SAUL EWING ARNSTEIN &amp; LEHR LLP"/>
    <n v="9378027.5700000003"/>
    <n v="27142932.620000001"/>
    <n v="503606.01"/>
    <n v="731343.24"/>
    <n v="1289414.69"/>
    <n v="0"/>
    <n v="0"/>
    <n v="0"/>
    <n v="39045324.129999995"/>
    <n v="7.8732123214484195E-2"/>
    <n v="0.38204511203850788"/>
    <b v="1"/>
  </r>
  <r>
    <n v="4"/>
    <s v="FORT DUPONT"/>
    <x v="2"/>
    <s v="Quasi-governmental redevelopment entity. Steady ~$2.3M/yr. Separate from normal park operations."/>
    <s v="FORT DUPONT REDEVELOPMENT PRESERVATION"/>
    <n v="2897550.92"/>
    <n v="2335707.66"/>
    <n v="2884496.26"/>
    <n v="3662047.73"/>
    <n v="2287076.9500000002"/>
    <n v="2284283.9700000002"/>
    <n v="2279696.25"/>
    <n v="2319694.13"/>
    <n v="20950553.870000001"/>
    <n v="4.2245304026997943E-2"/>
    <n v="0.42429041606550583"/>
    <b v="1"/>
  </r>
  <r>
    <n v="5"/>
    <s v="INTERAGENCY"/>
    <x v="3"/>
    <s v="State Division of Accounting — central accounting services charged back to Parks"/>
    <s v="DIV OF ACCOUNTING"/>
    <n v="2058824.02"/>
    <n v="2265678.0699999998"/>
    <n v="2318471.9300000002"/>
    <n v="2154710.4900000002"/>
    <n v="1619753.74"/>
    <n v="1887601.47"/>
    <n v="1895135.31"/>
    <n v="1883260.37"/>
    <n v="16083435.400000002"/>
    <n v="3.2431105281875837E-2"/>
    <n v="0.45672152134738164"/>
    <b v="1"/>
  </r>
  <r>
    <n v="14"/>
    <s v="CONSTRUCTION"/>
    <x v="4"/>
    <s v="General contractor. Lumpy spending pattern = capital project work"/>
    <s v="COMMONWEALTH CONSTRUCTION CO"/>
    <n v="977614"/>
    <n v="9197843"/>
    <n v="3395207"/>
    <n v="0"/>
    <n v="29385"/>
    <n v="382223.22"/>
    <n v="0"/>
    <n v="627901.88"/>
    <n v="14610174.100000001"/>
    <n v="2.9460378497471726E-2"/>
    <n v="0.48618189984485338"/>
    <b v="1"/>
  </r>
  <r>
    <n v="688"/>
    <s v="LEGAL"/>
    <x v="1"/>
    <s v="Delaware law firm. Steady multi-year payments suggest ongoing legal counsel retainer"/>
    <s v="TUNNELL &amp; RAYSOR PA"/>
    <n v="0"/>
    <n v="1539221.44"/>
    <n v="2486526.7200000002"/>
    <n v="755010.13"/>
    <n v="1681022.06"/>
    <n v="2668088.79"/>
    <n v="2832478.82"/>
    <n v="1856145.33"/>
    <n v="13818493.290000001"/>
    <n v="2.7864010367143626E-2"/>
    <n v="0.51404591021199697"/>
    <b v="1"/>
  </r>
  <r>
    <n v="8"/>
    <s v="ENERGY/WATER/REFUSE"/>
    <x v="5"/>
    <s v="Fuel/energy supplier for park vehicles and equipment. Jumped in FY19 — possibly new contract"/>
    <s v="CATO INC"/>
    <n v="1645323.14"/>
    <n v="1943640.99"/>
    <n v="2017351.33"/>
    <n v="1753172.59"/>
    <n v="1100996.76"/>
    <n v="1175584.3799999999"/>
    <n v="1257707.21"/>
    <n v="249713.48"/>
    <n v="11143489.880000003"/>
    <n v="2.2470055962409499E-2"/>
    <n v="0.53651596617440644"/>
    <b v="1"/>
  </r>
  <r>
    <n v="7"/>
    <s v="CONSERVATION DISTRICT"/>
    <x v="6"/>
    <s v="County conservation district — provides maintenance labor and conservation work at northern DE parks"/>
    <s v="NEW CASTLE CONSERVATION DIST"/>
    <n v="1674154.83"/>
    <n v="1303701.32"/>
    <n v="1119531.79"/>
    <n v="1061715.75"/>
    <n v="1101440.99"/>
    <n v="999857.74"/>
    <n v="1167457.8600000001"/>
    <n v="1171951.94"/>
    <n v="9599812.2200000007"/>
    <n v="1.9357339588845439E-2"/>
    <n v="0.55587330576325189"/>
    <b v="1"/>
  </r>
  <r>
    <n v="9"/>
    <s v="INTERAGENCY"/>
    <x v="7"/>
    <s v="State fleet management — vehicle leases and maintenance charged back to Parks"/>
    <s v="OMB FLEET MANAGEMENT"/>
    <n v="1644341.04"/>
    <n v="1442732.63"/>
    <n v="1086416.58"/>
    <n v="892609.43"/>
    <n v="835364.45"/>
    <n v="810560.09"/>
    <n v="772402.73"/>
    <n v="851271.86"/>
    <n v="8335698.8099999996"/>
    <n v="1.6808344671507002E-2"/>
    <n v="0.57268165043475894"/>
    <b v="1"/>
  </r>
  <r>
    <n v="1649"/>
    <s v="LEGAL"/>
    <x v="1"/>
    <s v="Same firm as Saul Ewing Arnstein &amp; Lehr — name changed after merger. Pre-2021 payments. DUPLICATE VENDOR."/>
    <s v="SAUL EWING LLP"/>
    <n v="0"/>
    <n v="0"/>
    <n v="0"/>
    <n v="0"/>
    <n v="0"/>
    <n v="3265394.61"/>
    <n v="4741258.2699999996"/>
    <n v="150315.87"/>
    <n v="8156968.7499999991"/>
    <n v="1.6447948198444039E-2"/>
    <n v="0.58912959863320302"/>
    <b v="1"/>
  </r>
  <r>
    <n v="16"/>
    <s v="CONSTRUCTION"/>
    <x v="4"/>
    <s v="General contractor. Lumpy spending = capital projects"/>
    <s v="RICHARD E PIERSON CONSTRUCTION CO INC"/>
    <n v="734287.01"/>
    <n v="2722907.04"/>
    <n v="167912.5"/>
    <n v="192579.66"/>
    <n v="934103.09"/>
    <n v="1015169.65"/>
    <n v="283195"/>
    <n v="0"/>
    <n v="6050153.9500000002"/>
    <n v="1.2199705774551558E-2"/>
    <n v="0.60132930440775456"/>
    <b v="1"/>
  </r>
  <r>
    <n v="123"/>
    <s v="CONSTRUCTION"/>
    <x v="4"/>
    <s v="General contractor. Large capital project work, peaked FY22-23"/>
    <s v="MERIT CONSTRUCTION ENGINEERS"/>
    <n v="34400"/>
    <n v="303400.5"/>
    <n v="1840980.21"/>
    <n v="2460640"/>
    <n v="105940"/>
    <n v="319080"/>
    <n v="619099"/>
    <n v="314350"/>
    <n v="5997889.71"/>
    <n v="1.2094318646256987E-2"/>
    <n v="0.61342362305401155"/>
    <b v="1"/>
  </r>
  <r>
    <n v="6"/>
    <s v="CONSTRUCTION"/>
    <x v="4"/>
    <s v="General contractor. Capital project work, active FY22-25"/>
    <s v="A DEL CONSTRUCTION CO INC"/>
    <n v="1913915.9"/>
    <n v="534153.80000000005"/>
    <n v="2110156.25"/>
    <n v="1053174.47"/>
    <n v="354376.25"/>
    <n v="0"/>
    <n v="0"/>
    <n v="0"/>
    <n v="5965776.6699999999"/>
    <n v="1.2029564981678518E-2"/>
    <n v="0.62545318803569006"/>
    <b v="1"/>
  </r>
  <r>
    <n v="15"/>
    <s v="?"/>
    <x v="5"/>
    <s v="Consistent ~$700K-$1.1M/yr. Likely management consulting or contracted park services. VERIFY."/>
    <s v="SOPRIS HOLDINGS LLC"/>
    <n v="800223.7"/>
    <n v="890952.51"/>
    <n v="869794.59"/>
    <n v="620728.38"/>
    <n v="1129085.9099999999"/>
    <n v="678061.12"/>
    <n v="635728.44999999995"/>
    <n v="139334.85"/>
    <n v="5763909.5099999998"/>
    <n v="1.1622514189600024E-2"/>
    <n v="0.63707570222529009"/>
    <b v="1"/>
  </r>
  <r>
    <n v="3"/>
    <s v="ENGINEERING"/>
    <x v="4"/>
    <s v="Engineering firm. $3.9M in FY25 = major design project. DUPLICATE of Century Engineering Inc."/>
    <s v="CENTURY ENGINEERING LLC"/>
    <n v="3867572.18"/>
    <n v="839840.19"/>
    <n v="524814.46"/>
    <n v="62586.76"/>
    <n v="0"/>
    <n v="0"/>
    <n v="0"/>
    <n v="0"/>
    <n v="5294813.59"/>
    <n v="1.0676615580847667E-2"/>
    <n v="0.64775231780613773"/>
    <b v="1"/>
  </r>
  <r>
    <n v="19"/>
    <s v="CONSTRUCTION"/>
    <x v="4"/>
    <s v="General contractor. Large project FY22, otherwise sporadic"/>
    <s v="VENTRESCA BROS INC"/>
    <n v="574378.22"/>
    <n v="0"/>
    <n v="285547.88"/>
    <n v="2386733.89"/>
    <n v="1681043.84"/>
    <n v="0"/>
    <n v="0"/>
    <n v="0"/>
    <n v="4927703.83"/>
    <n v="9.9363648209531644E-3"/>
    <n v="0.6576886826270909"/>
    <b v="1"/>
  </r>
  <r>
    <n v="13"/>
    <s v="ENGINEERING"/>
    <x v="4"/>
    <s v="Architecture/design firm (Baltimore). Consistent spending suggests ongoing design services for park facilities"/>
    <s v="GWWO INC"/>
    <n v="1217349.3700000001"/>
    <n v="776668.04"/>
    <n v="775098.24"/>
    <n v="543527.37"/>
    <n v="278226.21000000002"/>
    <n v="591759.07999999996"/>
    <n v="399198.18"/>
    <n v="107882.54"/>
    <n v="4689709.03"/>
    <n v="9.45646520850227E-3"/>
    <n v="0.6671451478355932"/>
    <b v="1"/>
  </r>
  <r>
    <n v="52"/>
    <s v="ENERGY/WATER/REFUSE"/>
    <x v="5"/>
    <s v="Water utility. $2.8M spike in FY23 is unusual — possible infrastructure project or back-payment. FLAG."/>
    <s v="ARTESIAN WATER INC"/>
    <n v="130735.35"/>
    <n v="166443.74"/>
    <n v="2838592.74"/>
    <n v="1114260.1599999999"/>
    <n v="296267.28000000003"/>
    <n v="54930"/>
    <n v="40201.910000000003"/>
    <n v="40232.639999999999"/>
    <n v="4681663.82"/>
    <n v="9.4402426138863963E-3"/>
    <n v="0.67658539044947963"/>
    <b v="1"/>
  </r>
  <r>
    <n v="689"/>
    <s v="LEGAL"/>
    <x v="1"/>
    <s v="Delaware law firm. Active FY22-24 only — likely project-specific legal work"/>
    <s v="MAY &amp; PERZA PA"/>
    <n v="0"/>
    <n v="522330.11"/>
    <n v="2045535.26"/>
    <n v="1541636.61"/>
    <n v="0"/>
    <n v="0"/>
    <n v="0"/>
    <n v="0"/>
    <n v="4109501.9800000004"/>
    <n v="8.2865188969178313E-3"/>
    <n v="0.68487190934639741"/>
    <b v="1"/>
  </r>
  <r>
    <n v="17"/>
    <s v="ENERGY/WATER/REFUSE"/>
    <x v="5"/>
    <s v="Electric utility — Delmarva Peninsula. Steady, consistent, expected"/>
    <s v="DELMARVA POWER"/>
    <n v="720574.86"/>
    <n v="599528.19999999995"/>
    <n v="715995.69"/>
    <n v="496725.31"/>
    <n v="352418.19"/>
    <n v="370898.54"/>
    <n v="334415.78999999998"/>
    <n v="348629.27"/>
    <n v="3939185.85"/>
    <n v="7.9430885161652434E-3"/>
    <n v="0.69281499786256262"/>
    <b v="1"/>
  </r>
  <r>
    <n v="96"/>
    <s v="CONSTRUCTION"/>
    <x v="4"/>
    <s v="Concrete contractor. Large in FY18-19, then small — completed major project"/>
    <s v="MUMFORD &amp; MILLER CONCRETE INC"/>
    <n v="48774"/>
    <n v="568280"/>
    <n v="63000"/>
    <n v="44212"/>
    <n v="0"/>
    <n v="141720.41"/>
    <n v="1818935.69"/>
    <n v="1155802.6299999999"/>
    <n v="3840724.73"/>
    <n v="7.7445486601285529E-3"/>
    <n v="0.70055954652269115"/>
    <b v="1"/>
  </r>
  <r>
    <n v="697"/>
    <s v="CONSTRUCTION"/>
    <x v="4"/>
    <s v="General contractor. Big FY23 project, otherwise absent"/>
    <s v="DELMARVA VETERAN BUILDERS LLC"/>
    <n v="0"/>
    <n v="157634.37"/>
    <n v="2343499.71"/>
    <n v="977350.93"/>
    <n v="0"/>
    <n v="0"/>
    <n v="0"/>
    <n v="0"/>
    <n v="3478485.0100000002"/>
    <n v="7.0141179900369372E-3"/>
    <n v="0.70757366451272807"/>
    <b v="1"/>
  </r>
  <r>
    <n v="1311"/>
    <s v="CONSTRUCTION"/>
    <x v="4"/>
    <s v="Contractor. Active FY19-20 only"/>
    <s v="CURLEY DODGE FUNK LLC"/>
    <n v="0"/>
    <n v="0"/>
    <n v="0"/>
    <n v="535.5"/>
    <n v="767038.85"/>
    <n v="2189706.31"/>
    <n v="504570.9"/>
    <n v="0"/>
    <n v="3461851.56"/>
    <n v="6.9805778193747147E-3"/>
    <n v="0.71455424233210274"/>
    <b v="1"/>
  </r>
  <r>
    <n v="792"/>
    <s v="CONSTRUCTION"/>
    <x v="4"/>
    <s v="Heavy civil/paving contractor. Sporadic capital work"/>
    <s v="GREGGO &amp; FERRARA INC"/>
    <n v="0"/>
    <n v="2724.65"/>
    <n v="668489.1"/>
    <n v="0"/>
    <n v="189475.42"/>
    <n v="892183.23"/>
    <n v="595426.6"/>
    <n v="816015.8"/>
    <n v="3164314.8"/>
    <n v="6.3806160730933061E-3"/>
    <n v="0.720934858405196"/>
    <b v="1"/>
  </r>
  <r>
    <n v="20"/>
    <s v="INTERAGENCY"/>
    <x v="3"/>
    <s v="DNREC Secretary's office — overhead allocation or shared services"/>
    <s v="DNREC OFFICE OF THE SECRETARY"/>
    <n v="573382.65"/>
    <n v="689607.24"/>
    <n v="554001.11"/>
    <n v="338883.52"/>
    <n v="346628.74"/>
    <n v="338939.04"/>
    <n v="7690.98"/>
    <n v="122207.03999999999"/>
    <n v="2971340.32"/>
    <n v="5.9914967387006525E-3"/>
    <n v="0.7269263551438967"/>
    <b v="1"/>
  </r>
  <r>
    <n v="1403"/>
    <s v="CONSTRUCTION"/>
    <x v="4"/>
    <s v="Major national GC. $2.4M FY21 = one large capital project"/>
    <s v="WHITING TURNER CONTRACTING CO"/>
    <n v="0"/>
    <n v="0"/>
    <n v="0"/>
    <n v="0"/>
    <n v="2357954.75"/>
    <n v="418857.25"/>
    <n v="0"/>
    <n v="0"/>
    <n v="2776812"/>
    <n v="5.5992441962975275E-3"/>
    <n v="0.73252559934019423"/>
    <b v="1"/>
  </r>
  <r>
    <n v="21"/>
    <s v="MUNICIPAL"/>
    <x v="8"/>
    <s v="County government. Variable spending suggests grants or shared service agreements"/>
    <s v="NEW CASTLE COUNTY"/>
    <n v="569663.57999999996"/>
    <n v="330977.78999999998"/>
    <n v="160662.03"/>
    <n v="926097.62"/>
    <n v="145322.03"/>
    <n v="282590.46999999997"/>
    <n v="118363.01"/>
    <n v="10543.1"/>
    <n v="2544219.6299999994"/>
    <n v="5.1302382002756178E-3"/>
    <n v="0.73765583754046982"/>
    <b v="1"/>
  </r>
  <r>
    <n v="1197"/>
    <s v="ENGINEERING"/>
    <x v="9"/>
    <s v="Engineering firm. DUPLICATE of Century Engineering LLC — same firm, older entity name"/>
    <s v="CENTURY ENGINEERING INC"/>
    <n v="0"/>
    <n v="0"/>
    <n v="0"/>
    <n v="241274.2"/>
    <n v="314054.14"/>
    <n v="436316.32"/>
    <n v="918411.46"/>
    <n v="625625.59"/>
    <n v="2535681.71"/>
    <n v="5.1130220909356809E-3"/>
    <n v="0.74276885963140549"/>
    <b v="1"/>
  </r>
  <r>
    <n v="956"/>
    <s v="CONSTRUCTION"/>
    <x v="4"/>
    <s v="Heavy civil contractor. Large FY19 project"/>
    <s v="GEORGE &amp; LYNCH INC"/>
    <n v="0"/>
    <n v="0"/>
    <n v="820702.2"/>
    <n v="0"/>
    <n v="0"/>
    <n v="116121.85"/>
    <n v="1524892.07"/>
    <n v="0"/>
    <n v="2461716.12"/>
    <n v="4.9638757315374855E-3"/>
    <n v="0.74773273536294294"/>
    <b v="1"/>
  </r>
  <r>
    <n v="108"/>
    <s v="INTERAGENCY"/>
    <x v="3"/>
    <s v="Internal DNREC fund — environmental compliance or financing charges"/>
    <s v="DNREC ENVIRONMENTAL FINANCE"/>
    <n v="41773.99"/>
    <n v="407493.22"/>
    <n v="538108.27"/>
    <n v="235212.49"/>
    <n v="386660.38"/>
    <n v="270817.15999999997"/>
    <n v="149327.5"/>
    <n v="20941.150000000001"/>
    <n v="2050334.16"/>
    <n v="4.1343532244352754E-3"/>
    <n v="0.75186708858737816"/>
    <b v="1"/>
  </r>
  <r>
    <n v="29"/>
    <s v="EQUIPMENT &amp; SUPPLIES"/>
    <x v="7"/>
    <s v="Equipment dealer. Consistent moderate spending = ongoing equipment purchases/maintenance"/>
    <s v="BURKE EQUIPMENT COMPANY"/>
    <n v="338491.78"/>
    <n v="342771"/>
    <n v="438609"/>
    <n v="195412.94"/>
    <n v="20703.439999999999"/>
    <n v="129620.71"/>
    <n v="345381.4"/>
    <n v="50543.13"/>
    <n v="1861533.4"/>
    <n v="3.7536499000162785E-3"/>
    <n v="0.75562073848739442"/>
    <b v="1"/>
  </r>
  <r>
    <n v="22"/>
    <s v="ENGINEERING"/>
    <x v="9"/>
    <s v="Engineering/planning firm. Consistent multi-year = ongoing infrastructure design"/>
    <s v="RUMMEL KLEPPER &amp; KAHL LLP"/>
    <n v="467457.53"/>
    <n v="302521.93"/>
    <n v="232568.93"/>
    <n v="187485.91"/>
    <n v="45476.81"/>
    <n v="44223.93"/>
    <n v="182323.07"/>
    <n v="347515.38"/>
    <n v="1809573.4899999998"/>
    <n v="3.6488764315540123E-3"/>
    <n v="0.7592696149189484"/>
    <b v="1"/>
  </r>
  <r>
    <n v="1650"/>
    <s v="LEGAL"/>
    <x v="1"/>
    <s v="Law firm. Single $1.75M payment FY20 — one-time legal matter"/>
    <s v="ECKERT SEAMANS CHERIN &amp;"/>
    <n v="0"/>
    <n v="0"/>
    <n v="0"/>
    <n v="0"/>
    <n v="0"/>
    <n v="1750000"/>
    <n v="0"/>
    <n v="0"/>
    <n v="1750000"/>
    <n v="3.5287507197176737E-3"/>
    <n v="0.7627983656386661"/>
    <b v="1"/>
  </r>
  <r>
    <n v="44"/>
    <s v="FACILITY MAINTENANCE"/>
    <x v="10"/>
    <s v="Specialized maintenance services. Consistent ~$200K/yr = ongoing contract"/>
    <s v="DEMPSEYS SPECIALIZED SERVICES LLC"/>
    <n v="162943"/>
    <n v="133834"/>
    <n v="253533.12"/>
    <n v="293554"/>
    <n v="127765"/>
    <n v="231487.75"/>
    <n v="275429.38"/>
    <n v="242282.61"/>
    <n v="1720828.8599999999"/>
    <n v="3.4699291875633963E-3"/>
    <n v="0.76626829482622949"/>
    <b v="1"/>
  </r>
  <r>
    <n v="1226"/>
    <s v="INTERAGENCY"/>
    <x v="3"/>
    <s v="DelDOT — $1.5M in FY19 likely road or bridge work at park"/>
    <s v="DELDOT FINANCE"/>
    <n v="0"/>
    <n v="0"/>
    <n v="0"/>
    <n v="6721"/>
    <n v="0"/>
    <n v="104094"/>
    <n v="1522556.58"/>
    <n v="0"/>
    <n v="1633371.58"/>
    <n v="3.2935777934236538E-3"/>
    <n v="0.76956187261965314"/>
    <b v="1"/>
  </r>
  <r>
    <n v="10"/>
    <s v="CONSTRUCTION"/>
    <x v="4"/>
    <s v="Contractor. $1.5M in FY25 only — single project"/>
    <s v="H K GRIFFITH INC"/>
    <n v="1539626.37"/>
    <n v="35245"/>
    <n v="0"/>
    <n v="0"/>
    <n v="0"/>
    <n v="0"/>
    <n v="0"/>
    <n v="0"/>
    <n v="1574871.37"/>
    <n v="3.1756162744858625E-3"/>
    <n v="0.77273748889413896"/>
    <b v="1"/>
  </r>
  <r>
    <n v="31"/>
    <s v="ENERGY/WATER/REFUSE"/>
    <x v="8"/>
    <s v="Municipal water/sewer utility serving Cape Henlopen and nearby parks"/>
    <s v="CITY OF LEWES BOARD OF PUBLIC WORKS"/>
    <n v="286239.99"/>
    <n v="202649.51"/>
    <n v="182007.26"/>
    <n v="154353.23000000001"/>
    <n v="152146.25"/>
    <n v="142765.73000000001"/>
    <n v="206567.29"/>
    <n v="210487.98"/>
    <n v="1537217.24"/>
    <n v="3.0996893954356661E-3"/>
    <n v="0.77583717828957466"/>
    <b v="1"/>
  </r>
  <r>
    <n v="228"/>
    <s v="CONSTRUCTION"/>
    <x v="4"/>
    <s v="Marine/waterfront contractor. $817K spike FY20 = marina or shoreline project"/>
    <s v="MURTECH INC"/>
    <n v="9488.43"/>
    <n v="38510.49"/>
    <n v="54489"/>
    <n v="26625"/>
    <n v="20775.3"/>
    <n v="816629.7"/>
    <n v="379893"/>
    <n v="28714"/>
    <n v="1375124.92"/>
    <n v="2.7728417435152618E-3"/>
    <n v="0.77861002003308988"/>
    <b v="1"/>
  </r>
  <r>
    <n v="957"/>
    <s v="FACILITY MAINTENANCE"/>
    <x v="10"/>
    <s v="Roofing contractor. Consistent = ongoing roof maintenance across parks"/>
    <s v="ALL AMERICAN ROOFING &amp; WATERPROOFING INC"/>
    <n v="0"/>
    <n v="0"/>
    <n v="355765"/>
    <n v="285203.90000000002"/>
    <n v="155676.76999999999"/>
    <n v="141676.79999999999"/>
    <n v="219871.6"/>
    <n v="181767"/>
    <n v="1339961.07"/>
    <n v="2.7019363372320936E-3"/>
    <n v="0.78131195637032202"/>
    <b v="1"/>
  </r>
  <r>
    <n v="690"/>
    <s v="INTERAGENCY"/>
    <x v="3"/>
    <s v="Sister division — shared projects or services"/>
    <s v="DNREC DIVISION OF FISH &amp; WILDLIFE"/>
    <n v="0"/>
    <n v="471244.5"/>
    <n v="69621.25"/>
    <n v="0"/>
    <n v="395847.5"/>
    <n v="670"/>
    <n v="215250"/>
    <n v="182000"/>
    <n v="1334633.25"/>
    <n v="2.6911931665695075E-3"/>
    <n v="0.78400314953689154"/>
    <b v="1"/>
  </r>
  <r>
    <n v="100"/>
    <s v="MUNICIPAL"/>
    <x v="8"/>
    <s v="Wilmington city — likely Brandywine Park or urban park shared services"/>
    <s v="CITY OF WILMINGTON"/>
    <n v="46551.29"/>
    <n v="312197.32"/>
    <n v="148030.22"/>
    <n v="148511.82999999999"/>
    <n v="31802.99"/>
    <n v="341372.7"/>
    <n v="271444.02"/>
    <n v="32296.6"/>
    <n v="1332206.97"/>
    <n v="2.6863007452573723E-3"/>
    <n v="0.78668945028214887"/>
    <b v="1"/>
  </r>
  <r>
    <n v="42"/>
    <s v="INTERAGENCY"/>
    <x v="11"/>
    <s v="Dept of Technology &amp; Information — IT services charged back to Parks"/>
    <s v="DTI CHIEF OPERATING OFFICER"/>
    <n v="175752.41"/>
    <n v="184448.85"/>
    <n v="197589.65"/>
    <n v="196010.72"/>
    <n v="174946.62"/>
    <n v="125981.86"/>
    <n v="133565.09"/>
    <n v="133499.6"/>
    <n v="1321794.8000000003"/>
    <n v="2.6653053438966167E-3"/>
    <n v="0.78935475562604551"/>
    <b v="1"/>
  </r>
  <r>
    <n v="39"/>
    <s v="OPERATIONS"/>
    <x v="5"/>
    <s v="Waste/trash hauling. Steady growth tracks park visitation increases"/>
    <s v="WASTE INDUSTRIES OF DELAWARE LLC"/>
    <n v="225999.71"/>
    <n v="165449.93"/>
    <n v="189064.11"/>
    <n v="194591"/>
    <n v="172505.15"/>
    <n v="139027.82"/>
    <n v="119175.2"/>
    <n v="111340.81"/>
    <n v="1317153.73"/>
    <n v="2.655946955837896E-3"/>
    <n v="0.79201070258188344"/>
    <b v="1"/>
  </r>
  <r>
    <n v="955"/>
    <s v="CONSTRUCTION"/>
    <x v="4"/>
    <s v="Construction/engineering firm. Project-based FY22-23"/>
    <s v="JJID INC"/>
    <n v="0"/>
    <n v="0"/>
    <n v="874381.95"/>
    <n v="217549.05"/>
    <n v="73364.83"/>
    <n v="121442.52"/>
    <n v="0"/>
    <n v="0"/>
    <n v="1286738.3500000001"/>
    <n v="2.5946165020861896E-3"/>
    <n v="0.79460531908396959"/>
    <b v="1"/>
  </r>
  <r>
    <n v="11"/>
    <s v="GROUNDS"/>
    <x v="12"/>
    <s v="Landscaping. $1.3M FY25 only — new large contract or one-time project"/>
    <s v="GRASSBUSTERS LANDSCAPING CO"/>
    <n v="1279071.93"/>
    <n v="0"/>
    <n v="0"/>
    <n v="0"/>
    <n v="0"/>
    <n v="0"/>
    <n v="0"/>
    <n v="0"/>
    <n v="1279071.93"/>
    <n v="2.5791577106046705E-3"/>
    <n v="0.79718447679457427"/>
    <b v="1"/>
  </r>
  <r>
    <n v="36"/>
    <s v="EQUIPMENT &amp; SUPPLIES"/>
    <x v="13"/>
    <s v="Equipment leasing. Consistent = ongoing lease agreements"/>
    <s v="ARROW LEASING CORP"/>
    <n v="239542.54"/>
    <n v="202119.9"/>
    <n v="147386.23000000001"/>
    <n v="222559.64"/>
    <n v="298017.51"/>
    <n v="50951.57"/>
    <n v="48693.4"/>
    <n v="44641.120000000003"/>
    <n v="1253911.9100000001"/>
    <n v="2.5284243170714646E-3"/>
    <n v="0.79971290111164572"/>
    <b v="1"/>
  </r>
  <r>
    <n v="12"/>
    <s v="CONSTRUCTION"/>
    <x v="4"/>
    <s v="General contractor. $1.2M FY25 only — single active project"/>
    <s v="EASTERN STATES CONSTRUCTION"/>
    <n v="1224189"/>
    <n v="0"/>
    <n v="0"/>
    <n v="0"/>
    <n v="0"/>
    <n v="0"/>
    <n v="0"/>
    <n v="0"/>
    <n v="1224189"/>
    <n v="2.4684901798974054E-3"/>
    <n v="0.80218139129154309"/>
    <b v="1"/>
  </r>
  <r>
    <n v="45"/>
    <s v="ENERGY/WATER/REFUSE"/>
    <x v="5"/>
    <s v="Electric cooperative serving rural/southern DE parks"/>
    <s v="DELAWARE ELECTRIC COOPERATIVE INC"/>
    <n v="157322.56"/>
    <n v="176899.35"/>
    <n v="204533.83"/>
    <n v="148340.14000000001"/>
    <n v="131214.10999999999"/>
    <n v="151493.07"/>
    <n v="115151.85"/>
    <n v="131500"/>
    <n v="1216454.9100000001"/>
    <n v="2.4528949366666277E-3"/>
    <n v="0.80463428622820976"/>
    <b v="1"/>
  </r>
  <r>
    <n v="46"/>
    <s v="FACILITY MAINTENANCE"/>
    <x v="10"/>
    <s v="Masonry contractor. Sporadic = project-based repairs"/>
    <s v="ENTERPRISE MASONRY CORPORATION"/>
    <n v="154715"/>
    <n v="24635"/>
    <n v="134387"/>
    <n v="35870"/>
    <n v="69643.899999999994"/>
    <n v="338491"/>
    <n v="261948.38"/>
    <n v="192433.5"/>
    <n v="1212123.78"/>
    <n v="2.444161520606804E-3"/>
    <n v="0.80707844774881654"/>
    <b v="1"/>
  </r>
  <r>
    <n v="706"/>
    <s v="CONSTRUCTION"/>
    <x v="4"/>
    <s v="Contractor. $894K spike FY21 = single project"/>
    <s v="CMI LIMITED CO"/>
    <n v="0"/>
    <n v="46594"/>
    <n v="40420"/>
    <n v="19345.849999999999"/>
    <n v="894386.3"/>
    <n v="0"/>
    <n v="20500.599999999999"/>
    <n v="178350"/>
    <n v="1199596.75"/>
    <n v="2.418901654247704E-3"/>
    <n v="0.80949734940306428"/>
    <b v="1"/>
  </r>
  <r>
    <n v="47"/>
    <s v="ENERGY/WATER/REFUSE"/>
    <x v="5"/>
    <s v="Heating fuel/HVAC services. Steady ~$150K/yr = energy supply contract"/>
    <s v="GRIFFITH ENERGY SVCS INC DBA CARL KING"/>
    <n v="149685.46"/>
    <n v="204572.04"/>
    <n v="173584.53"/>
    <n v="157939.57999999999"/>
    <n v="111237.92"/>
    <n v="101508.54"/>
    <n v="151785.72"/>
    <n v="128809.46"/>
    <n v="1179123.25"/>
    <n v="2.3776182954704812E-3"/>
    <n v="0.81187496769853473"/>
    <b v="1"/>
  </r>
  <r>
    <n v="28"/>
    <s v="ENGINEERING"/>
    <x v="9"/>
    <s v="Engineering/transportation firm. Growing FY23-25 = active design projects"/>
    <s v="GREENMAN-PEDERSEN INC"/>
    <n v="339601.53"/>
    <n v="523247.09"/>
    <n v="248141.18"/>
    <n v="41578.17"/>
    <n v="0"/>
    <n v="0"/>
    <n v="0"/>
    <n v="0"/>
    <n v="1152567.97"/>
    <n v="2.3240714592348789E-3"/>
    <n v="0.81419903915776959"/>
    <b v="1"/>
  </r>
  <r>
    <n v="958"/>
    <s v="FACILITY MAINTENANCE"/>
    <x v="10"/>
    <s v="Masonry pointing/restoration. Consistent = ongoing historic structure maintenance. DUPLICATE of PAULS POINTING INC."/>
    <s v="PAUL'S POINTING INC"/>
    <n v="0"/>
    <n v="0"/>
    <n v="188150"/>
    <n v="274070"/>
    <n v="186400"/>
    <n v="224715"/>
    <n v="183050"/>
    <n v="95215"/>
    <n v="1151600"/>
    <n v="2.322119616472499E-3"/>
    <n v="0.81652115877424214"/>
    <b v="1"/>
  </r>
  <r>
    <n v="283"/>
    <s v="EQUIPMENT &amp; SUPPLIES"/>
    <x v="12"/>
    <s v="Playground surfacing/mulch manufacturer. Consistent FY21-24"/>
    <s v="ZEAGER BROS INC"/>
    <n v="6011.36"/>
    <n v="343211.18"/>
    <n v="280974.83"/>
    <n v="264780.75"/>
    <n v="241932.31"/>
    <n v="0"/>
    <n v="0"/>
    <n v="0"/>
    <n v="1136910.43"/>
    <n v="2.2924991417811597E-3"/>
    <n v="0.81881365791602334"/>
    <b v="1"/>
  </r>
  <r>
    <n v="58"/>
    <s v="CONSTRUCTION"/>
    <x v="4"/>
    <s v="General contractor. DUPLICATE of PRETTYMAN BUIDERS LLC (typo)."/>
    <s v="PRETTYMAN BUILDERS LLC"/>
    <n v="118107.39"/>
    <n v="199646.45"/>
    <n v="422113.14"/>
    <n v="80772.39"/>
    <n v="77561.06"/>
    <n v="153680.76"/>
    <n v="0"/>
    <n v="0"/>
    <n v="1051881.19"/>
    <n v="2.1210437178685614E-3"/>
    <n v="0.82093470163389193"/>
    <b v="1"/>
  </r>
  <r>
    <n v="38"/>
    <s v="CONSERVATION DISTRICT"/>
    <x v="0"/>
    <s v="Sussex County government — likely conservation district payments or shared services"/>
    <s v="SUSSEX COUNTY COUNCIL"/>
    <n v="233544.62"/>
    <n v="69039.05"/>
    <n v="66295.679999999993"/>
    <n v="143408.98000000001"/>
    <n v="59948.71"/>
    <n v="145565.53"/>
    <n v="213011.7"/>
    <n v="95288.86"/>
    <n v="1026103.13"/>
    <n v="2.0690640905668902E-3"/>
    <n v="0.82300376572445877"/>
    <b v="1"/>
  </r>
  <r>
    <n v="82"/>
    <s v="ENGINEERING"/>
    <x v="9"/>
    <s v="Major national engineering firm. Consistent multi-year = infrastructure design"/>
    <s v="AECOM"/>
    <n v="65137.05"/>
    <n v="212360.87"/>
    <n v="161771.19"/>
    <n v="64973.69"/>
    <n v="83700.23"/>
    <n v="218752"/>
    <n v="147257.32"/>
    <n v="52544.99"/>
    <n v="1006497.3400000001"/>
    <n v="2.0295304073822424E-3"/>
    <n v="0.82503329613184107"/>
    <b v="1"/>
  </r>
  <r>
    <n v="51"/>
    <s v="ENERGY/WATER/REFUSE"/>
    <x v="5"/>
    <s v="Water utility serving southern DE parks. Very steady ~$125K/yr"/>
    <s v="SUSSEX SHORES WATER CO"/>
    <n v="131767.56"/>
    <n v="129426.77"/>
    <n v="134025.13"/>
    <n v="131100.38"/>
    <n v="124485.17"/>
    <n v="118438.19"/>
    <n v="115594.49"/>
    <n v="116082.09"/>
    <n v="1000919.7800000001"/>
    <n v="2.0182836537455178E-3"/>
    <n v="0.82705157978558663"/>
    <b v="1"/>
  </r>
  <r>
    <n v="969"/>
    <s v="FACILITY MAINTENANCE"/>
    <x v="10"/>
    <s v=" INC"/>
    <s v="MASTEN ELECTRIC, INC"/>
    <n v="0"/>
    <n v="0"/>
    <n v="49879.5"/>
    <n v="217198"/>
    <n v="260744.76"/>
    <n v="357141"/>
    <n v="103324.45"/>
    <n v="0"/>
    <n v="988287.71"/>
    <n v="1.992811981686075E-3"/>
    <n v="0.82904439176727274"/>
    <b v="1"/>
  </r>
  <r>
    <n v="43"/>
    <s v="GROUNDS"/>
    <x v="12"/>
    <s v="Tree care company. Consistent = ongoing tree maintenance across parks"/>
    <s v="DAVEY TREE EXPERTS"/>
    <n v="163311"/>
    <n v="23200"/>
    <n v="106536"/>
    <n v="100570.34"/>
    <n v="138906.5"/>
    <n v="117956.25"/>
    <n v="214236.25"/>
    <n v="112868.5"/>
    <n v="977584.84"/>
    <n v="1.9712304044200496E-3"/>
    <n v="0.83101562217169278"/>
    <b v="1"/>
  </r>
  <r>
    <n v="23"/>
    <s v="CONSTRUCTION"/>
    <x v="4"/>
    <s v="General contractor. Growing FY24-25 = active projects"/>
    <s v="LAWRENCE C BATHON BUILDERS INC"/>
    <n v="443810.69"/>
    <n v="237998"/>
    <n v="104774.88"/>
    <n v="34336.980000000003"/>
    <n v="49840"/>
    <n v="49900"/>
    <n v="5086.78"/>
    <n v="48372.7"/>
    <n v="974120.02999999991"/>
    <n v="1.964243861116515E-3"/>
    <n v="0.83297986603280927"/>
    <b v="1"/>
  </r>
  <r>
    <n v="700"/>
    <s v="MUNICIPAL"/>
    <x v="8"/>
    <s v="City of Newark — likely shared services or White Clay Creek SP related"/>
    <s v="CITY OF NEWARK"/>
    <n v="0"/>
    <n v="83336.5"/>
    <n v="45336.47"/>
    <n v="466004.25"/>
    <n v="58904.02"/>
    <n v="53000"/>
    <n v="78000"/>
    <n v="148971.43"/>
    <n v="933552.66999999993"/>
    <n v="1.8824426606610604E-3"/>
    <n v="0.83486230869347033"/>
    <b v="1"/>
  </r>
  <r>
    <n v="24"/>
    <s v="INTERAGENCY"/>
    <x v="14"/>
    <s v="Internal Parks account. NEGATIVE values FY19-20 = journal reversals. DUPLICATE of DNREC P &amp; R MANAGEMENT &amp; SUPPORT."/>
    <s v="DNREC P&amp;R MANAGEMENT AND SUPPORT"/>
    <n v="431772.54"/>
    <n v="537698.93000000005"/>
    <n v="179752.75"/>
    <n v="91774.86"/>
    <n v="103272.91"/>
    <n v="-401631.49"/>
    <n v="-64445.26"/>
    <n v="39355.15"/>
    <n v="917550.39"/>
    <n v="1.850175199479847E-3"/>
    <n v="0.83671248389295017"/>
    <b v="1"/>
  </r>
  <r>
    <n v="49"/>
    <s v="OPERATIONS"/>
    <x v="10"/>
    <s v="Janitorial/cleaning services. Steady ~$120K/yr = ongoing contract"/>
    <s v="MID ATLANTIC SERVICES A TEAM CORP"/>
    <n v="134672.37"/>
    <n v="126706.71"/>
    <n v="117635"/>
    <n v="124779.23"/>
    <n v="162178.98000000001"/>
    <n v="65679.78"/>
    <n v="66925.119999999995"/>
    <n v="108506.33"/>
    <n v="907083.52"/>
    <n v="1.8290694994537377E-3"/>
    <n v="0.83854155339240388"/>
    <b v="1"/>
  </r>
  <r>
    <n v="86"/>
    <s v="PROFESSIONAL SERVICES"/>
    <x v="15"/>
    <s v="Consulting firm. Varied spending — likely project-based consulting"/>
    <s v="CUNNINGHAM ASSOCIATES INC"/>
    <n v="61655.05"/>
    <n v="2244.85"/>
    <n v="66608.070000000007"/>
    <n v="57641.57"/>
    <n v="45526.53"/>
    <n v="111056.41"/>
    <n v="363233.69"/>
    <n v="164927.51"/>
    <n v="872893.67999999993"/>
    <n v="1.7601281151640048E-3"/>
    <n v="0.8403016815075679"/>
    <b v="1"/>
  </r>
  <r>
    <n v="127"/>
    <s v="FACILITY MAINTENANCE"/>
    <x v="10"/>
    <s v="Plumbing and HVAC contractor. Sporadic = repair-based"/>
    <s v="FLETCHER PLUMBING HEATING A/C"/>
    <n v="31381.13"/>
    <n v="73800.23"/>
    <n v="329206.5"/>
    <n v="113763.9"/>
    <n v="112493.88"/>
    <n v="22988.9"/>
    <n v="30521.65"/>
    <n v="76028.240000000005"/>
    <n v="790184.43"/>
    <n v="1.5933507863269713E-3"/>
    <n v="0.84189503229389484"/>
    <b v="1"/>
  </r>
  <r>
    <n v="972"/>
    <s v="PROFESSIONAL SERVICES"/>
    <x v="16"/>
    <s v="Conservation/land trust. $442K in FY18, declining. Likely conservation easement or land partnership."/>
    <s v="THE NORTH SKUNK RIVER GREENBELT ASSOCIAT"/>
    <n v="0"/>
    <n v="0"/>
    <n v="37938.5"/>
    <n v="53711.5"/>
    <n v="132288"/>
    <n v="66245"/>
    <n v="48511.25"/>
    <n v="441975"/>
    <n v="780669.25"/>
    <n v="1.5741641015994037E-3"/>
    <n v="0.84346919639549423"/>
    <b v="1"/>
  </r>
  <r>
    <n v="694"/>
    <s v="INTERAGENCY"/>
    <x v="3"/>
    <s v="Dept of Agriculture Forest Service — shared land management"/>
    <s v="DOA FOREST SERVICE"/>
    <n v="0"/>
    <n v="269282"/>
    <n v="40045"/>
    <n v="0"/>
    <n v="226198"/>
    <n v="0"/>
    <n v="123000"/>
    <n v="104000"/>
    <n v="762525"/>
    <n v="1.5375775100301252E-3"/>
    <n v="0.84500677390552437"/>
    <b v="1"/>
  </r>
  <r>
    <n v="98"/>
    <s v="INTERAGENCY"/>
    <x v="11"/>
    <s v="Internal DNREC IT — technology services. $354K FY19 spike = system project"/>
    <s v="DNREC OFC OF INFORMATION TECHNOLOGY"/>
    <n v="46940.18"/>
    <n v="7260.15"/>
    <n v="1087"/>
    <n v="76629"/>
    <n v="71970.240000000005"/>
    <n v="0"/>
    <n v="354143.82"/>
    <n v="203651.7"/>
    <n v="761682.09000000008"/>
    <n v="1.5358778418763212E-3"/>
    <n v="0.84654265174740073"/>
    <b v="1"/>
  </r>
  <r>
    <n v="80"/>
    <s v="FACILITY MAINTENANCE"/>
    <x v="10"/>
    <s v="Plumbing/mechanical contractor. Steady = ongoing maintenance"/>
    <s v="HARRY CASWELL INC"/>
    <n v="68811.11"/>
    <n v="141974.29"/>
    <n v="57533.53"/>
    <n v="117306.64"/>
    <n v="115398.51"/>
    <n v="44371.9"/>
    <n v="93585.03"/>
    <n v="95379.66"/>
    <n v="734360.67000000016"/>
    <n v="1.4807861387399163E-3"/>
    <n v="0.84802343788614065"/>
    <b v="1"/>
  </r>
  <r>
    <n v="966"/>
    <s v="OPERATIONS"/>
    <x v="13"/>
    <s v="Likely contracted concession or facility management at a specific park"/>
    <s v="FOREWINDS GARRISON LAKE LLC"/>
    <n v="0"/>
    <n v="0"/>
    <n v="70000"/>
    <n v="75000"/>
    <n v="180000"/>
    <n v="131000"/>
    <n v="125000"/>
    <n v="149331.07999999999"/>
    <n v="730331.08"/>
    <n v="1.4726607566755347E-3"/>
    <n v="0.84949609864281617"/>
    <b v="1"/>
  </r>
  <r>
    <n v="212"/>
    <s v="FACILITY MAINTENANCE"/>
    <x v="10"/>
    <s v="General maintenance/construction. Consistent moderate spending"/>
    <s v="JOSEPH A COCHRAN &amp; SONS INC"/>
    <n v="12300"/>
    <n v="92510"/>
    <n v="26133"/>
    <n v="111869"/>
    <n v="110035"/>
    <n v="158085"/>
    <n v="42160"/>
    <n v="134665"/>
    <n v="687757"/>
    <n v="1.3868131478519247E-3"/>
    <n v="0.85088291179066811"/>
    <b v="1"/>
  </r>
  <r>
    <n v="2243"/>
    <s v="OPERATIONS"/>
    <x v="16"/>
    <s v="$671K FY18 only. Likely gas station/convenience operator — possibly marina fuel contract. VERIFY."/>
    <s v="GPM INVESTMENTS LLC"/>
    <n v="0"/>
    <n v="0"/>
    <n v="0"/>
    <n v="0"/>
    <n v="0"/>
    <n v="0"/>
    <n v="0"/>
    <n v="670757.03"/>
    <n v="670757.03"/>
    <n v="1.3525339156389652E-3"/>
    <n v="0.85223544570630705"/>
    <b v="1"/>
  </r>
  <r>
    <n v="27"/>
    <s v="ENGINEERING"/>
    <x v="9"/>
    <s v="Marine/coastal engineering firm. Growing FY24-25 = active marina or shoreline project"/>
    <s v="MOFFATT &amp; NICHOL"/>
    <n v="344109.16"/>
    <n v="280199.55"/>
    <n v="5500.5"/>
    <n v="22023.5"/>
    <n v="949"/>
    <n v="16432"/>
    <n v="0"/>
    <n v="0"/>
    <n v="669213.71"/>
    <n v="1.3494219204613911E-3"/>
    <n v="0.85358486762676844"/>
    <b v="1"/>
  </r>
  <r>
    <n v="33"/>
    <s v="CONSTRUCTION"/>
    <x v="4"/>
    <s v="Paving contractor. Active FY22-25"/>
    <s v="GREEN PAVING &amp; EXCAVATING"/>
    <n v="261700"/>
    <n v="120340"/>
    <n v="183690"/>
    <n v="103215"/>
    <n v="0"/>
    <n v="0"/>
    <n v="0"/>
    <n v="0"/>
    <n v="668945"/>
    <n v="1.348880085829451E-3"/>
    <n v="0.85493374771259789"/>
    <b v="1"/>
  </r>
  <r>
    <n v="702"/>
    <s v="INTERAGENCY"/>
    <x v="14"/>
    <s v="Internal Parks internship program. Declining trend. DUPLICATE coded differently from P&amp;R Management."/>
    <s v="DNREC P &amp; R INTERNSHIP PROGRAM"/>
    <n v="0"/>
    <n v="60000"/>
    <n v="54150"/>
    <n v="69550"/>
    <n v="118000"/>
    <n v="79301"/>
    <n v="99750"/>
    <n v="186672.99"/>
    <n v="667423.99"/>
    <n v="1.3458130771824808E-3"/>
    <n v="0.8562795607897804"/>
    <b v="1"/>
  </r>
  <r>
    <n v="971"/>
    <s v="FACILITY MAINTENANCE"/>
    <x v="4"/>
    <s v="Roofing contractor. $492K FY18 spike = major roof project"/>
    <s v="DETWILER ROOFING"/>
    <n v="0"/>
    <n v="0"/>
    <n v="38495"/>
    <n v="44950"/>
    <n v="1200"/>
    <n v="14225.35"/>
    <n v="72766.55"/>
    <n v="492436.75"/>
    <n v="664073.65"/>
    <n v="1.3390573545045957E-3"/>
    <n v="0.85761861814428497"/>
    <b v="1"/>
  </r>
  <r>
    <n v="339"/>
    <s v="OPERATIONS"/>
    <x v="13"/>
    <s v="Parking meter/kiosk technology company. Payment processing for park fees"/>
    <s v="PARKEON INC"/>
    <n v="3410"/>
    <n v="69913"/>
    <n v="119548"/>
    <n v="127006"/>
    <n v="182673"/>
    <n v="161234"/>
    <n v="0"/>
    <n v="0"/>
    <n v="663784"/>
    <n v="1.3384732958497578E-3"/>
    <n v="0.85895709144013477"/>
    <b v="1"/>
  </r>
  <r>
    <n v="198"/>
    <s v="EQUIPMENT &amp; SUPPLIES"/>
    <x v="7"/>
    <s v="Turf/grounds equipment. Sporadic = equipment purchases as needed"/>
    <s v="TURF EQUIP &amp; SUPPLY CO INC"/>
    <n v="14357.74"/>
    <n v="202761.92"/>
    <n v="15516.79"/>
    <n v="86855.47"/>
    <n v="27278.61"/>
    <n v="39301.410000000003"/>
    <n v="73046.52"/>
    <n v="195953.33"/>
    <n v="655071.79"/>
    <n v="1.3209057431024256E-3"/>
    <n v="0.86027799718323716"/>
    <b v="1"/>
  </r>
  <r>
    <n v="1652"/>
    <s v="INTERAGENCY"/>
    <x v="14"/>
    <s v="DUPLICATE of DNREC P&amp;R MANAGEMENT AND SUPPORT"/>
    <s v="DNREC P &amp; R MANAGEMENT &amp; SUPPORT"/>
    <n v="0"/>
    <n v="0"/>
    <n v="0"/>
    <n v="0"/>
    <n v="0"/>
    <n v="223150.68"/>
    <n v="178310.51"/>
    <n v="249720.95"/>
    <n v="651182.14"/>
    <n v="1.3130625401098829E-3"/>
    <n v="0.86159105972334704"/>
    <b v="1"/>
  </r>
  <r>
    <n v="1651"/>
    <s v="CONSTRUCTION"/>
    <x v="4"/>
    <s v="Contractor. Active FY19-20 only"/>
    <s v="AMAKOR INC"/>
    <n v="0"/>
    <n v="0"/>
    <n v="0"/>
    <n v="0"/>
    <n v="0"/>
    <n v="312025.2"/>
    <n v="317075.8"/>
    <n v="0"/>
    <n v="629101"/>
    <n v="1.2685374894429191E-3"/>
    <n v="0.86285959721278993"/>
    <b v="1"/>
  </r>
  <r>
    <n v="109"/>
    <s v="OPERATIONS"/>
    <x v="5"/>
    <s v="Fuel services. $234K spike FY23 unusual vs ~$40K norm. VERIFY."/>
    <s v="FIRST STATE PETROLEUM SVCS INC"/>
    <n v="41540.449999999997"/>
    <n v="167158.32999999999"/>
    <n v="234487.19"/>
    <n v="20767.36"/>
    <n v="40038.370000000003"/>
    <n v="39161.25"/>
    <n v="39994.5"/>
    <n v="45408.85"/>
    <n v="628556.29999999993"/>
    <n v="1.2674391405760445E-3"/>
    <n v="0.86412703635336596"/>
    <b v="1"/>
  </r>
  <r>
    <n v="67"/>
    <s v="INTERAGENCY"/>
    <x v="10"/>
    <s v="Dept of Correction — inmate labor for park maintenance. Common in state parks."/>
    <s v="DOC SUSSEX COUNTY COMMUNITY CORR"/>
    <n v="88185"/>
    <n v="108367.5"/>
    <n v="93632.5"/>
    <n v="88037.5"/>
    <n v="111615"/>
    <n v="56117"/>
    <n v="41023"/>
    <n v="39246"/>
    <n v="626223.5"/>
    <n v="1.2627352150452117E-3"/>
    <n v="0.86538977156841113"/>
    <b v="1"/>
  </r>
  <r>
    <n v="74"/>
    <s v="OPERATIONS"/>
    <x v="10"/>
    <s v="Cleaning supplies. Very steady ~$78K/yr"/>
    <s v="STATE JANITORIAL SUPPLY"/>
    <n v="75219.520000000004"/>
    <n v="85038.12"/>
    <n v="83097.62"/>
    <n v="75586.91"/>
    <n v="75537.13"/>
    <n v="66613.72"/>
    <n v="76094.509999999995"/>
    <n v="83182.62"/>
    <n v="620370.15"/>
    <n v="1.2509323504593492E-3"/>
    <n v="0.86664070391887049"/>
    <b v="1"/>
  </r>
  <r>
    <n v="210"/>
    <s v="CONSTRUCTION"/>
    <x v="10"/>
    <s v="General contractor. Sporadic project work"/>
    <s v="M &amp; T BUILDERS LLC"/>
    <n v="12585"/>
    <n v="129014"/>
    <n v="170179"/>
    <n v="127975"/>
    <n v="40626"/>
    <n v="54675"/>
    <n v="36168"/>
    <n v="33752"/>
    <n v="604974"/>
    <n v="1.2198871073774171E-3"/>
    <n v="0.86786059102624791"/>
    <b v="1"/>
  </r>
  <r>
    <n v="18"/>
    <s v="CONSTRUCTION"/>
    <x v="4"/>
    <s v="General contractor. $605K FY25 only"/>
    <s v="BANCROFT CONSTRUCTION CO"/>
    <n v="604674.05000000005"/>
    <n v="0"/>
    <n v="0"/>
    <n v="0"/>
    <n v="0"/>
    <n v="0"/>
    <n v="0"/>
    <n v="0"/>
    <n v="604674.05000000005"/>
    <n v="1.2192822795040576E-3"/>
    <n v="0.86907987330575198"/>
    <b v="1"/>
  </r>
  <r>
    <n v="126"/>
    <s v="FACILITY MAINTENANCE"/>
    <x v="10"/>
    <s v="Contractor. Sporadic — various maintenance projects"/>
    <s v="CIRILLO BROS INC"/>
    <n v="33499"/>
    <n v="0"/>
    <n v="0"/>
    <n v="49500"/>
    <n v="837.86"/>
    <n v="124455.31"/>
    <n v="44650.84"/>
    <n v="346607.44"/>
    <n v="599550.44999999995"/>
    <n v="1.2089509039683172E-3"/>
    <n v="0.87028882420972031"/>
    <b v="1"/>
  </r>
  <r>
    <n v="64"/>
    <s v="ENERGY/WATER/REFUSE"/>
    <x v="5"/>
    <s v="Propane supplier. Steady growth tracks fuel costs"/>
    <s v="SUBURBAN PROPANE LP"/>
    <n v="96552.61"/>
    <n v="94386.09"/>
    <n v="92454.43"/>
    <n v="85496.19"/>
    <n v="58309.34"/>
    <n v="62747.39"/>
    <n v="47552.85"/>
    <n v="54095.09"/>
    <n v="591593.99"/>
    <n v="1.1929072674246573E-3"/>
    <n v="0.87148173147714492"/>
    <b v="1"/>
  </r>
  <r>
    <n v="1661"/>
    <s v="CONSTRUCTION"/>
    <x v="5"/>
    <s v="Industrial contractor. Active FY18-19 only"/>
    <s v="RHOADS INDUSTRIES INC"/>
    <n v="0"/>
    <n v="0"/>
    <n v="0"/>
    <n v="0"/>
    <n v="0"/>
    <n v="35050"/>
    <n v="255600"/>
    <n v="272977"/>
    <n v="563627"/>
    <n v="1.1365138182298934E-3"/>
    <n v="0.87261824529537479"/>
    <b v="1"/>
  </r>
  <r>
    <n v="1036"/>
    <s v="CONSTRUCTION"/>
    <x v="4"/>
    <s v="Excavation contractor. $453K FY18 = one project"/>
    <s v="LINDSTROM EXCAVATING CONTRACTORS INC"/>
    <n v="0"/>
    <n v="0"/>
    <n v="5687.5"/>
    <n v="24000"/>
    <n v="0"/>
    <n v="0"/>
    <n v="48133.15"/>
    <n v="452643.2"/>
    <n v="530463.85"/>
    <n v="1.0696426814124046E-3"/>
    <n v="0.8736878879767872"/>
    <b v="1"/>
  </r>
  <r>
    <n v="65"/>
    <s v="FACILITY MAINTENANCE"/>
    <x v="10"/>
    <s v="Maintenance services. Variable spending"/>
    <s v="PRO WORKS INC"/>
    <n v="94043.1"/>
    <n v="137622.95000000001"/>
    <n v="5352.25"/>
    <n v="66259"/>
    <n v="45747"/>
    <n v="164167"/>
    <n v="6256"/>
    <n v="9265"/>
    <n v="528712.30000000005"/>
    <n v="1.0661108052277639E-3"/>
    <n v="0.87475399878201499"/>
    <b v="1"/>
  </r>
  <r>
    <n v="192"/>
    <s v="PROFESSIONAL SERVICES"/>
    <x v="15"/>
    <s v="Media/communications. $322K spike FY23 — marketing campaign?"/>
    <s v="ASSURANCE MEDIA LLC"/>
    <n v="15589.8"/>
    <n v="70753.16"/>
    <n v="322397.25"/>
    <n v="17320.599999999999"/>
    <n v="65048.57"/>
    <n v="1187.04"/>
    <n v="28142.99"/>
    <n v="6854.97"/>
    <n v="527294.38"/>
    <n v="1.0632516702446197E-3"/>
    <n v="0.87581725045225955"/>
    <b v="1"/>
  </r>
  <r>
    <n v="1409"/>
    <s v="PROFESSIONAL SERVICES"/>
    <x v="0"/>
    <s v="AmeriCorps volunteers program for state parks. Declining, ended FY21."/>
    <s v="AMERICORP STATE PARK PARTNERS"/>
    <n v="0"/>
    <n v="0"/>
    <n v="0"/>
    <n v="0"/>
    <n v="40000"/>
    <n v="135000"/>
    <n v="150000"/>
    <n v="200000"/>
    <n v="525000"/>
    <n v="1.058625215915302E-3"/>
    <n v="0.87687587566817482"/>
    <b v="1"/>
  </r>
  <r>
    <n v="1211"/>
    <s v="FACILITY MAINTENANCE"/>
    <x v="10"/>
    <s v="General contractor/maintenance. Declined from FY19 peak"/>
    <s v="JOHN L BRIGGS &amp; CO"/>
    <n v="0"/>
    <n v="0"/>
    <n v="0"/>
    <n v="15881"/>
    <n v="50050.28"/>
    <n v="197978.6"/>
    <n v="177648.53"/>
    <n v="82065.490000000005"/>
    <n v="523623.9"/>
    <n v="1.0558504079922143E-3"/>
    <n v="0.87793172607616698"/>
    <b v="1"/>
  </r>
  <r>
    <n v="206"/>
    <s v="FACILITY MAINTENANCE"/>
    <x v="10"/>
    <s v="Painting contractor. Consistent = ongoing painting maintenance"/>
    <s v="JAMESTOWN PAINTING AND DECORATING INC"/>
    <n v="13465"/>
    <n v="20305"/>
    <n v="98180"/>
    <n v="77460"/>
    <n v="22540"/>
    <n v="41022"/>
    <n v="201425"/>
    <n v="39785"/>
    <n v="514182"/>
    <n v="1.0368114871804987E-3"/>
    <n v="0.87896853756334747"/>
    <b v="1"/>
  </r>
  <r>
    <n v="299"/>
    <s v="EQUIPMENT &amp; SUPPLIES"/>
    <x v="7"/>
    <s v="Marina boat lift equipment. $387K FY20 = major equipment purchase"/>
    <s v="MARINE TRAVELIFT MID ATLANTIC LLC"/>
    <n v="5058.8900000000003"/>
    <n v="0"/>
    <n v="5634.36"/>
    <n v="69966.039999999994"/>
    <n v="29985.439999999999"/>
    <n v="386893"/>
    <n v="0"/>
    <n v="0"/>
    <n v="497537.73"/>
    <n v="1.0032494987566843E-3"/>
    <n v="0.8799717870621041"/>
    <b v="1"/>
  </r>
  <r>
    <n v="1978"/>
    <s v="FACILITY MAINTENANCE"/>
    <x v="4"/>
    <s v="Masonry contractor. $460K FY18 = one project"/>
    <s v="L WILSON MASONRY INC"/>
    <n v="0"/>
    <n v="0"/>
    <n v="0"/>
    <n v="0"/>
    <n v="0"/>
    <n v="0"/>
    <n v="28892.84"/>
    <n v="459779.6"/>
    <n v="488672.44"/>
    <n v="9.8537327106068095E-4"/>
    <n v="0.88095716033316473"/>
    <b v="1"/>
  </r>
  <r>
    <n v="2244"/>
    <s v="OPERATIONS"/>
    <x v="13"/>
    <s v="Recreation management software (now part of Global Payments). $487K FY18 = campground reservation system."/>
    <s v="ACTIVE NETWORK INC"/>
    <n v="0"/>
    <n v="0"/>
    <n v="0"/>
    <n v="0"/>
    <n v="0"/>
    <n v="0"/>
    <n v="0"/>
    <n v="487304.59"/>
    <n v="487304.59"/>
    <n v="9.8261509867670054E-4"/>
    <n v="0.88193977543184143"/>
    <b v="1"/>
  </r>
  <r>
    <n v="35"/>
    <s v="FACILITY MAINTENANCE"/>
    <x v="4"/>
    <s v="Roofing contractor. Active FY23-25"/>
    <s v="VS ROOFING INC"/>
    <n v="260689.5"/>
    <n v="172129"/>
    <n v="27739"/>
    <n v="0"/>
    <n v="0"/>
    <n v="0"/>
    <n v="0"/>
    <n v="0"/>
    <n v="460557.5"/>
    <n v="9.2868149119792716E-4"/>
    <n v="0.88286845692303939"/>
    <b v="1"/>
  </r>
  <r>
    <n v="704"/>
    <s v="OPERATIONS"/>
    <x v="13"/>
    <s v="Catering. Variable — event-based spending"/>
    <s v="JEFFREY A MILLER CATERING"/>
    <n v="0"/>
    <n v="53700"/>
    <n v="70885.490000000005"/>
    <n v="20590.87"/>
    <n v="171723.56"/>
    <n v="133584.07"/>
    <n v="9292.36"/>
    <n v="0"/>
    <n v="459776.35000000003"/>
    <n v="9.2710635769809437E-4"/>
    <n v="0.8837955632807375"/>
    <b v="1"/>
  </r>
  <r>
    <n v="89"/>
    <s v="OPERATIONS"/>
    <x v="17"/>
    <s v="Wholesale camp store merchandise supplier. Steady = retail inventory for park stores"/>
    <s v="WILCOR INTERNATIONAL INC"/>
    <n v="57867.69"/>
    <n v="53830.74"/>
    <n v="110213.36"/>
    <n v="77248.66"/>
    <n v="50303.55"/>
    <n v="45303.56"/>
    <n v="40066.480000000003"/>
    <n v="20228.22"/>
    <n v="455062.25999999989"/>
    <n v="9.1760072999505754E-4"/>
    <n v="0.88471316401073252"/>
    <b v="1"/>
  </r>
  <r>
    <n v="71"/>
    <s v="FACILITY MAINTENANCE"/>
    <x v="10"/>
    <s v="Electrical contractor. DUPLICATE of MASTEN ELECTRIC, INC"/>
    <s v="MASTEN ELECTRIC INC"/>
    <n v="82394.13"/>
    <n v="237650.15"/>
    <n v="133780"/>
    <n v="0"/>
    <n v="0"/>
    <n v="0"/>
    <n v="0"/>
    <n v="0"/>
    <n v="453824.28"/>
    <n v="9.1510443124306006E-4"/>
    <n v="0.88562826844197562"/>
    <b v="1"/>
  </r>
  <r>
    <n v="362"/>
    <s v="CONSTRUCTION"/>
    <x v="4"/>
    <s v="Contractor. $314K spike FY20 = one project"/>
    <s v="TDK ENTERPRISES INC"/>
    <n v="2820"/>
    <n v="12423"/>
    <n v="6686"/>
    <n v="2320"/>
    <n v="102497.2"/>
    <n v="313929.3"/>
    <n v="7964.5"/>
    <n v="2440"/>
    <n v="451080"/>
    <n v="9.0957078551442755E-4"/>
    <n v="0.88653783922749008"/>
    <b v="1"/>
  </r>
  <r>
    <n v="99"/>
    <s v="ENGINEERING"/>
    <x v="9"/>
    <s v="Engineering firm. Consistent moderate spending"/>
    <s v="CDA ENGINEERING INC"/>
    <n v="46795"/>
    <n v="52100"/>
    <n v="36400"/>
    <n v="75300"/>
    <n v="21840"/>
    <n v="53000"/>
    <n v="140250"/>
    <n v="4750"/>
    <n v="430435"/>
    <n v="8.6794160916667251E-4"/>
    <n v="0.88740578083665678"/>
    <b v="1"/>
  </r>
  <r>
    <n v="85"/>
    <s v="MUNICIPAL"/>
    <x v="8"/>
    <s v="Municipal partner. Very steady ~$52K/yr = likely shared services agreement"/>
    <s v="TOWN OF FENWICK ISLAND"/>
    <n v="61800"/>
    <n v="60000"/>
    <n v="58250"/>
    <n v="52000"/>
    <n v="52000"/>
    <n v="52000"/>
    <n v="45000"/>
    <n v="45000"/>
    <n v="426050"/>
    <n v="8.5909956807755136E-4"/>
    <n v="0.88826488040473428"/>
    <b v="1"/>
  </r>
  <r>
    <n v="104"/>
    <s v="EQUIPMENT &amp; SUPPLIES"/>
    <x v="4"/>
    <s v="Playground equipment supplier. Consistent = ongoing playground maintenance/upgrades"/>
    <s v="LIBERTY PARKS &amp; PLAYGROUND INC"/>
    <n v="43496.98"/>
    <n v="41980.4"/>
    <n v="31719.71"/>
    <n v="35720"/>
    <n v="42957.25"/>
    <n v="99612.98"/>
    <n v="97486.22"/>
    <n v="29130.07"/>
    <n v="422103.61000000004"/>
    <n v="8.5114195290453048E-4"/>
    <n v="0.88911602235763876"/>
    <b v="1"/>
  </r>
  <r>
    <n v="691"/>
    <s v="MUNICIPAL"/>
    <x v="8"/>
    <s v="City of Milford. $310K FY24 = likely one-time project or grant"/>
    <s v="CITY OF MILFORD"/>
    <n v="0"/>
    <n v="310000"/>
    <n v="0"/>
    <n v="0"/>
    <n v="0"/>
    <n v="99705.279999999999"/>
    <n v="0"/>
    <n v="100"/>
    <n v="409805.28"/>
    <n v="8.2634324385377311E-4"/>
    <n v="0.88994236560149254"/>
    <b v="1"/>
  </r>
  <r>
    <n v="55"/>
    <s v="INTERAGENCY"/>
    <x v="3"/>
    <s v="State HR division — training, hiring services charged back"/>
    <s v="DIVISION OF PERSONNEL MANAGEMENT"/>
    <n v="120900"/>
    <n v="78000"/>
    <n v="59600"/>
    <n v="49553.52"/>
    <n v="33154"/>
    <n v="33638"/>
    <n v="32430"/>
    <n v="0"/>
    <n v="407275.52000000002"/>
    <n v="8.2124216247050853E-4"/>
    <n v="0.89076360776396302"/>
    <b v="1"/>
  </r>
  <r>
    <n v="1037"/>
    <s v="FACILITY MAINTENANCE"/>
    <x v="4"/>
    <s v="Electrical contractor. $248K FY19 peak, declining"/>
    <s v="ELECTRICAL INTEGRITY LLC"/>
    <n v="0"/>
    <n v="0"/>
    <n v="5258.89"/>
    <n v="15618.18"/>
    <n v="36720.65"/>
    <n v="89959"/>
    <n v="248322"/>
    <n v="0"/>
    <n v="395878.72"/>
    <n v="7.9826132464052072E-4"/>
    <n v="0.89156186908860358"/>
    <b v="1"/>
  </r>
  <r>
    <n v="34"/>
    <s v="PROFESSIONAL SERVICES"/>
    <x v="15"/>
    <s v="Direct mail/printing company. $261K FY25 = possible marketing campaign"/>
    <s v="VANGUARD DIRECT INC"/>
    <n v="260862"/>
    <n v="71419.25"/>
    <n v="24000"/>
    <n v="39219.85"/>
    <n v="0"/>
    <n v="0"/>
    <n v="0"/>
    <n v="0"/>
    <n v="395501.1"/>
    <n v="7.9749988072807512E-4"/>
    <n v="0.89235936896933166"/>
    <b v="1"/>
  </r>
  <r>
    <n v="26"/>
    <s v="OPERATIONS"/>
    <x v="4"/>
    <s v="Office furniture/interiors. $345K FY25 = office renovation"/>
    <s v="CORPORATE INTERIORS INC"/>
    <n v="344942.5"/>
    <n v="0"/>
    <n v="4368.96"/>
    <n v="0"/>
    <n v="325.92"/>
    <n v="0"/>
    <n v="0"/>
    <n v="45204.5"/>
    <n v="394841.88"/>
    <n v="7.9617061041410253E-4"/>
    <n v="0.89315553957974581"/>
    <b v="1"/>
  </r>
  <r>
    <n v="150"/>
    <s v="EQUIPMENT &amp; SUPPLIES"/>
    <x v="4"/>
    <s v="Prefabricated restroom buildings. $315K FY20 = new restroom installation"/>
    <s v="CXT INCORPORATED"/>
    <n v="24000"/>
    <n v="49989.84"/>
    <n v="5000"/>
    <n v="0"/>
    <n v="0"/>
    <n v="315395"/>
    <n v="0"/>
    <n v="0"/>
    <n v="394384.83999999997"/>
    <n v="7.9524902171185111E-4"/>
    <n v="0.8939507886014576"/>
    <b v="1"/>
  </r>
  <r>
    <n v="84"/>
    <s v="PROFESSIONAL SERVICES"/>
    <x v="15"/>
    <s v="Individual consultant. Very steady ~$50K/yr = ongoing retainer. VERIFY nature of work."/>
    <s v="SIDDHARTHA SHARMA"/>
    <n v="63279.96"/>
    <n v="54000"/>
    <n v="54395"/>
    <n v="52815"/>
    <n v="40450"/>
    <n v="46210"/>
    <n v="41600"/>
    <n v="36762.5"/>
    <n v="389512.45999999996"/>
    <n v="7.8542421346514363E-4"/>
    <n v="0.89473621281492277"/>
    <b v="1"/>
  </r>
  <r>
    <n v="50"/>
    <s v="OPERATIONS"/>
    <x v="13"/>
    <s v="Contract security guards. Active FY23-25 only — new contract"/>
    <s v="ALLIED UNIVERSAL SECURITY SERVICES"/>
    <n v="132464.70000000001"/>
    <n v="159661.22"/>
    <n v="85889.59"/>
    <n v="0"/>
    <n v="0"/>
    <n v="0"/>
    <n v="0"/>
    <n v="0"/>
    <n v="378015.51"/>
    <n v="7.6224143027253915E-4"/>
    <n v="0.89549845424519536"/>
    <b v="1"/>
  </r>
  <r>
    <n v="37"/>
    <s v="MUNICIPAL"/>
    <x v="8"/>
    <s v="City of Lewes. Variable — project-based"/>
    <s v="CITY OF LEWES"/>
    <n v="234566.93"/>
    <n v="13825"/>
    <n v="82529.25"/>
    <n v="15065.75"/>
    <n v="0"/>
    <n v="0"/>
    <n v="28750"/>
    <n v="0"/>
    <n v="374736.93"/>
    <n v="7.5563040653845229E-4"/>
    <n v="0.89625408465173384"/>
    <b v="1"/>
  </r>
  <r>
    <n v="137"/>
    <s v="MUNICIPAL"/>
    <x v="8"/>
    <s v="$329K FY23 spike = one-time project or grant"/>
    <s v="TOWN OF MILTON"/>
    <n v="26388.12"/>
    <n v="18356.55"/>
    <n v="329306.42"/>
    <n v="0"/>
    <n v="0"/>
    <n v="0"/>
    <n v="0"/>
    <n v="0"/>
    <n v="374051.08999999997"/>
    <n v="7.5424745888496008E-4"/>
    <n v="0.89700833211061881"/>
    <b v="1"/>
  </r>
  <r>
    <n v="53"/>
    <s v="OPERATIONS"/>
    <x v="11"/>
    <s v="Communications/IT company. Growing — technology upgrades"/>
    <s v="A3 COMMUNICATIONS INC"/>
    <n v="127931.49"/>
    <n v="59796.160000000003"/>
    <n v="89313.71"/>
    <n v="72277.64"/>
    <n v="14197.86"/>
    <n v="0"/>
    <n v="0"/>
    <n v="0"/>
    <n v="363516.86000000004"/>
    <n v="7.3300593220257653E-4"/>
    <n v="0.89774133804282141"/>
    <b v="1"/>
  </r>
  <r>
    <n v="130"/>
    <s v="INTERAGENCY"/>
    <x v="4"/>
    <s v="State prison industries — furniture, signs, other manufactured goods"/>
    <s v="DE CORRECTIONAL INDUSTRIES"/>
    <n v="29640.3"/>
    <n v="55757.67"/>
    <n v="106738.97"/>
    <n v="56783.05"/>
    <n v="32010.5"/>
    <n v="21469.95"/>
    <n v="30522.400000000001"/>
    <n v="30488.31"/>
    <n v="363411.15"/>
    <n v="7.3279277549481573E-4"/>
    <n v="0.89847413081831617"/>
    <b v="1"/>
  </r>
  <r>
    <n v="25"/>
    <s v="FACILITY MAINTENANCE"/>
    <x v="4"/>
    <s v="Highway/paving specialist. $348K FY25 only"/>
    <s v="EASTERN HIGHWAY SPECIALIST INC"/>
    <n v="347764.47"/>
    <n v="0"/>
    <n v="0"/>
    <n v="0"/>
    <n v="0"/>
    <n v="0"/>
    <n v="0"/>
    <n v="0"/>
    <n v="347764.47"/>
    <n v="7.0124235645984865E-4"/>
    <n v="0.89917537317477603"/>
    <b v="1"/>
  </r>
  <r>
    <n v="101"/>
    <s v="FACILITY MAINTENANCE"/>
    <x v="4"/>
    <s v="Painting contractor. Consistent = ongoing maintenance"/>
    <s v="BRUSH STROKES INC"/>
    <n v="46433"/>
    <n v="25945.75"/>
    <n v="109998"/>
    <n v="36820"/>
    <n v="73605"/>
    <n v="38000"/>
    <n v="4750"/>
    <n v="0"/>
    <n v="335551.75"/>
    <n v="6.7661627389429993E-4"/>
    <n v="0.89985198944867029"/>
    <b v="1"/>
  </r>
  <r>
    <n v="48"/>
    <s v="FACILITY MAINTENANCE"/>
    <x v="10"/>
    <s v="HVAC/mechanical contractor. Active FY24-25"/>
    <s v="STATEWIDE MECHANICAL INC"/>
    <n v="144190.25"/>
    <n v="155170.03"/>
    <n v="30407"/>
    <n v="0"/>
    <n v="2786"/>
    <n v="320"/>
    <n v="0"/>
    <n v="2150"/>
    <n v="335023.28000000003"/>
    <n v="6.755506516698147E-4"/>
    <n v="0.90052754010034008"/>
    <b v="1"/>
  </r>
  <r>
    <n v="73"/>
    <s v="EQUIPMENT &amp; SUPPLIES"/>
    <x v="5"/>
    <s v="Electrical supply distributor. Steady = ongoing supplies"/>
    <s v="UNITED ELECTRIC SUPPLY CO INC"/>
    <n v="78552.75"/>
    <n v="40298.129999999997"/>
    <n v="18209.919999999998"/>
    <n v="62745.599999999999"/>
    <n v="29574.19"/>
    <n v="31569.35"/>
    <n v="25999.23"/>
    <n v="47408.79"/>
    <n v="334357.95999999996"/>
    <n v="6.7420908113904746E-4"/>
    <n v="0.90120174918147911"/>
    <b v="1"/>
  </r>
  <r>
    <n v="693"/>
    <s v="CONSTRUCTION"/>
    <x v="4"/>
    <s v="General contractor. $297K FY24"/>
    <s v="CASTLE CONSTRUCTION OF DE INC"/>
    <n v="0"/>
    <n v="296800"/>
    <n v="14862"/>
    <n v="0"/>
    <n v="22420"/>
    <n v="0"/>
    <n v="0"/>
    <n v="0"/>
    <n v="334082"/>
    <n v="6.7365262739698274E-4"/>
    <n v="0.90187540180887604"/>
    <b v="1"/>
  </r>
  <r>
    <n v="369"/>
    <s v="EQUIPMENT &amp; SUPPLIES"/>
    <x v="7"/>
    <s v="Farm/grounds equipment dealer. $140K FY19 peak = equipment purchase"/>
    <s v="HOOBER INC"/>
    <n v="2599.15"/>
    <n v="16383.91"/>
    <n v="58232.4"/>
    <n v="38494.29"/>
    <n v="8526.25"/>
    <n v="33489.08"/>
    <n v="140026.07999999999"/>
    <n v="32190.880000000001"/>
    <n v="329942.04000000004"/>
    <n v="6.6530469206578144E-4"/>
    <n v="0.90254070650094187"/>
    <b v="1"/>
  </r>
  <r>
    <n v="235"/>
    <s v="CONSTRUCTION"/>
    <x v="4"/>
    <s v="Contractor. Active FY22-24"/>
    <s v="TRU GRIT LLC"/>
    <n v="8770"/>
    <n v="197482.5"/>
    <n v="75897.5"/>
    <n v="46890"/>
    <n v="0"/>
    <n v="0"/>
    <n v="0"/>
    <n v="0"/>
    <n v="329040"/>
    <n v="6.6348579246623045E-4"/>
    <n v="0.90320419229340809"/>
    <b v="1"/>
  </r>
  <r>
    <n v="62"/>
    <s v="CONSTRUCTION"/>
    <x v="4"/>
    <s v="General contractor. Sporadic projects"/>
    <s v="SHANNON BUILDERS INC"/>
    <n v="101181.38"/>
    <n v="61944.62"/>
    <n v="11040.78"/>
    <n v="152868.16"/>
    <n v="0"/>
    <n v="0"/>
    <n v="0"/>
    <n v="0"/>
    <n v="327034.94"/>
    <n v="6.5944273137018641E-4"/>
    <n v="0.90386363502477829"/>
    <b v="1"/>
  </r>
  <r>
    <n v="30"/>
    <s v="INTERAGENCY"/>
    <x v="11"/>
    <s v="Dept of Technology &amp; Information. $319K FY25 = IT project"/>
    <s v="DTI CONTROLLER'S OFFICE"/>
    <n v="318662.59999999998"/>
    <n v="2910"/>
    <n v="4797.7"/>
    <n v="0"/>
    <n v="0"/>
    <n v="0"/>
    <n v="0"/>
    <n v="0"/>
    <n v="326370.3"/>
    <n v="6.5810253201112746E-4"/>
    <n v="0.90452173755678944"/>
    <b v="1"/>
  </r>
  <r>
    <n v="1044"/>
    <s v="PROFESSIONAL SERVICES"/>
    <x v="15"/>
    <s v="Historic preservation/conservation consulting. Project-based"/>
    <s v="MATERIALS CONSERVATION COLLABORATION LLC"/>
    <n v="0"/>
    <n v="0"/>
    <n v="4050"/>
    <n v="4200"/>
    <n v="48590"/>
    <n v="197650"/>
    <n v="65332.97"/>
    <n v="5500"/>
    <n v="325322.96999999997"/>
    <n v="6.5599066544468055E-4"/>
    <n v="0.90517772822223408"/>
    <b v="1"/>
  </r>
  <r>
    <n v="173"/>
    <s v="MUNICIPAL"/>
    <x v="8"/>
    <s v="City of Seaford. Variable — grants or shared services"/>
    <s v="CITY OF SEAFORD"/>
    <n v="19050"/>
    <n v="86250"/>
    <n v="14026.23"/>
    <n v="100000"/>
    <n v="90000"/>
    <n v="3250"/>
    <n v="4405.5"/>
    <n v="0"/>
    <n v="316981.73"/>
    <n v="6.3917114735705897E-4"/>
    <n v="0.90581689936959109"/>
    <b v="1"/>
  </r>
  <r>
    <n v="75"/>
    <s v="INTERAGENCY"/>
    <x v="3"/>
    <s v="DRBA — ferry or shared transportation services"/>
    <s v="DELAWARE RIVER &amp; BAY AUTHORITY EFCU"/>
    <n v="74141.8"/>
    <n v="52395.44"/>
    <n v="38486.080000000002"/>
    <n v="44974.239999999998"/>
    <n v="15304.08"/>
    <n v="48914.48"/>
    <n v="36811"/>
    <n v="0"/>
    <n v="311027.12"/>
    <n v="6.2716409917240872E-4"/>
    <n v="0.90644406346876349"/>
    <b v="1"/>
  </r>
  <r>
    <n v="1018"/>
    <s v="OPERATIONS"/>
    <x v="13"/>
    <s v="Embroidered uniforms/merchandise. Park staff uniforms and gift shop items"/>
    <s v="RWM EMBROIDERY &amp; MORE"/>
    <n v="0"/>
    <n v="0"/>
    <n v="8232.76"/>
    <n v="67444.600000000006"/>
    <n v="34901.33"/>
    <n v="62324.83"/>
    <n v="82558.45"/>
    <n v="53134.93"/>
    <n v="308596.90000000002"/>
    <n v="6.2226373313008178E-4"/>
    <n v="0.90706632720189362"/>
    <b v="1"/>
  </r>
  <r>
    <n v="708"/>
    <s v="FACILITY MAINTENANCE"/>
    <x v="10"/>
    <s v="Maintenance/construction services. Sporadic"/>
    <s v="G AND D SERVICES INC"/>
    <n v="0"/>
    <n v="44900"/>
    <n v="0"/>
    <n v="0"/>
    <n v="23500"/>
    <n v="133280.72"/>
    <n v="42755"/>
    <n v="59945"/>
    <n v="304380.71999999997"/>
    <n v="6.1376210558181923E-4"/>
    <n v="0.90768008930747546"/>
    <b v="1"/>
  </r>
  <r>
    <n v="59"/>
    <s v="FACILITY MAINTENANCE"/>
    <x v="10"/>
    <s v="Masonry pointing. DUPLICATE of PAUL'S POINTING INC"/>
    <s v="PAULS POINTING INC"/>
    <n v="112052"/>
    <n v="189000"/>
    <n v="0"/>
    <n v="0"/>
    <n v="0"/>
    <n v="0"/>
    <n v="0"/>
    <n v="0"/>
    <n v="301052"/>
    <n v="6.0704997809854001E-4"/>
    <n v="0.90828713928557403"/>
    <b v="1"/>
  </r>
  <r>
    <n v="692"/>
    <s v="CONSTRUCTION"/>
    <x v="10"/>
    <s v="General contractor. $300K FY24 = one project"/>
    <s v="KINSLEY CONSTRUCTION"/>
    <n v="0"/>
    <n v="300000"/>
    <n v="0"/>
    <n v="0"/>
    <n v="0"/>
    <n v="0"/>
    <n v="0"/>
    <n v="0"/>
    <n v="300000"/>
    <n v="6.0492869480874409E-4"/>
    <n v="0.9088920679803828"/>
    <b v="1"/>
  </r>
  <r>
    <n v="248"/>
    <s v="EQUIPMENT &amp; SUPPLIES"/>
    <x v="10"/>
    <s v="Industrial/construction supplies. Variable"/>
    <s v="FASTENAL"/>
    <n v="7908.8"/>
    <n v="25000.63"/>
    <n v="5975.59"/>
    <n v="12589.74"/>
    <n v="25370.84"/>
    <n v="21470.07"/>
    <n v="44957.02"/>
    <n v="153255.1"/>
    <n v="296527.79000000004"/>
    <n v="5.9792722993073791E-4"/>
    <n v="0.90948999521031348"/>
    <b v="1"/>
  </r>
  <r>
    <n v="490"/>
    <s v="PROFESSIONAL SERVICES"/>
    <x v="9"/>
    <s v="Environmental consulting. $142K spike FY23"/>
    <s v="COUNTY ENVIRONMENTAL INC"/>
    <n v="862.5"/>
    <n v="18362.5"/>
    <n v="142462.5"/>
    <n v="19260"/>
    <n v="25797.5"/>
    <n v="0"/>
    <n v="35400"/>
    <n v="54220"/>
    <n v="296365"/>
    <n v="5.9759897545664479E-4"/>
    <n v="0.91008759418577012"/>
    <b v="1"/>
  </r>
  <r>
    <n v="91"/>
    <s v="OPERATIONS"/>
    <x v="13"/>
    <s v="Janitorial services. Growing — expanding cleaning contracts"/>
    <s v="A E MOORE JANITORIAL INC"/>
    <n v="56175.89"/>
    <n v="43392.61"/>
    <n v="50339.22"/>
    <n v="50287.31"/>
    <n v="40124.51"/>
    <n v="31301.19"/>
    <n v="17316.740000000002"/>
    <n v="5575.11"/>
    <n v="294512.57999999996"/>
    <n v="5.9386370208051929E-4"/>
    <n v="0.9106814578878506"/>
    <b v="1"/>
  </r>
  <r>
    <n v="56"/>
    <s v="ENGINEERING"/>
    <x v="9"/>
    <s v="Architecture firm. Active FY22-25 = ongoing design projects"/>
    <s v="BERNARDON DELAWARE LLC"/>
    <n v="118927.63"/>
    <n v="60815.29"/>
    <n v="59004.21"/>
    <n v="53938.59"/>
    <n v="0"/>
    <n v="0"/>
    <n v="0"/>
    <n v="0"/>
    <n v="292685.71999999997"/>
    <n v="5.9017996862919164E-4"/>
    <n v="0.9112716378564798"/>
    <b v="1"/>
  </r>
  <r>
    <n v="208"/>
    <s v="PROFESSIONAL SERVICES"/>
    <x v="4"/>
    <s v="Individual consultant. $107K spike FY20. VERIFY."/>
    <s v="DAVID E WAUGH"/>
    <n v="12970"/>
    <n v="31007"/>
    <n v="49107.6"/>
    <n v="16918.400000000001"/>
    <n v="9500"/>
    <n v="106525"/>
    <n v="49776"/>
    <n v="14637"/>
    <n v="290441"/>
    <n v="5.8565365016315476E-4"/>
    <n v="0.91185729150664296"/>
    <b v="1"/>
  </r>
  <r>
    <n v="131"/>
    <s v="PROFESSIONAL SERVICES"/>
    <x v="15"/>
    <s v="DE marketing/PR firm. Active FY21-25 = parks marketing"/>
    <s v="ALOYSIUS BUTLER &amp; CLARK"/>
    <n v="29207.79"/>
    <n v="18050"/>
    <n v="59636"/>
    <n v="71125.58"/>
    <n v="98808.54"/>
    <n v="13345"/>
    <n v="0"/>
    <n v="0"/>
    <n v="290172.90999999997"/>
    <n v="5.8511306571718382E-4"/>
    <n v="0.91244240457236014"/>
    <b v="1"/>
  </r>
  <r>
    <n v="1656"/>
    <s v="PROFESSIONAL SERVICES"/>
    <x v="15"/>
    <s v="Tourism media company. Active FY18-20 only — old marketing contract"/>
    <s v="MILES MEDIA GROUP LLLP"/>
    <n v="0"/>
    <n v="0"/>
    <n v="0"/>
    <n v="0"/>
    <n v="0"/>
    <n v="87969.21"/>
    <n v="54434.95"/>
    <n v="137300"/>
    <n v="279704.16000000003"/>
    <n v="5.6400357480458716E-4"/>
    <n v="0.91300640814716472"/>
    <b v="1"/>
  </r>
  <r>
    <n v="83"/>
    <s v="CONSTRUCTION"/>
    <x v="4"/>
    <s v="Contractor. Active FY24-25"/>
    <s v="JAED CORP"/>
    <n v="64206"/>
    <n v="211941"/>
    <n v="0"/>
    <n v="0"/>
    <n v="0"/>
    <n v="0"/>
    <n v="0"/>
    <n v="0"/>
    <n v="276147"/>
    <n v="5.5683081428450085E-4"/>
    <n v="0.9135632389614492"/>
    <b v="1"/>
  </r>
  <r>
    <n v="97"/>
    <s v="FACILITY MAINTENANCE"/>
    <x v="10"/>
    <s v="HVAC controls/building automation. Consistent low-level"/>
    <s v="MODERN CONTROLS"/>
    <n v="47270.74"/>
    <n v="48984.72"/>
    <n v="24296.69"/>
    <n v="26289.09"/>
    <n v="18475.060000000001"/>
    <n v="83938.71"/>
    <n v="13695.73"/>
    <n v="9361"/>
    <n v="272311.74"/>
    <n v="5.4909728486432681E-4"/>
    <n v="0.91411233624631349"/>
    <b v="1"/>
  </r>
  <r>
    <n v="1163"/>
    <s v="FACILITY MAINTENANCE"/>
    <x v="4"/>
    <s v="Commercial refrigeration. Project-based"/>
    <s v="ATLANTIC REFRIGERATION"/>
    <n v="0"/>
    <n v="0"/>
    <n v="165"/>
    <n v="22251.7"/>
    <n v="39436.5"/>
    <n v="107761.72"/>
    <n v="101953.21"/>
    <n v="0"/>
    <n v="271568.13"/>
    <n v="5.4759784810850447E-4"/>
    <n v="0.91465993409442203"/>
    <b v="1"/>
  </r>
  <r>
    <n v="95"/>
    <s v="MUNICIPAL"/>
    <x v="8"/>
    <s v="Grants or shared services"/>
    <s v="TOWN OF SMYRNA"/>
    <n v="50000"/>
    <n v="125000"/>
    <n v="0"/>
    <n v="38778.910000000003"/>
    <n v="0"/>
    <n v="53500"/>
    <n v="0"/>
    <n v="0"/>
    <n v="267278.91000000003"/>
    <n v="5.38948940587346E-4"/>
    <n v="0.9151988830350094"/>
    <b v="1"/>
  </r>
  <r>
    <n v="32"/>
    <s v="CONSTRUCTION"/>
    <x v="4"/>
    <s v="General contractor. $267K FY25 only"/>
    <s v="REYBOLD CONSTRUCTION TECHNOLOGIES LLC"/>
    <n v="266775.63"/>
    <n v="0"/>
    <n v="0"/>
    <n v="0"/>
    <n v="0"/>
    <n v="0"/>
    <n v="0"/>
    <n v="0"/>
    <n v="266775.63"/>
    <n v="5.3793411220893475E-4"/>
    <n v="0.91573681714721833"/>
    <b v="1"/>
  </r>
  <r>
    <n v="219"/>
    <s v="MUNICIPAL"/>
    <x v="8"/>
    <s v="Variable — shared services or projects"/>
    <s v="CITY OF DOVER"/>
    <n v="11215.35"/>
    <n v="95810.68"/>
    <n v="22122.61"/>
    <n v="6284.02"/>
    <n v="4496.6000000000004"/>
    <n v="71353.78"/>
    <n v="47575.64"/>
    <n v="4911.58"/>
    <n v="263770.26"/>
    <n v="5.3187399703721026E-4"/>
    <n v="0.91626869114425558"/>
    <b v="1"/>
  </r>
  <r>
    <n v="977"/>
    <s v="MUNICIPAL"/>
    <x v="8"/>
    <s v="Grants or shared services"/>
    <s v="TOWN OF MILLVILLE DELAWARE"/>
    <n v="0"/>
    <n v="0"/>
    <n v="29259.37"/>
    <n v="80000"/>
    <n v="0"/>
    <n v="100000"/>
    <n v="0"/>
    <n v="53000"/>
    <n v="262259.37"/>
    <n v="5.2882739465154489E-4"/>
    <n v="0.91679751853890712"/>
    <b v="1"/>
  </r>
  <r>
    <n v="149"/>
    <s v="FACILITY MAINTENANCE"/>
    <x v="10"/>
    <s v="Flooring/carpet contractor"/>
    <s v="TRI-STATE CARPET"/>
    <n v="24179.53"/>
    <n v="91232"/>
    <n v="1058"/>
    <n v="7685.12"/>
    <n v="28393.5"/>
    <n v="41684.6"/>
    <n v="59005.01"/>
    <n v="6773.25"/>
    <n v="260011.01"/>
    <n v="5.2429373638401095E-4"/>
    <n v="0.91732181227529108"/>
    <b v="1"/>
  </r>
  <r>
    <n v="1198"/>
    <s v="EQUIPMENT &amp; SUPPLIES"/>
    <x v="7"/>
    <s v="Equipment/tool supplier. $173K FY22"/>
    <s v="IRON SOURCE LLC"/>
    <n v="0"/>
    <n v="0"/>
    <n v="0"/>
    <n v="173106.26"/>
    <n v="6702.9"/>
    <n v="7174.01"/>
    <n v="68676.100000000006"/>
    <n v="3124.23"/>
    <n v="258783.50000000003"/>
    <n v="5.218185496434621E-4"/>
    <n v="0.91784363082493459"/>
    <b v="1"/>
  </r>
  <r>
    <n v="112"/>
    <s v="OPERATIONS"/>
    <x v="17"/>
    <s v="Ice delivery for park stores/concessions. Steady ~$35K/yr"/>
    <s v="EASTON ICE CO INC"/>
    <n v="39674.65"/>
    <n v="39761.65"/>
    <n v="30425.85"/>
    <n v="38870.15"/>
    <n v="35266.1"/>
    <n v="31945.15"/>
    <n v="34166.25"/>
    <n v="7275.1"/>
    <n v="257384.9"/>
    <n v="5.1899837206826368E-4"/>
    <n v="0.91836262919700284"/>
    <b v="1"/>
  </r>
  <r>
    <n v="103"/>
    <s v="OPERATIONS"/>
    <x v="13"/>
    <s v="Decal/permit manufacturer. Park passes and vehicle decals"/>
    <s v="RYDIN DECAL"/>
    <n v="44667"/>
    <n v="46228"/>
    <n v="35415"/>
    <n v="32918"/>
    <n v="0"/>
    <n v="31364.2"/>
    <n v="26913.200000000001"/>
    <n v="29938.9"/>
    <n v="247444.30000000002"/>
    <n v="4.9895385812287767E-4"/>
    <n v="0.91886158305512577"/>
    <b v="1"/>
  </r>
  <r>
    <n v="40"/>
    <s v="PROFESSIONAL SERVICES"/>
    <x v="15"/>
    <s v="Consulting. $199K FY25"/>
    <s v="GOLD STANDARD CONSULTING LLC"/>
    <n v="199093.05"/>
    <n v="11200"/>
    <n v="33717.61"/>
    <n v="0"/>
    <n v="0"/>
    <n v="0"/>
    <n v="0"/>
    <n v="0"/>
    <n v="244010.65999999997"/>
    <n v="4.92030166910734E-4"/>
    <n v="0.91935361322203646"/>
    <b v="1"/>
  </r>
  <r>
    <n v="1996"/>
    <s v="CONSTRUCTION"/>
    <x v="4"/>
    <s v="Contractor. Active FY18 only"/>
    <s v="JOSEPH T RICHARDSON INC"/>
    <n v="0"/>
    <n v="0"/>
    <n v="0"/>
    <n v="0"/>
    <n v="0"/>
    <n v="0"/>
    <n v="9798.5"/>
    <n v="228099"/>
    <n v="237897.5"/>
    <n v="4.797034139108773E-4"/>
    <n v="0.91983331663594736"/>
    <b v="1"/>
  </r>
  <r>
    <n v="2245"/>
    <s v="CONSTRUCTION"/>
    <x v="4"/>
    <s v="Excavation. $238K FY18 only"/>
    <s v="ZACK EXCAVATING INC"/>
    <n v="0"/>
    <n v="0"/>
    <n v="0"/>
    <n v="0"/>
    <n v="0"/>
    <n v="0"/>
    <n v="0"/>
    <n v="237735.02"/>
    <n v="237735.02"/>
    <n v="4.7937578452976888E-4"/>
    <n v="0.92031269242047709"/>
    <b v="1"/>
  </r>
  <r>
    <n v="116"/>
    <s v="LEGAL"/>
    <x v="1"/>
    <s v="Law firm. $200K FY21 = specific legal matter"/>
    <s v="BAIRD MANDALAS BROCKSTEDT LLC"/>
    <n v="37232.94"/>
    <n v="0"/>
    <n v="0"/>
    <n v="0"/>
    <n v="200000"/>
    <n v="0"/>
    <n v="0"/>
    <n v="0"/>
    <n v="237232.94"/>
    <n v="4.7836337586613698E-4"/>
    <n v="0.92079105579634324"/>
    <b v="1"/>
  </r>
  <r>
    <n v="1406"/>
    <s v="OPERATIONS"/>
    <x v="13"/>
    <s v="Technology/staffing company"/>
    <s v="ADVANTECH INC"/>
    <n v="0"/>
    <n v="0"/>
    <n v="0"/>
    <n v="0"/>
    <n v="101993.49"/>
    <n v="31743.25"/>
    <n v="43288.77"/>
    <n v="60043.5"/>
    <n v="237069.00999999998"/>
    <n v="4.7803282266300362E-4"/>
    <n v="0.92126908861900625"/>
    <b v="1"/>
  </r>
  <r>
    <n v="174"/>
    <s v="EQUIPMENT &amp; SUPPLIES"/>
    <x v="10"/>
    <s v="Plumbing/HVAC supply distributor. Steady"/>
    <s v="FERGUSON ENTERPRISE INC"/>
    <n v="18829.310000000001"/>
    <n v="46890.45"/>
    <n v="16425.22"/>
    <n v="22894"/>
    <n v="14393.5"/>
    <n v="22230.89"/>
    <n v="30315.42"/>
    <n v="64796.72"/>
    <n v="236775.50999999998"/>
    <n v="4.7744100075658235E-4"/>
    <n v="0.92174652961976278"/>
    <b v="1"/>
  </r>
  <r>
    <n v="732"/>
    <s v="PROFESSIONAL SERVICES"/>
    <x v="9"/>
    <s v="Environmental consulting. $223K FY23"/>
    <s v="PLYMOUTH ENVIR CO INC"/>
    <n v="0"/>
    <n v="13535"/>
    <n v="222754.9"/>
    <n v="0"/>
    <n v="0"/>
    <n v="0"/>
    <n v="0"/>
    <n v="0"/>
    <n v="236289.9"/>
    <n v="4.7646180267829548E-4"/>
    <n v="0.92222299142244102"/>
    <b v="1"/>
  </r>
  <r>
    <n v="94"/>
    <s v="FACILITY MAINTENANCE"/>
    <x v="10"/>
    <s v="General maintenance. Variable"/>
    <s v="GA BLANCO &amp; SONS INC"/>
    <n v="50829.96"/>
    <n v="33950.25"/>
    <n v="24024.14"/>
    <n v="85626.5"/>
    <n v="4462.5"/>
    <n v="4950"/>
    <n v="20230.29"/>
    <n v="8633.5"/>
    <n v="232707.13999999998"/>
    <n v="4.6923742157625221E-4"/>
    <n v="0.92269222884401725"/>
    <b v="1"/>
  </r>
  <r>
    <n v="898"/>
    <s v="MUNICIPAL"/>
    <x v="8"/>
    <s v="Kent County government. Variable"/>
    <s v="KENT COUNTY LEVY COURT"/>
    <n v="0"/>
    <n v="325"/>
    <n v="92835.14"/>
    <n v="87428.26"/>
    <n v="200"/>
    <n v="100"/>
    <n v="50106"/>
    <n v="990.33"/>
    <n v="231984.72999999998"/>
    <n v="4.6778073311486292E-4"/>
    <n v="0.92316000957713207"/>
    <b v="1"/>
  </r>
  <r>
    <n v="41"/>
    <s v="MUNICIPAL"/>
    <x v="8"/>
    <s v="$189K FY25 = project"/>
    <s v="TOWN OF SELBYVILLE"/>
    <n v="189383.41"/>
    <n v="14175"/>
    <n v="28000"/>
    <n v="0"/>
    <n v="0"/>
    <n v="0"/>
    <n v="0"/>
    <n v="0"/>
    <n v="231558.41"/>
    <n v="4.6692108911096012E-4"/>
    <n v="0.92362693066624302"/>
    <b v="1"/>
  </r>
  <r>
    <n v="77"/>
    <s v="OPERATIONS"/>
    <x v="10"/>
    <s v="Amusement ride/equipment restoration. Likely carousel or historic ride at park"/>
    <s v="AMUSEMENT RESTORATION COMPANIES"/>
    <n v="69876"/>
    <n v="118967.3"/>
    <n v="42300"/>
    <n v="0"/>
    <n v="0"/>
    <n v="0"/>
    <n v="0"/>
    <n v="0"/>
    <n v="231143.3"/>
    <n v="4.6608404927595318E-4"/>
    <n v="0.92409301471551897"/>
    <b v="1"/>
  </r>
  <r>
    <n v="1024"/>
    <s v="EQUIPMENT &amp; SUPPLIES"/>
    <x v="4"/>
    <s v="Pole building materials supplier"/>
    <s v="DELMARVA POLE BUILDING SUPPLY"/>
    <n v="0"/>
    <n v="0"/>
    <n v="7057"/>
    <n v="87551.39"/>
    <n v="17906.400000000001"/>
    <n v="105464.55"/>
    <n v="10055.25"/>
    <n v="0"/>
    <n v="228034.59000000003"/>
    <n v="4.5981555633315698E-4"/>
    <n v="0.92455283027185209"/>
    <b v="1"/>
  </r>
  <r>
    <n v="1404"/>
    <s v="INTERAGENCY"/>
    <x v="3"/>
    <s v="State admin services"/>
    <s v="OFFICE OF ADMINISTRATION"/>
    <n v="0"/>
    <n v="0"/>
    <n v="0"/>
    <n v="0"/>
    <n v="113099"/>
    <n v="0"/>
    <n v="61690"/>
    <n v="52000"/>
    <n v="226789"/>
    <n v="4.5730391255660086E-4"/>
    <n v="0.92501013418440869"/>
    <b v="1"/>
  </r>
  <r>
    <n v="695"/>
    <s v="CONSTRUCTION"/>
    <x v="4"/>
    <s v="Prefab building contractor. $223K FY24"/>
    <s v="PRECISE BUILDINGS LLC"/>
    <n v="0"/>
    <n v="223250"/>
    <n v="0"/>
    <n v="0"/>
    <n v="0"/>
    <n v="0"/>
    <n v="0"/>
    <n v="0"/>
    <n v="223250"/>
    <n v="4.5016777038684038E-4"/>
    <n v="0.92546030195479556"/>
    <b v="1"/>
  </r>
  <r>
    <n v="699"/>
    <s v="FACILITY MAINTENANCE"/>
    <x v="4"/>
    <s v="General contractor/maintenance"/>
    <s v="GERARDI CONSTRUCTION INC"/>
    <n v="0"/>
    <n v="83518"/>
    <n v="53234.99"/>
    <n v="6377"/>
    <n v="12649"/>
    <n v="58919"/>
    <n v="2596.1999999999998"/>
    <n v="0"/>
    <n v="217294.19"/>
    <n v="4.3815830248741084E-4"/>
    <n v="0.92589846025728295"/>
    <b v="1"/>
  </r>
  <r>
    <n v="125"/>
    <s v="OPERATIONS"/>
    <x v="17"/>
    <s v="Ice cream supplier for park concessions. Steady ~$28K/yr"/>
    <s v="HERSHEY CREAMERY COMPANY"/>
    <n v="33968.160000000003"/>
    <n v="33171.57"/>
    <n v="30635.74"/>
    <n v="32565.43"/>
    <n v="26904.04"/>
    <n v="20592.18"/>
    <n v="18204.47"/>
    <n v="20519.400000000001"/>
    <n v="216560.99000000002"/>
    <n v="4.3667985675729828E-4"/>
    <n v="0.92633514011404028"/>
    <b v="1"/>
  </r>
  <r>
    <n v="69"/>
    <s v="EQUIPMENT &amp; SUPPLIES"/>
    <x v="4"/>
    <s v="Sports court/field construction. Ongoing maintenance"/>
    <s v="SPORT BUILDERS INC"/>
    <n v="85000"/>
    <n v="0"/>
    <n v="0"/>
    <n v="18150"/>
    <n v="17500"/>
    <n v="17450"/>
    <n v="15000"/>
    <n v="63300"/>
    <n v="216400"/>
    <n v="4.3635523185537402E-4"/>
    <n v="0.92677149534589565"/>
    <b v="1"/>
  </r>
  <r>
    <n v="159"/>
    <s v="MUNICIPAL"/>
    <x v="8"/>
    <s v="$124K FY22 spike"/>
    <s v="TOWN OF LAUREL"/>
    <n v="21844"/>
    <n v="24975"/>
    <n v="28708.7"/>
    <n v="124072.2"/>
    <n v="0"/>
    <n v="16000"/>
    <n v="0"/>
    <n v="0"/>
    <n v="215599.9"/>
    <n v="4.3474188702631909E-4"/>
    <n v="0.92720623723292195"/>
    <b v="1"/>
  </r>
  <r>
    <n v="115"/>
    <s v="OPERATIONS"/>
    <x v="10"/>
    <s v="Fire alarm/suppression inspection. Steady = annual compliance"/>
    <s v="HOOPES FIRE PREVENTION INC"/>
    <n v="37328.269999999997"/>
    <n v="32209.57"/>
    <n v="36194.089999999997"/>
    <n v="27931.67"/>
    <n v="27062.77"/>
    <n v="15682.96"/>
    <n v="23983.39"/>
    <n v="14986.95"/>
    <n v="215379.66999999998"/>
    <n v="4.3429780887145998E-4"/>
    <n v="0.92764053504179345"/>
    <b v="1"/>
  </r>
  <r>
    <n v="959"/>
    <s v="MUNICIPAL"/>
    <x v="8"/>
    <s v="$150K FY23"/>
    <s v="TOWN OF WYOMING"/>
    <n v="0"/>
    <n v="0"/>
    <n v="150000"/>
    <n v="0"/>
    <n v="64580.5"/>
    <n v="0"/>
    <n v="0"/>
    <n v="0"/>
    <n v="214580.5"/>
    <n v="4.3268633932135899E-4"/>
    <n v="0.92807322138111481"/>
    <b v="1"/>
  </r>
  <r>
    <n v="184"/>
    <s v="FACILITY MAINTENANCE"/>
    <x v="10"/>
    <s v="Electrical contractor"/>
    <s v="H &amp; A ELECTRIC CO"/>
    <n v="17201.5"/>
    <n v="21235"/>
    <n v="3871"/>
    <n v="4792"/>
    <n v="8411"/>
    <n v="44038"/>
    <n v="61546"/>
    <n v="51268"/>
    <n v="212362.5"/>
    <n v="4.2821389983773968E-4"/>
    <n v="0.92850143528095253"/>
    <b v="1"/>
  </r>
  <r>
    <n v="1199"/>
    <s v="OPERATIONS"/>
    <x v="11"/>
    <s v="Communications/underground utilities. $124K FY22"/>
    <s v="UNDERCOMM INC"/>
    <n v="0"/>
    <n v="0"/>
    <n v="0"/>
    <n v="123726.16"/>
    <n v="5385.1"/>
    <n v="10449.57"/>
    <n v="500.61"/>
    <n v="67640.429999999993"/>
    <n v="207701.87"/>
    <n v="4.1881607042811811E-4"/>
    <n v="0.92892025135138068"/>
    <b v="1"/>
  </r>
  <r>
    <n v="78"/>
    <s v="EQUIPMENT &amp; SUPPLIES"/>
    <x v="4"/>
    <s v="Pole building construction. Active FY23-25"/>
    <s v="POLE BUILDINGS UNLIMITED INC"/>
    <n v="69718"/>
    <n v="60023.89"/>
    <n v="71951.11"/>
    <n v="0"/>
    <n v="0"/>
    <n v="0"/>
    <n v="0"/>
    <n v="0"/>
    <n v="201693"/>
    <n v="4.0669961080686673E-4"/>
    <n v="0.92932695096218754"/>
    <b v="1"/>
  </r>
  <r>
    <n v="297"/>
    <s v="EQUIPMENT &amp; SUPPLIES"/>
    <x v="7"/>
    <s v="Equipment. $128K FY22 = major equipment purchase"/>
    <s v="JOHN DEERE CO"/>
    <n v="5223.3999999999996"/>
    <n v="5223.3999999999996"/>
    <n v="22943.85"/>
    <n v="128208.49"/>
    <n v="14098.99"/>
    <n v="0"/>
    <n v="19062.419999999998"/>
    <n v="6603.04"/>
    <n v="201363.59"/>
    <n v="4.060353789356769E-4"/>
    <n v="0.92973298634112322"/>
    <b v="1"/>
  </r>
  <r>
    <n v="1203"/>
    <s v="FACILITY MAINTENANCE"/>
    <x v="10"/>
    <s v="Electrical contractor. DUPLICATE of FERRIS ELECTRIC AND SOLAR"/>
    <s v="FERRIS ELECTRIC &amp; SOLAR"/>
    <n v="0"/>
    <n v="0"/>
    <n v="0"/>
    <n v="42775"/>
    <n v="0"/>
    <n v="10390"/>
    <n v="147344"/>
    <n v="0"/>
    <n v="200509"/>
    <n v="4.0431215889135487E-4"/>
    <n v="0.93013729850001459"/>
    <b v="1"/>
  </r>
  <r>
    <n v="106"/>
    <s v="OPERATIONS"/>
    <x v="13"/>
    <s v="Temporary modular buildings/trailers. Consistent = seasonal or construction temp space"/>
    <s v="WILLIAMS SCOTSMAN INC"/>
    <n v="42369.21"/>
    <n v="56731.8"/>
    <n v="21051.01"/>
    <n v="14472.59"/>
    <n v="15761.88"/>
    <n v="17163.060000000001"/>
    <n v="14417.92"/>
    <n v="16662.419999999998"/>
    <n v="198629.89"/>
    <n v="4.0052306702568135E-4"/>
    <n v="0.93053782156704024"/>
    <b v="1"/>
  </r>
  <r>
    <n v="54"/>
    <s v="OPERATIONS"/>
    <x v="4"/>
    <s v="Signage company. $122K FY25"/>
    <s v="VERSALIGN INC"/>
    <n v="121815"/>
    <n v="0"/>
    <n v="42759.85"/>
    <n v="21000.92"/>
    <n v="0"/>
    <n v="830.84"/>
    <n v="10734.76"/>
    <n v="42"/>
    <n v="197183.37000000002"/>
    <n v="3.9760626217363225E-4"/>
    <n v="0.9309354278292139"/>
    <b v="1"/>
  </r>
  <r>
    <n v="1668"/>
    <s v="CONSTRUCTION"/>
    <x v="4"/>
    <s v="DUPLICATE of PRETTYMAN BUILDERS LLC — typo in vendor name"/>
    <s v="PRETTYMAN BUIDERS LLC"/>
    <n v="0"/>
    <n v="0"/>
    <n v="0"/>
    <n v="0"/>
    <n v="0"/>
    <n v="23359.26"/>
    <n v="142322.34"/>
    <n v="30587"/>
    <n v="196268.6"/>
    <n v="3.9576169343313156E-4"/>
    <n v="0.93133118952264704"/>
    <b v="1"/>
  </r>
  <r>
    <n v="68"/>
    <s v="CONSTRUCTION"/>
    <x v="4"/>
    <s v="General contractor. Sporadic"/>
    <s v="CONVENTIONAL BUILDERS INC"/>
    <n v="85846"/>
    <n v="0"/>
    <n v="13203.71"/>
    <n v="6638.52"/>
    <n v="90384"/>
    <n v="0"/>
    <n v="0"/>
    <n v="0"/>
    <n v="196072.22999999998"/>
    <n v="3.9536572727379951E-4"/>
    <n v="0.93172655524992087"/>
    <b v="1"/>
  </r>
  <r>
    <n v="1408"/>
    <s v="OPERATIONS"/>
    <x v="17"/>
    <s v="Steady ~$49K/yr. Possibly lease or rental agreement. VERIFY."/>
    <s v="G &amp; J HOLDINGS LLC"/>
    <n v="0"/>
    <n v="0"/>
    <n v="0"/>
    <n v="0"/>
    <n v="46655.51"/>
    <n v="46655.51"/>
    <n v="50896.92"/>
    <n v="50896.92"/>
    <n v="195104.86"/>
    <n v="3.9341509436880909E-4"/>
    <n v="0.93211997034428973"/>
    <b v="1"/>
  </r>
  <r>
    <n v="722"/>
    <s v="FACILITY MAINTENANCE"/>
    <x v="4"/>
    <s v="Steel/metalwork. Sporadic projects"/>
    <s v="MURPHY STEEL INC"/>
    <n v="0"/>
    <n v="20435"/>
    <n v="0"/>
    <n v="0"/>
    <n v="6375"/>
    <n v="49000"/>
    <n v="6895"/>
    <n v="109465"/>
    <n v="192170"/>
    <n v="3.8749715760465447E-4"/>
    <n v="0.93250746750189439"/>
    <b v="1"/>
  </r>
  <r>
    <n v="70"/>
    <s v="OPERATIONS"/>
    <x v="13"/>
    <s v="Uniforms for park staff. Growing FY23-25"/>
    <s v="HANOVER UNIFORM CO"/>
    <n v="82769.77"/>
    <n v="61342.63"/>
    <n v="39679.71"/>
    <n v="1529.5"/>
    <n v="5497.4"/>
    <n v="0"/>
    <n v="0"/>
    <n v="0"/>
    <n v="190819.00999999998"/>
    <n v="3.847729822133222E-4"/>
    <n v="0.93289224048410768"/>
    <b v="1"/>
  </r>
  <r>
    <n v="712"/>
    <s v="FACILITY MAINTENANCE"/>
    <x v="10"/>
    <s v="Swimming pool maintenance. Consistent = annual pool maintenance at parks"/>
    <s v="MAIN LINE COMMERICALS POOLS"/>
    <n v="0"/>
    <n v="34948.46"/>
    <n v="37916.269999999997"/>
    <n v="32108.03"/>
    <n v="15936.44"/>
    <n v="26607.93"/>
    <n v="19829.759999999998"/>
    <n v="22062.69"/>
    <n v="189409.58000000002"/>
    <n v="3.8193096671224134E-4"/>
    <n v="0.93327417145081992"/>
    <b v="1"/>
  </r>
  <r>
    <n v="105"/>
    <s v="FACILITY MAINTENANCE"/>
    <x v="10"/>
    <s v="General contractor/maintenance. Growing"/>
    <s v="DAVID P ROSER INC"/>
    <n v="43345"/>
    <n v="49764"/>
    <n v="59535"/>
    <n v="16655"/>
    <n v="15119"/>
    <n v="4880"/>
    <n v="0"/>
    <n v="0"/>
    <n v="189298"/>
    <n v="3.8170597356635208E-4"/>
    <n v="0.93365587742438627"/>
    <b v="1"/>
  </r>
  <r>
    <n v="975"/>
    <s v="CONSTRUCTION"/>
    <x v="4"/>
    <s v="Pole building construction"/>
    <s v="DIAMOND STATE POLE BLDGS LLC"/>
    <n v="0"/>
    <n v="0"/>
    <n v="30700"/>
    <n v="0"/>
    <n v="0"/>
    <n v="49980"/>
    <n v="108205"/>
    <n v="0"/>
    <n v="188885"/>
    <n v="3.8087318839649876E-4"/>
    <n v="0.9340367506127828"/>
    <b v="1"/>
  </r>
  <r>
    <n v="146"/>
    <s v="EQUIPMENT &amp; SUPPLIES"/>
    <x v="10"/>
    <s v="Industrial supply distributor. Steady = ongoing supplies"/>
    <s v="WW GRAINGER INC"/>
    <n v="24522.880000000001"/>
    <n v="33417.74"/>
    <n v="16380.24"/>
    <n v="27627.43"/>
    <n v="19128.900000000001"/>
    <n v="31520.25"/>
    <n v="12689.39"/>
    <n v="18921.61"/>
    <n v="184208.44"/>
    <n v="3.7144323727318282E-4"/>
    <n v="0.93440819385005602"/>
    <b v="1"/>
  </r>
  <r>
    <n v="696"/>
    <s v="MUNICIPAL"/>
    <x v="8"/>
    <s v="$160K FY24"/>
    <s v="MAYOR &amp; COUNCIL OF NEW CASTLE"/>
    <n v="0"/>
    <n v="160000"/>
    <n v="0"/>
    <n v="24087.5"/>
    <n v="0"/>
    <n v="0"/>
    <n v="0"/>
    <n v="0"/>
    <n v="184087.5"/>
    <n v="3.7119937035201556E-4"/>
    <n v="0.93477939322040804"/>
    <b v="1"/>
  </r>
  <r>
    <n v="107"/>
    <s v="PROFESSIONAL SERVICES"/>
    <x v="4"/>
    <s v="Individual. $97K FY21 spike. VERIFY nature of work."/>
    <s v="JOHN MACKLIN SR"/>
    <n v="42045"/>
    <n v="0"/>
    <n v="1630"/>
    <n v="29196"/>
    <n v="96546"/>
    <n v="11800"/>
    <n v="0"/>
    <n v="0"/>
    <n v="181217"/>
    <n v="3.6541121095718721E-4"/>
    <n v="0.93514480443136527"/>
    <b v="1"/>
  </r>
  <r>
    <n v="1968"/>
    <s v="CONSTRUCTION"/>
    <x v="4"/>
    <s v="General contractor. Active FY18-19"/>
    <s v="KENT CONSTRUCTION CO INC"/>
    <n v="0"/>
    <n v="0"/>
    <n v="0"/>
    <n v="0"/>
    <n v="0"/>
    <n v="0"/>
    <n v="157768.09"/>
    <n v="22777.11"/>
    <n v="180545.2"/>
    <n v="3.6405657396661222E-4"/>
    <n v="0.93550886100533193"/>
    <b v="1"/>
  </r>
  <r>
    <n v="194"/>
    <s v="OPERATIONS"/>
    <x v="13"/>
    <s v="Outdoor/work gear supplier. Park staff equipment. Steady ~$23K/yr"/>
    <s v="DOVER ARMY NAVY STORE INC"/>
    <n v="14876.09"/>
    <n v="20764.05"/>
    <n v="39347.449999999997"/>
    <n v="18860.73"/>
    <n v="25745.3"/>
    <n v="15554.43"/>
    <n v="22299.43"/>
    <n v="22700.22"/>
    <n v="180147.69999999998"/>
    <n v="3.6325504344599056E-4"/>
    <n v="0.93587211604877796"/>
    <b v="1"/>
  </r>
  <r>
    <n v="705"/>
    <s v="GROUNDS"/>
    <x v="12"/>
    <s v="Plant nursery. Sporadic = landscape planting projects"/>
    <s v="BRANDYWINE NURSERIES"/>
    <n v="0"/>
    <n v="48480"/>
    <n v="0"/>
    <n v="34700"/>
    <n v="0"/>
    <n v="52385"/>
    <n v="7650"/>
    <n v="35735"/>
    <n v="178950"/>
    <n v="3.6083996645341584E-4"/>
    <n v="0.93623295601523138"/>
    <b v="1"/>
  </r>
  <r>
    <n v="220"/>
    <s v="PROFESSIONAL SERVICES"/>
    <x v="9"/>
    <s v="Consulting/professional services"/>
    <s v="ORNDORF &amp; ASSOCIATES INC"/>
    <n v="10759.1"/>
    <n v="28950"/>
    <n v="37412.5"/>
    <n v="10700"/>
    <n v="3500"/>
    <n v="38315"/>
    <n v="37150"/>
    <n v="11568.6"/>
    <n v="178355.20000000001"/>
    <n v="3.5964059449450836E-4"/>
    <n v="0.93659259660972594"/>
    <b v="1"/>
  </r>
  <r>
    <n v="1663"/>
    <s v="CONSTRUCTION"/>
    <x v="4"/>
    <s v="General contractor. Active FY18-20"/>
    <s v="HARBOR STONE CONSTRUCTION COMPANY LLC"/>
    <n v="0"/>
    <n v="0"/>
    <n v="0"/>
    <n v="0"/>
    <n v="0"/>
    <n v="31550"/>
    <n v="58163.51"/>
    <n v="88096.02"/>
    <n v="177809.53000000003"/>
    <n v="3.5854028969152079E-4"/>
    <n v="0.93695113689941745"/>
    <b v="1"/>
  </r>
  <r>
    <n v="193"/>
    <s v="OPERATIONS"/>
    <x v="13"/>
    <s v="Portable toilet rental. Events and trail access"/>
    <s v="A-1 SANITATION SVC INC"/>
    <n v="15054"/>
    <n v="12012"/>
    <n v="18000"/>
    <n v="10723"/>
    <n v="10745"/>
    <n v="37294.550000000003"/>
    <n v="44232.800000000003"/>
    <n v="28322.69"/>
    <n v="176384.04"/>
    <n v="3.5566589034097767E-4"/>
    <n v="0.93730680278975842"/>
    <b v="1"/>
  </r>
  <r>
    <n v="191"/>
    <s v="ENERGY/WATER/REFUSE"/>
    <x v="5"/>
    <s v="Gas/propane supplier. Steady"/>
    <s v="SCHAGRIN GAS CO"/>
    <n v="15624.31"/>
    <n v="17889.919999999998"/>
    <n v="32098.84"/>
    <n v="20140"/>
    <n v="8617.52"/>
    <n v="19017.18"/>
    <n v="25474.89"/>
    <n v="36988.49"/>
    <n v="175851.14999999997"/>
    <n v="3.5459135550038886E-4"/>
    <n v="0.93766139414525884"/>
    <b v="1"/>
  </r>
  <r>
    <n v="211"/>
    <s v="PROFESSIONAL SERVICES"/>
    <x v="15"/>
    <s v="Cultural resource/archaeological consulting. Historic site compliance"/>
    <s v="DOVETAIL CULTURAL RESOURCE GROUP INC"/>
    <n v="12577.15"/>
    <n v="34567.71"/>
    <n v="60170.14"/>
    <n v="0"/>
    <n v="1634.08"/>
    <n v="17722.95"/>
    <n v="30000.27"/>
    <n v="19038.77"/>
    <n v="175711.06999999998"/>
    <n v="3.5430889412849283E-4"/>
    <n v="0.93801570303938731"/>
    <b v="1"/>
  </r>
  <r>
    <n v="723"/>
    <s v="FACILITY MAINTENANCE"/>
    <x v="10"/>
    <s v="Masonry repair. Sporadic"/>
    <s v="THE BRICK DOCTOR INC"/>
    <n v="0"/>
    <n v="19698"/>
    <n v="6048.32"/>
    <n v="5894.7"/>
    <n v="44281.43"/>
    <n v="57996.1"/>
    <n v="26961.919999999998"/>
    <n v="11251.79"/>
    <n v="172132.25999999998"/>
    <n v="3.4709247792093125E-4"/>
    <n v="0.93836279551730828"/>
    <b v="1"/>
  </r>
  <r>
    <n v="1793"/>
    <s v="FACILITY MAINTENANCE"/>
    <x v="4"/>
    <s v="Mechanical/HVAC contractor. Active FY18-19"/>
    <s v="SUMMIT MECHANICAL INC"/>
    <n v="0"/>
    <n v="0"/>
    <n v="0"/>
    <n v="0"/>
    <n v="0"/>
    <n v="658.73"/>
    <n v="67169.36"/>
    <n v="102379.75"/>
    <n v="170207.84"/>
    <n v="3.4321202165805178E-4"/>
    <n v="0.93870600753896638"/>
    <b v="1"/>
  </r>
  <r>
    <n v="60"/>
    <s v="FACILITY MAINTENANCE"/>
    <x v="4"/>
    <s v="Lighting/electrical. $107K FY25"/>
    <s v="A BRIGHT IDEA"/>
    <n v="106771.68"/>
    <n v="15999.55"/>
    <n v="46599.1"/>
    <n v="0"/>
    <n v="0"/>
    <n v="0"/>
    <n v="0"/>
    <n v="0"/>
    <n v="169370.33"/>
    <n v="3.4152324222075419E-4"/>
    <n v="0.93904753078118719"/>
    <b v="1"/>
  </r>
  <r>
    <n v="186"/>
    <s v="OPERATIONS"/>
    <x v="13"/>
    <s v="Uniforms for park staff"/>
    <s v="GRAVES UNIFORMS LLC"/>
    <n v="16511.25"/>
    <n v="35229.949999999997"/>
    <n v="32901.15"/>
    <n v="13769.85"/>
    <n v="18997.8"/>
    <n v="14497.05"/>
    <n v="21440.65"/>
    <n v="15349.04"/>
    <n v="168696.74000000002"/>
    <n v="3.4016499582230017E-4"/>
    <n v="0.93938769577700953"/>
    <b v="1"/>
  </r>
  <r>
    <n v="1204"/>
    <s v="CONSTRUCTION"/>
    <x v="4"/>
    <s v="General contractor. Sporadic"/>
    <s v="TAG CONSTRUCTION LLC"/>
    <n v="0"/>
    <n v="0"/>
    <n v="0"/>
    <n v="41550"/>
    <n v="43950"/>
    <n v="0"/>
    <n v="81125"/>
    <n v="0"/>
    <n v="166625"/>
    <n v="3.3598747924168995E-4"/>
    <n v="0.93972368325625122"/>
    <b v="1"/>
  </r>
  <r>
    <n v="754"/>
    <s v="FACILITY MAINTENANCE"/>
    <x v="10"/>
    <s v="Contractor. Small consistent work"/>
    <s v="CLIFTON L BAKHSH JR INC"/>
    <n v="0"/>
    <n v="8000"/>
    <n v="28000"/>
    <n v="41650"/>
    <n v="35350"/>
    <n v="26700"/>
    <n v="26250"/>
    <n v="0"/>
    <n v="165950"/>
    <n v="3.3462638967837022E-4"/>
    <n v="0.94005830964592962"/>
    <b v="1"/>
  </r>
  <r>
    <n v="318"/>
    <s v="OPERATIONS"/>
    <x v="13"/>
    <s v="Property lease/rental. Small consistent payments"/>
    <s v="MASTEN REALTY LLC"/>
    <n v="4200"/>
    <n v="9400"/>
    <n v="24500"/>
    <n v="33250"/>
    <n v="14600"/>
    <n v="30300"/>
    <n v="45950"/>
    <n v="2400"/>
    <n v="164600"/>
    <n v="3.3190421055173089E-4"/>
    <n v="0.94039021385648136"/>
    <b v="1"/>
  </r>
  <r>
    <n v="273"/>
    <s v="EQUIPMENT &amp; SUPPLIES"/>
    <x v="4"/>
    <s v="Aggregate/stone supplier for trails and roads"/>
    <s v="NEW ENTERPRISE STONE AND LIME CO INC"/>
    <n v="6530.1"/>
    <n v="23445.16"/>
    <n v="44649.82"/>
    <n v="37682.01"/>
    <n v="3486.59"/>
    <n v="22233.68"/>
    <n v="13899.91"/>
    <n v="12604.83"/>
    <n v="164532.09999999998"/>
    <n v="3.317672950238058E-4"/>
    <n v="0.94072198115150518"/>
    <b v="1"/>
  </r>
  <r>
    <n v="72"/>
    <s v="CONSTRUCTION"/>
    <x v="4"/>
    <s v="Contractor. Active FY24-25 only"/>
    <s v="JOHN EDWARD HARVEY DBA EASTERN CONTRACTO"/>
    <n v="80200"/>
    <n v="83845"/>
    <n v="0"/>
    <n v="0"/>
    <n v="0"/>
    <n v="0"/>
    <n v="0"/>
    <n v="0"/>
    <n v="164045"/>
    <n v="3.3078509246633472E-4"/>
    <n v="0.94105276624397149"/>
    <b v="1"/>
  </r>
  <r>
    <n v="129"/>
    <s v="OPERATIONS"/>
    <x v="10"/>
    <s v="Pest control. Steady ~$20K/yr = annual contracts"/>
    <s v="TRI-COUNTY TERMITE &amp; PEST CONTROL INC"/>
    <n v="29713.74"/>
    <n v="18474.25"/>
    <n v="13788.5"/>
    <n v="23539.65"/>
    <n v="15589"/>
    <n v="14333.75"/>
    <n v="21730"/>
    <n v="24256.25"/>
    <n v="161425.14000000001"/>
    <n v="3.2550233083172928E-4"/>
    <n v="0.94137826857480322"/>
    <b v="1"/>
  </r>
  <r>
    <n v="120"/>
    <s v="PROFESSIONAL SERVICES"/>
    <x v="15"/>
    <s v="Veterinarian. Steady $36K/yr. Likely Brandywine Zoo."/>
    <s v="JONATHAN BERGMANN DVM PC"/>
    <n v="36000"/>
    <n v="36000"/>
    <n v="36000"/>
    <n v="36240"/>
    <n v="16230"/>
    <n v="0"/>
    <n v="0"/>
    <n v="0"/>
    <n v="160470"/>
    <n v="3.2357635885319716E-4"/>
    <n v="0.94170184493365638"/>
    <b v="1"/>
  </r>
  <r>
    <n v="1293"/>
    <s v="FACILITY MAINTENANCE"/>
    <x v="10"/>
    <s v="General contractor/repairs"/>
    <s v="ELLIOTTS HOME IMPROVEMENTS INC"/>
    <n v="0"/>
    <n v="0"/>
    <n v="0"/>
    <n v="788"/>
    <n v="43438"/>
    <n v="23751"/>
    <n v="84901"/>
    <n v="7195"/>
    <n v="160073"/>
    <n v="3.2277583654706694E-4"/>
    <n v="0.94202462077020344"/>
    <b v="1"/>
  </r>
  <r>
    <n v="140"/>
    <s v="FACILITY MAINTENANCE"/>
    <x v="10"/>
    <s v="General maintenance/repairs"/>
    <s v="B DOHERTY INC"/>
    <n v="25800"/>
    <n v="12200"/>
    <n v="38500"/>
    <n v="32500"/>
    <n v="4990"/>
    <n v="11200"/>
    <n v="8850"/>
    <n v="22800"/>
    <n v="156840"/>
    <n v="3.162567216460114E-4"/>
    <n v="0.94234087749184947"/>
    <b v="1"/>
  </r>
  <r>
    <n v="522"/>
    <s v="MUNICIPAL"/>
    <x v="8"/>
    <s v="$151K FY24 spike vs ~$500/yr norm — one-time project"/>
    <s v="TOWN OF OCEAN VIEW"/>
    <n v="620.79999999999995"/>
    <n v="150657.65"/>
    <n v="562.97"/>
    <n v="556.87"/>
    <n v="557.17999999999995"/>
    <n v="476.84"/>
    <n v="572.59"/>
    <n v="450.28"/>
    <n v="154455.17999999996"/>
    <n v="3.114479014794987E-4"/>
    <n v="0.94265232539332899"/>
    <b v="1"/>
  </r>
  <r>
    <n v="88"/>
    <s v="OPERATIONS"/>
    <x v="15"/>
    <s v="Accessibility consulting/ADA compliance for park facilities"/>
    <s v="ACCESSREC"/>
    <n v="58574.65"/>
    <n v="16081"/>
    <n v="28569.34"/>
    <n v="15745.65"/>
    <n v="19607"/>
    <n v="7860"/>
    <n v="5916"/>
    <n v="0"/>
    <n v="152353.63999999998"/>
    <n v="3.0721029531520418E-4"/>
    <n v="0.94295953568864421"/>
    <b v="1"/>
  </r>
  <r>
    <n v="698"/>
    <s v="FACILITY MAINTENANCE"/>
    <x v="4"/>
    <s v="DUPLICATE of FERRIS ELECTRIC &amp; SOLAR"/>
    <s v="FERRIS ELECTRIC AND SOLAR"/>
    <n v="0"/>
    <n v="152270"/>
    <n v="0"/>
    <n v="0"/>
    <n v="0"/>
    <n v="0"/>
    <n v="0"/>
    <n v="0"/>
    <n v="152270"/>
    <n v="3.0704164119509152E-4"/>
    <n v="0.94326657732983932"/>
    <b v="1"/>
  </r>
  <r>
    <n v="268"/>
    <s v="OPERATIONS"/>
    <x v="11"/>
    <s v="Two-way radios/communications. $132K FY22 = equipment purchase"/>
    <s v="MOTOROLA SOLUTIONS INC"/>
    <n v="6777.97"/>
    <n v="6303.64"/>
    <n v="6370.16"/>
    <n v="132240.70000000001"/>
    <n v="0"/>
    <n v="0"/>
    <n v="0"/>
    <n v="0"/>
    <n v="151692.47"/>
    <n v="3.0587709296471522E-4"/>
    <n v="0.94357245442280402"/>
    <b v="1"/>
  </r>
  <r>
    <n v="1002"/>
    <s v="FACILITY MAINTENANCE"/>
    <x v="4"/>
    <s v="Contractor. Sporadic"/>
    <s v="SHURE-LINE CONSTRUCTION INC"/>
    <n v="0"/>
    <n v="0"/>
    <n v="13096"/>
    <n v="0"/>
    <n v="53788.3"/>
    <n v="13865.7"/>
    <n v="70668"/>
    <n v="0"/>
    <n v="151418"/>
    <n v="3.053236437018347E-4"/>
    <n v="0.94387777806650586"/>
    <b v="1"/>
  </r>
  <r>
    <n v="152"/>
    <s v="EQUIPMENT &amp; SUPPLIES"/>
    <x v="7"/>
    <s v="Forklift/material handling equipment"/>
    <s v="TOYOTALIFT NORTHEAST LLC"/>
    <n v="23380.42"/>
    <n v="8048.3"/>
    <n v="22828.880000000001"/>
    <n v="20403.189999999999"/>
    <n v="21917.95"/>
    <n v="42048.52"/>
    <n v="10834.05"/>
    <n v="0"/>
    <n v="149461.30999999997"/>
    <n v="3.0137811727568356E-4"/>
    <n v="0.94417915618378156"/>
    <b v="1"/>
  </r>
  <r>
    <n v="145"/>
    <s v="EQUIPMENT &amp; SUPPLIES"/>
    <x v="17"/>
    <s v="Marina equipment and supplies. Steady ~$18K/yr = Indian River Marina"/>
    <s v="MARINE EQUIP &amp; SUPPLY CO"/>
    <n v="24593.25"/>
    <n v="21524.93"/>
    <n v="22385.11"/>
    <n v="25347.41"/>
    <n v="11266.51"/>
    <n v="14355.74"/>
    <n v="15038.44"/>
    <n v="14697.44"/>
    <n v="149208.83000000002"/>
    <n v="3.0086900928613262E-4"/>
    <n v="0.94448002519306773"/>
    <b v="1"/>
  </r>
  <r>
    <n v="960"/>
    <s v="OPERATIONS"/>
    <x v="4"/>
    <s v="$146K FY23 only. Likely event or program-related. VERIFY."/>
    <s v="CROSS COUNTRY COWBOY INC"/>
    <n v="0"/>
    <n v="0"/>
    <n v="146348.4"/>
    <n v="0"/>
    <n v="0"/>
    <n v="0"/>
    <n v="0"/>
    <n v="0"/>
    <n v="146348.4"/>
    <n v="2.9510115533115997E-4"/>
    <n v="0.94477512634839889"/>
    <b v="1"/>
  </r>
  <r>
    <n v="553"/>
    <s v="FACILITY MAINTENANCE"/>
    <x v="10"/>
    <s v="Roofing contractor"/>
    <s v="KIRKIN ROOFING"/>
    <n v="500"/>
    <n v="3250"/>
    <n v="64653"/>
    <n v="67345"/>
    <n v="10190"/>
    <n v="0"/>
    <n v="0"/>
    <n v="0"/>
    <n v="145938"/>
    <n v="2.9427361287666165E-4"/>
    <n v="0.94506939996127559"/>
    <b v="1"/>
  </r>
  <r>
    <n v="142"/>
    <s v="FACILITY MAINTENANCE"/>
    <x v="10"/>
    <s v="Pool construction/maintenance"/>
    <s v="PADDOCK SWIMMING POOL COMPANY"/>
    <n v="25349"/>
    <n v="23850"/>
    <n v="6687"/>
    <n v="37582"/>
    <n v="0"/>
    <n v="0"/>
    <n v="36182"/>
    <n v="15900"/>
    <n v="145550"/>
    <n v="2.9349123843137566E-4"/>
    <n v="0.94536289119970696"/>
    <b v="1"/>
  </r>
  <r>
    <n v="738"/>
    <s v="PROFESSIONAL SERVICES"/>
    <x v="9"/>
    <s v="Environmental consulting"/>
    <s v="HARVARD ENVIRONMENTAL"/>
    <n v="0"/>
    <n v="11481"/>
    <n v="15457.5"/>
    <n v="9361.75"/>
    <n v="42443"/>
    <n v="5740"/>
    <n v="11594"/>
    <n v="48691.25"/>
    <n v="144768.5"/>
    <n v="2.9191539918139889E-4"/>
    <n v="0.94565480659888834"/>
    <b v="1"/>
  </r>
  <r>
    <n v="719"/>
    <s v="ENGINEERING"/>
    <x v="9"/>
    <s v="Environmental engineering firm"/>
    <s v="EA ENGINEERING SCIENCE AND TECHNOLOGY IN"/>
    <n v="0"/>
    <n v="23653.79"/>
    <n v="40917.129999999997"/>
    <n v="0"/>
    <n v="78929.429999999993"/>
    <n v="0"/>
    <n v="0"/>
    <n v="0"/>
    <n v="143500.34999999998"/>
    <n v="2.8935826476699314E-4"/>
    <n v="0.94594416486365529"/>
    <b v="1"/>
  </r>
  <r>
    <n v="1969"/>
    <s v="EQUIPMENT &amp; SUPPLIES"/>
    <x v="7"/>
    <s v="Trailer purchase. $143K FY19 = one-time"/>
    <s v="ADVENTURE TRAILERS"/>
    <n v="0"/>
    <n v="0"/>
    <n v="0"/>
    <n v="0"/>
    <n v="0"/>
    <n v="0"/>
    <n v="143488.57999999999"/>
    <n v="0"/>
    <n v="143488.57999999999"/>
    <n v="2.8933453139786682E-4"/>
    <n v="0.94623349939505319"/>
    <b v="1"/>
  </r>
  <r>
    <n v="205"/>
    <s v="EQUIPMENT &amp; SUPPLIES"/>
    <x v="4"/>
    <s v="Recreation equipment supplier"/>
    <s v="GENERAL RECREATION INC"/>
    <n v="13735"/>
    <n v="7623"/>
    <n v="7623"/>
    <n v="55966.5"/>
    <n v="4652"/>
    <n v="0"/>
    <n v="50761"/>
    <n v="2363.9"/>
    <n v="142724.4"/>
    <n v="2.8779361669787034E-4"/>
    <n v="0.94652129301175103"/>
    <b v="1"/>
  </r>
  <r>
    <n v="1053"/>
    <s v="EQUIPMENT &amp; SUPPLIES"/>
    <x v="4"/>
    <s v="Equipment/supplies. Sporadic"/>
    <s v="JERRY'S INC"/>
    <n v="0"/>
    <n v="0"/>
    <n v="2950"/>
    <n v="28979"/>
    <n v="18932"/>
    <n v="0"/>
    <n v="0"/>
    <n v="90538.6"/>
    <n v="141399.6"/>
    <n v="2.8512225158159498E-4"/>
    <n v="0.94680641526333265"/>
    <b v="1"/>
  </r>
  <r>
    <n v="183"/>
    <s v="EQUIPMENT &amp; SUPPLIES"/>
    <x v="4"/>
    <s v="Site furnishings — benches, trash cans, bike racks for parks"/>
    <s v="KEYSTONE RIDGE DESIGNS INC"/>
    <n v="17273"/>
    <n v="40298.550000000003"/>
    <n v="38293.199999999997"/>
    <n v="16770.900000000001"/>
    <n v="13227.92"/>
    <n v="6311.35"/>
    <n v="5133"/>
    <n v="2301"/>
    <n v="139608.91999999998"/>
    <n v="2.815114725308612E-4"/>
    <n v="0.94708792673586351"/>
    <b v="1"/>
  </r>
  <r>
    <n v="153"/>
    <s v="PROFESSIONAL SERVICES"/>
    <x v="3"/>
    <s v="Friends group for Auburn Heights Preserve. Partnership/programming support"/>
    <s v="FRIENDS AUBURN HGTS PRESV INC"/>
    <n v="23300"/>
    <n v="0"/>
    <n v="55850"/>
    <n v="10000"/>
    <n v="25000"/>
    <n v="25000"/>
    <n v="0"/>
    <n v="0"/>
    <n v="139150"/>
    <n v="2.8058609294212246E-4"/>
    <n v="0.94736851282880563"/>
    <b v="1"/>
  </r>
  <r>
    <n v="494"/>
    <s v="OPERATIONS"/>
    <x v="4"/>
    <s v="Road/parking lot striping. $94K FY22 spike"/>
    <s v="TRAFFIC LINES"/>
    <n v="840"/>
    <n v="18537"/>
    <n v="0"/>
    <n v="93502"/>
    <n v="17089.8"/>
    <n v="0"/>
    <n v="9061.7999999999993"/>
    <n v="0"/>
    <n v="139030.6"/>
    <n v="2.8034533132158859E-4"/>
    <n v="0.94764885816012723"/>
    <b v="1"/>
  </r>
  <r>
    <n v="111"/>
    <s v="PROFESSIONAL SERVICES"/>
    <x v="15"/>
    <s v="Survey research firm specializing in outdoor recreation. Visitor surveys."/>
    <s v="MARK DAMIAN DUDA AND ASSOCIATES INC"/>
    <n v="40000"/>
    <n v="40000"/>
    <n v="0"/>
    <n v="0"/>
    <n v="0"/>
    <n v="0"/>
    <n v="0"/>
    <n v="58000"/>
    <n v="138000"/>
    <n v="2.7826719961202223E-4"/>
    <n v="0.94792712535973922"/>
    <b v="1"/>
  </r>
  <r>
    <n v="1654"/>
    <s v="CONSTRUCTION"/>
    <x v="4"/>
    <s v="Paving contractor. Active FY20 only"/>
    <s v="RICHARD'S PAVING INC"/>
    <n v="0"/>
    <n v="0"/>
    <n v="0"/>
    <n v="0"/>
    <n v="0"/>
    <n v="102367"/>
    <n v="35177"/>
    <n v="0"/>
    <n v="137544"/>
    <n v="2.7734770799591298E-4"/>
    <n v="0.94820447306773514"/>
    <b v="1"/>
  </r>
  <r>
    <n v="756"/>
    <s v="OPERATIONS"/>
    <x v="17"/>
    <s v="Wholesale souvenir/gift shop merchandise"/>
    <s v="UNITED SOUVENIR &amp; APPAREL INC"/>
    <n v="0"/>
    <n v="7521.44"/>
    <n v="9033.24"/>
    <n v="6681.65"/>
    <n v="6672.38"/>
    <n v="32513.84"/>
    <n v="37721.78"/>
    <n v="35606.58"/>
    <n v="135750.91"/>
    <n v="2.7373206935133094E-4"/>
    <n v="0.94847820513708647"/>
    <b v="1"/>
  </r>
  <r>
    <n v="141"/>
    <s v="PROFESSIONAL SERVICES"/>
    <x v="15"/>
    <s v="Environmental consulting"/>
    <s v="ENVIRONMENTAL ALLIANCE INC"/>
    <n v="25404.799999999999"/>
    <n v="10575"/>
    <n v="32200.36"/>
    <n v="9520"/>
    <n v="0"/>
    <n v="27606"/>
    <n v="28933.31"/>
    <n v="0"/>
    <n v="134239.47"/>
    <n v="2.7068435792972518E-4"/>
    <n v="0.94874888949501623"/>
    <b v="1"/>
  </r>
  <r>
    <n v="201"/>
    <s v="GROUNDS"/>
    <x v="12"/>
    <s v="Tree care. $72K FY24 spike = storm damage or major tree work"/>
    <s v="FA BARTLETT TREE EXPERT COMPANY"/>
    <n v="14280"/>
    <n v="71770"/>
    <n v="1219"/>
    <n v="1174.5"/>
    <n v="2318.5"/>
    <n v="5906"/>
    <n v="28479"/>
    <n v="7589"/>
    <n v="132736"/>
    <n v="2.6765271744711149E-4"/>
    <n v="0.94901654221246334"/>
    <b v="1"/>
  </r>
  <r>
    <n v="335"/>
    <s v="EQUIPMENT &amp; SUPPLIES"/>
    <x v="10"/>
    <s v="Welding/industrial gases. Consistent = shop supplies"/>
    <s v="MATHESON TRI-GAS INC"/>
    <n v="3535.15"/>
    <n v="46270.45"/>
    <n v="21931.97"/>
    <n v="10325.700000000001"/>
    <n v="14576.35"/>
    <n v="11623.43"/>
    <n v="17429.990000000002"/>
    <n v="6001.28"/>
    <n v="131694.32000000004"/>
    <n v="2.6555224370441701E-4"/>
    <n v="0.94928209445616774"/>
    <b v="1"/>
  </r>
  <r>
    <n v="1428"/>
    <s v="CONSTRUCTION"/>
    <x v="4"/>
    <s v="Contractor. $120K FY19"/>
    <s v="MCMULLEN &amp; SONS INC"/>
    <n v="0"/>
    <n v="0"/>
    <n v="0"/>
    <n v="0"/>
    <n v="9395"/>
    <n v="0"/>
    <n v="119635"/>
    <n v="2440"/>
    <n v="131470"/>
    <n v="2.6509991835501858E-4"/>
    <n v="0.94954719437452273"/>
    <b v="1"/>
  </r>
  <r>
    <n v="718"/>
    <s v="ENGINEERING"/>
    <x v="9"/>
    <s v="Geotechnical/environmental engineering"/>
    <s v="KARINS ENGINEERING INC"/>
    <n v="0"/>
    <n v="24080"/>
    <n v="30200"/>
    <n v="22899.7"/>
    <n v="982.5"/>
    <n v="0"/>
    <n v="34300"/>
    <n v="17450"/>
    <n v="129912.2"/>
    <n v="2.6195872528577503E-4"/>
    <n v="0.94980915309980851"/>
    <b v="1"/>
  </r>
  <r>
    <n v="1205"/>
    <m/>
    <x v="18"/>
    <m/>
    <s v="BERNARDON LLC"/>
    <n v="0"/>
    <n v="0"/>
    <n v="0"/>
    <n v="28122.5"/>
    <n v="69461.13"/>
    <n v="0"/>
    <n v="28883.58"/>
    <n v="2976.12"/>
    <n v="129443.33"/>
    <n v="2.6101328222865846E-4"/>
    <n v="0.95007016638203712"/>
    <b v="0"/>
  </r>
  <r>
    <n v="1040"/>
    <m/>
    <x v="18"/>
    <m/>
    <s v="COLOSSAL CONTRACTORS INC"/>
    <n v="0"/>
    <n v="0"/>
    <n v="4900"/>
    <n v="0"/>
    <n v="0"/>
    <n v="29980"/>
    <n v="94220"/>
    <n v="0"/>
    <n v="129100"/>
    <n v="2.6032098166602953E-4"/>
    <n v="0.95033048736370318"/>
    <b v="0"/>
  </r>
  <r>
    <n v="437"/>
    <m/>
    <x v="18"/>
    <m/>
    <s v="QUALITY EXTERIORS"/>
    <n v="1365"/>
    <n v="0"/>
    <n v="0"/>
    <n v="0"/>
    <n v="275"/>
    <n v="13266"/>
    <n v="47251.14"/>
    <n v="66171.37"/>
    <n v="128328.51"/>
    <n v="2.5876532687016954E-4"/>
    <n v="0.95058925269057337"/>
    <b v="0"/>
  </r>
  <r>
    <n v="829"/>
    <m/>
    <x v="18"/>
    <m/>
    <s v="INFO SOLUTIONS NORTH AMERICA LLC"/>
    <n v="0"/>
    <n v="1103"/>
    <n v="21788.75"/>
    <n v="80096.25"/>
    <n v="24334"/>
    <n v="0"/>
    <n v="0"/>
    <n v="0"/>
    <n v="127322"/>
    <n v="2.5673577093479638E-4"/>
    <n v="0.95084598846150814"/>
    <b v="0"/>
  </r>
  <r>
    <n v="1001"/>
    <m/>
    <x v="18"/>
    <m/>
    <s v="B L WARD &amp; ASSOCIATES LLC"/>
    <n v="0"/>
    <n v="0"/>
    <n v="13200"/>
    <n v="49020"/>
    <n v="0"/>
    <n v="23558"/>
    <n v="33080"/>
    <n v="7963"/>
    <n v="126821"/>
    <n v="2.5572554001446576E-4"/>
    <n v="0.95110171400152266"/>
    <b v="0"/>
  </r>
  <r>
    <n v="703"/>
    <m/>
    <x v="18"/>
    <m/>
    <s v="TOWN OF SLAUGHTER BEACH"/>
    <n v="0"/>
    <n v="60000"/>
    <n v="0"/>
    <n v="0"/>
    <n v="0"/>
    <n v="0"/>
    <n v="65000"/>
    <n v="0"/>
    <n v="125000"/>
    <n v="2.5205362283697668E-4"/>
    <n v="0.95135376762435964"/>
    <b v="0"/>
  </r>
  <r>
    <n v="196"/>
    <m/>
    <x v="18"/>
    <m/>
    <s v="NATIONAL HVAC SERVICE"/>
    <n v="14693"/>
    <n v="789.77"/>
    <n v="25376"/>
    <n v="3404.16"/>
    <n v="24078.240000000002"/>
    <n v="19810.310000000001"/>
    <n v="26972.26"/>
    <n v="9359.99"/>
    <n v="124483.73000000001"/>
    <n v="2.5101260104608037E-4"/>
    <n v="0.95160478022540573"/>
    <b v="0"/>
  </r>
  <r>
    <n v="998"/>
    <m/>
    <x v="18"/>
    <m/>
    <s v="FIRST STATE CRANE SVC INC"/>
    <n v="0"/>
    <n v="0"/>
    <n v="14857.5"/>
    <n v="24550"/>
    <n v="11207.5"/>
    <n v="0"/>
    <n v="73270"/>
    <n v="0"/>
    <n v="123885"/>
    <n v="2.4980530452127085E-4"/>
    <n v="0.95185458552992697"/>
    <b v="0"/>
  </r>
  <r>
    <n v="961"/>
    <m/>
    <x v="18"/>
    <m/>
    <s v="QIAGEN INC"/>
    <n v="0"/>
    <n v="0"/>
    <n v="123117.55"/>
    <n v="0"/>
    <n v="0"/>
    <n v="0"/>
    <n v="0"/>
    <n v="0"/>
    <n v="123117.55"/>
    <n v="2.4825779609850097E-4"/>
    <n v="0.95210284332602546"/>
    <b v="0"/>
  </r>
  <r>
    <n v="1007"/>
    <m/>
    <x v="18"/>
    <m/>
    <s v="CHARLES BROWN GLASS COMPANY"/>
    <n v="0"/>
    <n v="0"/>
    <n v="10057.5"/>
    <n v="8332.5"/>
    <n v="135"/>
    <n v="21475"/>
    <n v="79050"/>
    <n v="0"/>
    <n v="119050"/>
    <n v="2.4005587038993659E-4"/>
    <n v="0.95234289919641535"/>
    <b v="0"/>
  </r>
  <r>
    <n v="57"/>
    <m/>
    <x v="18"/>
    <m/>
    <s v="SUMCO ECO CONTRACTING LLC"/>
    <n v="118750"/>
    <n v="0"/>
    <n v="0"/>
    <n v="0"/>
    <n v="0"/>
    <n v="0"/>
    <n v="0"/>
    <n v="0"/>
    <n v="118750"/>
    <n v="2.3945094169512785E-4"/>
    <n v="0.95258235013811043"/>
    <b v="0"/>
  </r>
  <r>
    <n v="148"/>
    <m/>
    <x v="18"/>
    <m/>
    <s v="JEFFERY MAST DBA JD MAST CARPENTRY LLC"/>
    <n v="24375"/>
    <n v="37425"/>
    <n v="1450"/>
    <n v="31850"/>
    <n v="15200"/>
    <n v="6000"/>
    <n v="0"/>
    <n v="0"/>
    <n v="116300"/>
    <n v="2.345106906875231E-4"/>
    <n v="0.95281686082879791"/>
    <b v="0"/>
  </r>
  <r>
    <n v="1212"/>
    <m/>
    <x v="18"/>
    <m/>
    <s v="SALISBURY DOOR &amp; HARDWARE INC"/>
    <n v="0"/>
    <n v="0"/>
    <n v="0"/>
    <n v="15470"/>
    <n v="30235"/>
    <n v="19990"/>
    <n v="23980"/>
    <n v="26210"/>
    <n v="115885"/>
    <n v="2.3367387265970434E-4"/>
    <n v="0.95305053470145762"/>
    <b v="0"/>
  </r>
  <r>
    <n v="122"/>
    <m/>
    <x v="18"/>
    <m/>
    <s v="DNREC DIVISION OF WATER"/>
    <n v="34791"/>
    <n v="34962"/>
    <n v="7802"/>
    <n v="9475"/>
    <n v="7619"/>
    <n v="6011"/>
    <n v="8077.47"/>
    <n v="6191"/>
    <n v="114928.47"/>
    <n v="2.3174509784488633E-4"/>
    <n v="0.95328227979930247"/>
    <b v="0"/>
  </r>
  <r>
    <n v="178"/>
    <m/>
    <x v="18"/>
    <m/>
    <s v="TOWN OF TOWNSEND"/>
    <n v="18409.599999999999"/>
    <n v="10783.75"/>
    <n v="0"/>
    <n v="85674"/>
    <n v="0"/>
    <n v="0"/>
    <n v="0"/>
    <n v="0"/>
    <n v="114867.35"/>
    <n v="2.3162185370546396E-4"/>
    <n v="0.95351390165300798"/>
    <b v="0"/>
  </r>
  <r>
    <n v="216"/>
    <m/>
    <x v="18"/>
    <m/>
    <s v="SUBURBAN LAWN EQUIP INC"/>
    <n v="11853.81"/>
    <n v="11704.19"/>
    <n v="4754.6099999999997"/>
    <n v="19003.099999999999"/>
    <n v="18881.62"/>
    <n v="16638.240000000002"/>
    <n v="6966"/>
    <n v="21256.69"/>
    <n v="111058.26000000001"/>
    <n v="2.2394109423176718E-4"/>
    <n v="0.95373784274723972"/>
    <b v="0"/>
  </r>
  <r>
    <n v="368"/>
    <m/>
    <x v="18"/>
    <m/>
    <s v="DELMARVA TEMP STAFFING INC"/>
    <n v="2632.41"/>
    <n v="52908.44"/>
    <n v="50866.1"/>
    <n v="3839.94"/>
    <n v="646.94000000000005"/>
    <n v="0"/>
    <n v="0"/>
    <n v="0"/>
    <n v="110893.83000000002"/>
    <n v="2.2360953281414252E-4"/>
    <n v="0.95396145228005391"/>
    <b v="0"/>
  </r>
  <r>
    <n v="143"/>
    <m/>
    <x v="18"/>
    <m/>
    <s v="PREMIUM PARK PRODUCTS  LLC"/>
    <n v="25126.75"/>
    <n v="0"/>
    <n v="54756"/>
    <n v="0"/>
    <n v="30600"/>
    <n v="0"/>
    <n v="0"/>
    <n v="0"/>
    <n v="110482.75"/>
    <n v="2.227806191879359E-4"/>
    <n v="0.95418423289924181"/>
    <b v="0"/>
  </r>
  <r>
    <n v="713"/>
    <m/>
    <x v="18"/>
    <m/>
    <s v="SUNNYFIELD CONTRACTORS INC"/>
    <n v="0"/>
    <n v="33388"/>
    <n v="0"/>
    <n v="0"/>
    <n v="67250"/>
    <n v="0"/>
    <n v="9800"/>
    <n v="0"/>
    <n v="110438"/>
    <n v="2.2269038399096026E-4"/>
    <n v="0.95440692328323273"/>
    <b v="0"/>
  </r>
  <r>
    <n v="483"/>
    <m/>
    <x v="18"/>
    <m/>
    <s v="DNREC WATERSHED STEWARDSHIP"/>
    <n v="925"/>
    <n v="3587.78"/>
    <n v="3659.24"/>
    <n v="585"/>
    <n v="6818.75"/>
    <n v="0"/>
    <n v="780"/>
    <n v="93659.94"/>
    <n v="110015.71"/>
    <n v="2.2183886619585766E-4"/>
    <n v="0.9546287621494286"/>
    <b v="0"/>
  </r>
  <r>
    <n v="399"/>
    <m/>
    <x v="18"/>
    <m/>
    <s v="DIAMOND ELECTRIC INC"/>
    <n v="1961.28"/>
    <n v="41889.26"/>
    <n v="44750.1"/>
    <n v="11493.45"/>
    <n v="0"/>
    <n v="0"/>
    <n v="784"/>
    <n v="8977.26"/>
    <n v="109855.34999999999"/>
    <n v="2.2151551164419252E-4"/>
    <n v="0.95485027766107278"/>
    <b v="0"/>
  </r>
  <r>
    <n v="163"/>
    <m/>
    <x v="18"/>
    <m/>
    <s v="KM PRINTING LLC"/>
    <n v="21341.97"/>
    <n v="3744.08"/>
    <n v="0"/>
    <n v="0"/>
    <n v="21844.17"/>
    <n v="281.99"/>
    <n v="29883.21"/>
    <n v="32333.56"/>
    <n v="109428.98"/>
    <n v="2.2065576681884052E-4"/>
    <n v="0.95507093342789162"/>
    <b v="0"/>
  </r>
  <r>
    <n v="987"/>
    <m/>
    <x v="18"/>
    <m/>
    <s v="PAPCO INC"/>
    <n v="0"/>
    <n v="0"/>
    <n v="18458.86"/>
    <n v="19394.560000000001"/>
    <n v="15455.65"/>
    <n v="15644.31"/>
    <n v="22330.05"/>
    <n v="17907.580000000002"/>
    <n v="109191.01000000001"/>
    <n v="2.2017591721382841E-4"/>
    <n v="0.95529110934510542"/>
    <b v="0"/>
  </r>
  <r>
    <n v="735"/>
    <m/>
    <x v="18"/>
    <m/>
    <s v="BATTA ENVIRONMENTAL ASSOCIATES INC"/>
    <n v="0"/>
    <n v="12821.35"/>
    <n v="78424.399999999994"/>
    <n v="4484.5"/>
    <n v="3069.08"/>
    <n v="4600"/>
    <n v="3960.24"/>
    <n v="987.7"/>
    <n v="108347.27"/>
    <n v="2.1847457542396864E-4"/>
    <n v="0.95550958392052943"/>
    <b v="0"/>
  </r>
  <r>
    <n v="76"/>
    <m/>
    <x v="18"/>
    <m/>
    <s v="JOHNSON MIRMIRAN &amp; THOMPSON INC"/>
    <n v="73004.960000000006"/>
    <n v="35150.53"/>
    <n v="0"/>
    <n v="0"/>
    <n v="0"/>
    <n v="0"/>
    <n v="0"/>
    <n v="0"/>
    <n v="108155.49"/>
    <n v="2.1808786467366725E-4"/>
    <n v="0.95572767178520313"/>
    <b v="0"/>
  </r>
  <r>
    <n v="117"/>
    <m/>
    <x v="18"/>
    <m/>
    <s v="CANON FINANCIAL SERVICES INC"/>
    <n v="37185.550000000003"/>
    <n v="34463.15"/>
    <n v="28174.85"/>
    <n v="4926.26"/>
    <n v="0"/>
    <n v="0"/>
    <n v="57.03"/>
    <n v="2293.84"/>
    <n v="107100.68000000001"/>
    <n v="2.1596091521842986E-4"/>
    <n v="0.9559436327004216"/>
    <b v="0"/>
  </r>
  <r>
    <n v="165"/>
    <m/>
    <x v="18"/>
    <m/>
    <s v="PHRST"/>
    <n v="20358"/>
    <n v="5538"/>
    <n v="18999.63"/>
    <n v="17774.64"/>
    <n v="20618.52"/>
    <n v="17375"/>
    <n v="6415.52"/>
    <n v="0"/>
    <n v="107079.31000000001"/>
    <n v="2.1591782413106966E-4"/>
    <n v="0.9561595505245527"/>
    <b v="0"/>
  </r>
  <r>
    <n v="61"/>
    <m/>
    <x v="18"/>
    <m/>
    <s v="LANE GROUP V LLC"/>
    <n v="106381"/>
    <n v="0"/>
    <n v="0"/>
    <n v="0"/>
    <n v="0"/>
    <n v="0"/>
    <n v="0"/>
    <n v="0"/>
    <n v="106381"/>
    <n v="2.1450973160816334E-4"/>
    <n v="0.9563740602561609"/>
    <b v="0"/>
  </r>
  <r>
    <n v="1405"/>
    <m/>
    <x v="18"/>
    <m/>
    <s v="P S C CONTRACTING INC"/>
    <n v="0"/>
    <n v="0"/>
    <n v="0"/>
    <n v="0"/>
    <n v="106310"/>
    <n v="0"/>
    <n v="0"/>
    <n v="0"/>
    <n v="106310"/>
    <n v="2.1436656515039194E-4"/>
    <n v="0.95658842682131129"/>
    <b v="0"/>
  </r>
  <r>
    <n v="63"/>
    <m/>
    <x v="18"/>
    <m/>
    <s v="BURKE EQUIPMENT SEAFORD INC"/>
    <n v="100553.07"/>
    <n v="5213.3"/>
    <n v="0"/>
    <n v="0"/>
    <n v="0"/>
    <n v="0"/>
    <n v="0"/>
    <n v="0"/>
    <n v="105766.37000000001"/>
    <n v="2.1327037386252904E-4"/>
    <n v="0.95680169719517383"/>
    <b v="0"/>
  </r>
  <r>
    <n v="203"/>
    <m/>
    <x v="18"/>
    <m/>
    <s v="US DEPT OF AGRICULTURE ANIMAL &amp; PLANT HE"/>
    <n v="13839.07"/>
    <n v="29632.6"/>
    <n v="17999.98"/>
    <n v="13276.61"/>
    <n v="17985.7"/>
    <n v="4104.3599999999997"/>
    <n v="8780.57"/>
    <n v="0"/>
    <n v="105618.88999999998"/>
    <n v="2.1297299091616099E-4"/>
    <n v="0.95701467018608999"/>
    <b v="0"/>
  </r>
  <r>
    <n v="282"/>
    <m/>
    <x v="18"/>
    <m/>
    <s v="JD SIGN COMPANY LLC"/>
    <n v="6012.25"/>
    <n v="54275"/>
    <n v="6080"/>
    <n v="350"/>
    <n v="13254.75"/>
    <n v="3245.9"/>
    <n v="21435"/>
    <n v="0"/>
    <n v="104652.9"/>
    <n v="2.1102514068316669E-4"/>
    <n v="0.95722569532677315"/>
    <b v="0"/>
  </r>
  <r>
    <n v="154"/>
    <m/>
    <x v="18"/>
    <m/>
    <s v="DELDOT TRAFFIC"/>
    <n v="23197.11"/>
    <n v="10000.93"/>
    <n v="14428.74"/>
    <n v="14342.36"/>
    <n v="17417.740000000002"/>
    <n v="6372.51"/>
    <n v="13778.1"/>
    <n v="4881.53"/>
    <n v="104419.02"/>
    <n v="2.1055353827269382E-4"/>
    <n v="0.95743624886504586"/>
    <b v="0"/>
  </r>
  <r>
    <n v="1653"/>
    <m/>
    <x v="18"/>
    <m/>
    <s v="CHAS S WINNER INC"/>
    <n v="0"/>
    <n v="0"/>
    <n v="0"/>
    <n v="0"/>
    <n v="0"/>
    <n v="103671"/>
    <n v="0"/>
    <n v="0"/>
    <n v="103671"/>
    <n v="2.0904520906505768E-4"/>
    <n v="0.95764529407411092"/>
    <b v="0"/>
  </r>
  <r>
    <n v="1974"/>
    <m/>
    <x v="18"/>
    <m/>
    <s v="BEST BUILT CONSTRUCTION INC"/>
    <n v="0"/>
    <n v="0"/>
    <n v="0"/>
    <n v="0"/>
    <n v="0"/>
    <n v="0"/>
    <n v="40000"/>
    <n v="60000"/>
    <n v="100000"/>
    <n v="2.0164289826958134E-4"/>
    <n v="0.95784693697238055"/>
    <b v="0"/>
  </r>
  <r>
    <n v="139"/>
    <m/>
    <x v="18"/>
    <m/>
    <s v="DEDC LLC"/>
    <n v="25935"/>
    <n v="0"/>
    <n v="0"/>
    <n v="0"/>
    <n v="8188.5"/>
    <n v="41548.97"/>
    <n v="12381.4"/>
    <n v="11119"/>
    <n v="99172.87"/>
    <n v="1.9997504936512415E-4"/>
    <n v="0.95804691202174563"/>
    <b v="0"/>
  </r>
  <r>
    <n v="118"/>
    <m/>
    <x v="18"/>
    <m/>
    <s v="THE RESTORATION GUYS LLC"/>
    <n v="36787"/>
    <n v="61859.07"/>
    <n v="0"/>
    <n v="0"/>
    <n v="0"/>
    <n v="0"/>
    <n v="0"/>
    <n v="0"/>
    <n v="98646.07"/>
    <n v="1.9891279457704002E-4"/>
    <n v="0.9582458248163227"/>
    <b v="0"/>
  </r>
  <r>
    <n v="166"/>
    <m/>
    <x v="18"/>
    <m/>
    <s v="HYETT REFRIGERATION INC"/>
    <n v="20334.349999999999"/>
    <n v="864"/>
    <n v="5258.45"/>
    <n v="15373.19"/>
    <n v="3615.65"/>
    <n v="5854.98"/>
    <n v="16643.48"/>
    <n v="29265"/>
    <n v="97209.099999999991"/>
    <n v="1.9601524662177559E-4"/>
    <n v="0.95844184006294453"/>
    <b v="0"/>
  </r>
  <r>
    <n v="308"/>
    <m/>
    <x v="18"/>
    <m/>
    <s v="LOWES HOME CENTERS LLC"/>
    <n v="4714.45"/>
    <n v="9693.94"/>
    <n v="16020.64"/>
    <n v="6922.94"/>
    <n v="22923.19"/>
    <n v="8125.95"/>
    <n v="4719.72"/>
    <n v="23220.93"/>
    <n v="96341.760000000009"/>
    <n v="1.9426631710792424E-4"/>
    <n v="0.95863610638005248"/>
    <b v="0"/>
  </r>
  <r>
    <n v="464"/>
    <m/>
    <x v="18"/>
    <m/>
    <s v="CITY OF REHOBOTH BEACH"/>
    <n v="1071.8800000000001"/>
    <n v="609.99"/>
    <n v="547.54999999999995"/>
    <n v="408"/>
    <n v="698.38"/>
    <n v="80199.56"/>
    <n v="11251.12"/>
    <n v="654.9"/>
    <n v="95441.37999999999"/>
    <n v="1.9245076478048454E-4"/>
    <n v="0.95882855714483295"/>
    <b v="0"/>
  </r>
  <r>
    <n v="278"/>
    <m/>
    <x v="18"/>
    <m/>
    <s v="DEERFIELD CC MANAGEMENT LP"/>
    <n v="6095"/>
    <n v="88886"/>
    <n v="0"/>
    <n v="0"/>
    <n v="0"/>
    <n v="0"/>
    <n v="0"/>
    <n v="0"/>
    <n v="94981"/>
    <n v="1.9152244120543106E-4"/>
    <n v="0.95902007958603841"/>
    <b v="0"/>
  </r>
  <r>
    <n v="1209"/>
    <m/>
    <x v="18"/>
    <m/>
    <s v="SUEZ WATER DELAWARE INC"/>
    <n v="0"/>
    <n v="0"/>
    <n v="0"/>
    <n v="18491.259999999998"/>
    <n v="21171.96"/>
    <n v="15013.18"/>
    <n v="23286.18"/>
    <n v="16038.55"/>
    <n v="94001.13"/>
    <n v="1.8954660293815691E-4"/>
    <n v="0.95920962618897654"/>
    <b v="0"/>
  </r>
  <r>
    <n v="1658"/>
    <m/>
    <x v="18"/>
    <m/>
    <s v="WALLACE ROBERTS AND TODD LLC"/>
    <n v="0"/>
    <n v="0"/>
    <n v="0"/>
    <n v="0"/>
    <n v="0"/>
    <n v="41535.599999999999"/>
    <n v="49624.25"/>
    <n v="2040"/>
    <n v="93199.85"/>
    <n v="1.8793087872290244E-4"/>
    <n v="0.95939755706769947"/>
    <b v="0"/>
  </r>
  <r>
    <n v="724"/>
    <m/>
    <x v="18"/>
    <m/>
    <s v="CMH HOMES INC"/>
    <n v="0"/>
    <n v="18624.95"/>
    <n v="0"/>
    <n v="74503.05"/>
    <n v="0"/>
    <n v="0"/>
    <n v="0"/>
    <n v="0"/>
    <n v="93128"/>
    <n v="1.8778599830049573E-4"/>
    <n v="0.95958534306599996"/>
    <b v="0"/>
  </r>
  <r>
    <n v="1655"/>
    <m/>
    <x v="18"/>
    <m/>
    <s v="TOWN OF MILTON INC"/>
    <n v="0"/>
    <n v="0"/>
    <n v="0"/>
    <n v="0"/>
    <n v="0"/>
    <n v="90000"/>
    <n v="3000"/>
    <n v="0"/>
    <n v="93000"/>
    <n v="1.8752789539071065E-4"/>
    <n v="0.95977287096139063"/>
    <b v="0"/>
  </r>
  <r>
    <n v="404"/>
    <m/>
    <x v="18"/>
    <m/>
    <s v="NATIONAL EC SERVICES INC DBA VERDANTAS"/>
    <n v="1800"/>
    <n v="91053.75"/>
    <n v="0"/>
    <n v="0"/>
    <n v="0"/>
    <n v="0"/>
    <n v="0"/>
    <n v="0"/>
    <n v="92853.75"/>
    <n v="1.8723299265199138E-4"/>
    <n v="0.95996010395404263"/>
    <b v="0"/>
  </r>
  <r>
    <n v="134"/>
    <m/>
    <x v="18"/>
    <m/>
    <s v="SHARP ENERGY INC"/>
    <n v="27482.43"/>
    <n v="26087.5"/>
    <n v="18960.37"/>
    <n v="15153.01"/>
    <n v="939.34"/>
    <n v="3466"/>
    <n v="0"/>
    <n v="0"/>
    <n v="92088.65"/>
    <n v="1.856902228373308E-4"/>
    <n v="0.96014579417687995"/>
    <b v="0"/>
  </r>
  <r>
    <n v="1549"/>
    <m/>
    <x v="18"/>
    <m/>
    <s v="INDEPENDENT NEWSMEDIA INC USA"/>
    <n v="0"/>
    <n v="0"/>
    <n v="0"/>
    <n v="0"/>
    <n v="295"/>
    <n v="19700.900000000001"/>
    <n v="43222.85"/>
    <n v="28799.52"/>
    <n v="92018.27"/>
    <n v="1.8554830656552869E-4"/>
    <n v="0.96033134248344543"/>
    <b v="0"/>
  </r>
  <r>
    <n v="168"/>
    <m/>
    <x v="18"/>
    <m/>
    <s v="RR DONNELLEY &amp; SONS COMPANY"/>
    <n v="19591.37"/>
    <n v="25327.05"/>
    <n v="46880.37"/>
    <n v="0"/>
    <n v="0"/>
    <n v="0"/>
    <n v="0"/>
    <n v="0"/>
    <n v="91798.790000000008"/>
    <n v="1.8510574073240664E-4"/>
    <n v="0.96051644822417781"/>
    <b v="0"/>
  </r>
  <r>
    <n v="242"/>
    <m/>
    <x v="18"/>
    <m/>
    <s v="GENESIS TURFGRASS INC"/>
    <n v="8335"/>
    <n v="9801"/>
    <n v="14929"/>
    <n v="5499.25"/>
    <n v="11549.5"/>
    <n v="12905.55"/>
    <n v="10194.5"/>
    <n v="18420"/>
    <n v="91633.8"/>
    <n v="1.8477305011455164E-4"/>
    <n v="0.96070122127429236"/>
    <b v="0"/>
  </r>
  <r>
    <n v="967"/>
    <m/>
    <x v="18"/>
    <m/>
    <s v="G FEDALE GENERAL CONTRACTORS"/>
    <n v="0"/>
    <n v="0"/>
    <n v="64996"/>
    <n v="26300"/>
    <n v="0"/>
    <n v="0"/>
    <n v="0"/>
    <n v="0"/>
    <n v="91296"/>
    <n v="1.84091900404197E-4"/>
    <n v="0.96088531317469661"/>
    <b v="0"/>
  </r>
  <r>
    <n v="285"/>
    <m/>
    <x v="18"/>
    <m/>
    <s v="TETRA TECH INC"/>
    <n v="5887.5"/>
    <n v="14521"/>
    <n v="10654"/>
    <n v="29377"/>
    <n v="14170.5"/>
    <n v="14940"/>
    <n v="0"/>
    <n v="0"/>
    <n v="89550"/>
    <n v="1.805712154004101E-4"/>
    <n v="0.96106588439009699"/>
    <b v="0"/>
  </r>
  <r>
    <n v="66"/>
    <m/>
    <x v="18"/>
    <m/>
    <s v="FLOWBIRD AMERICA INC"/>
    <n v="89371"/>
    <n v="0"/>
    <n v="0"/>
    <n v="0"/>
    <n v="0"/>
    <n v="0"/>
    <n v="0"/>
    <n v="0"/>
    <n v="89371"/>
    <n v="1.8021027461250755E-4"/>
    <n v="0.96124609466470945"/>
    <b v="0"/>
  </r>
  <r>
    <n v="314"/>
    <m/>
    <x v="18"/>
    <m/>
    <s v="CARLISLE'S MARINE INC"/>
    <n v="4434.0600000000004"/>
    <n v="8692.52"/>
    <n v="5910.32"/>
    <n v="24225.75"/>
    <n v="0"/>
    <n v="6707.2"/>
    <n v="33352.699999999997"/>
    <n v="5793.87"/>
    <n v="89116.419999999984"/>
    <n v="1.796969321220928E-4"/>
    <n v="0.9614257915968315"/>
    <b v="0"/>
  </r>
  <r>
    <n v="185"/>
    <m/>
    <x v="18"/>
    <m/>
    <s v="ENVIRONMENTAL SERVICES INC"/>
    <n v="17157.97"/>
    <n v="10330"/>
    <n v="27305"/>
    <n v="0"/>
    <n v="0"/>
    <n v="9080"/>
    <n v="5125"/>
    <n v="19375"/>
    <n v="88372.97"/>
    <n v="1.7819781799490765E-4"/>
    <n v="0.96160398941482639"/>
    <b v="0"/>
  </r>
  <r>
    <n v="1047"/>
    <m/>
    <x v="18"/>
    <m/>
    <s v="ADAMS CONSTRUCTION INC"/>
    <n v="0"/>
    <n v="0"/>
    <n v="3650"/>
    <n v="0"/>
    <n v="6289"/>
    <n v="2200"/>
    <n v="44520"/>
    <n v="29817"/>
    <n v="86476"/>
    <n v="1.7437271270760317E-4"/>
    <n v="0.96177836212753398"/>
    <b v="0"/>
  </r>
  <r>
    <n v="962"/>
    <m/>
    <x v="18"/>
    <m/>
    <s v="CLARK BOAT CO"/>
    <n v="0"/>
    <n v="0"/>
    <n v="85970"/>
    <n v="0"/>
    <n v="0"/>
    <n v="0"/>
    <n v="0"/>
    <n v="0"/>
    <n v="85970"/>
    <n v="1.733523996423591E-4"/>
    <n v="0.96195171452717632"/>
    <b v="0"/>
  </r>
  <r>
    <n v="102"/>
    <m/>
    <x v="18"/>
    <m/>
    <s v="REMLINE CORP"/>
    <n v="46049.25"/>
    <n v="1192.06"/>
    <n v="34673.949999999997"/>
    <n v="0"/>
    <n v="3643.17"/>
    <n v="0"/>
    <n v="0"/>
    <n v="0"/>
    <n v="85558.43"/>
    <n v="1.7252249796595096E-4"/>
    <n v="0.96212423702514227"/>
    <b v="0"/>
  </r>
  <r>
    <n v="443"/>
    <m/>
    <x v="18"/>
    <m/>
    <s v="RICHARD FRUNZI"/>
    <n v="1280"/>
    <n v="33778"/>
    <n v="6050"/>
    <n v="15084"/>
    <n v="1911"/>
    <n v="21700"/>
    <n v="0"/>
    <n v="5750"/>
    <n v="85553"/>
    <n v="1.7251154875657493E-4"/>
    <n v="0.9622967485738988"/>
    <b v="0"/>
  </r>
  <r>
    <n v="1038"/>
    <m/>
    <x v="18"/>
    <m/>
    <s v="PAUL J SHERIDAN IV"/>
    <n v="0"/>
    <n v="0"/>
    <n v="5200"/>
    <n v="60450"/>
    <n v="19750"/>
    <n v="0"/>
    <n v="0"/>
    <n v="0"/>
    <n v="85400"/>
    <n v="1.7220303512222246E-4"/>
    <n v="0.96246895160902102"/>
    <b v="0"/>
  </r>
  <r>
    <n v="997"/>
    <m/>
    <x v="18"/>
    <m/>
    <s v="IMG COLLEGE LLC"/>
    <n v="0"/>
    <n v="0"/>
    <n v="15000"/>
    <n v="15000"/>
    <n v="11500"/>
    <n v="11500"/>
    <n v="18802.330000000002"/>
    <n v="13254.69"/>
    <n v="85057.02"/>
    <n v="1.7151144030973746E-4"/>
    <n v="0.96264046304933071"/>
    <b v="0"/>
  </r>
  <r>
    <n v="979"/>
    <m/>
    <x v="18"/>
    <m/>
    <s v="ACCESSIBLE VANS &amp; MOBILITY LLC"/>
    <n v="0"/>
    <n v="0"/>
    <n v="25240"/>
    <n v="0"/>
    <n v="20670"/>
    <n v="19859.22"/>
    <n v="0"/>
    <n v="17500"/>
    <n v="83269.22"/>
    <n v="1.679064685744739E-4"/>
    <n v="0.96280836951790516"/>
    <b v="0"/>
  </r>
  <r>
    <n v="974"/>
    <m/>
    <x v="18"/>
    <m/>
    <s v="CENTRAL FLORIDA YAMAHA INC"/>
    <n v="0"/>
    <n v="0"/>
    <n v="32585.21"/>
    <n v="0"/>
    <n v="45288.55"/>
    <n v="5127.2"/>
    <n v="0"/>
    <n v="0"/>
    <n v="83000.960000000006"/>
    <n v="1.6736554133557591E-4"/>
    <n v="0.96297573505924072"/>
    <b v="0"/>
  </r>
  <r>
    <n v="1034"/>
    <m/>
    <x v="18"/>
    <m/>
    <s v="LAWMEN SUPPLY COMPANY OF NJ INC"/>
    <n v="0"/>
    <n v="0"/>
    <n v="5848.65"/>
    <n v="5936.32"/>
    <n v="16002.13"/>
    <n v="11546.08"/>
    <n v="37358"/>
    <n v="5177.7"/>
    <n v="81868.87999999999"/>
    <n v="1.650827824128456E-4"/>
    <n v="0.96314081784165362"/>
    <b v="0"/>
  </r>
  <r>
    <n v="390"/>
    <m/>
    <x v="18"/>
    <m/>
    <s v="PLAYPOWER LT FARMINGTON INC"/>
    <n v="2100"/>
    <n v="0"/>
    <n v="9152.4"/>
    <n v="0"/>
    <n v="0"/>
    <n v="292.8"/>
    <n v="43176.36"/>
    <n v="25893"/>
    <n v="80614.559999999998"/>
    <n v="1.6255353521127061E-4"/>
    <n v="0.96330337137686484"/>
    <b v="0"/>
  </r>
  <r>
    <n v="110"/>
    <m/>
    <x v="18"/>
    <m/>
    <s v="PRIORITY SERVICES LLC"/>
    <n v="40500"/>
    <n v="34981.79"/>
    <n v="0"/>
    <n v="0"/>
    <n v="0"/>
    <n v="0"/>
    <n v="2592"/>
    <n v="2208"/>
    <n v="80281.790000000008"/>
    <n v="1.6188252813869895E-4"/>
    <n v="0.96346525390500348"/>
    <b v="0"/>
  </r>
  <r>
    <n v="1200"/>
    <m/>
    <x v="18"/>
    <m/>
    <s v="HYDRO-MARINE CONSTRUCTION CO INC"/>
    <n v="0"/>
    <n v="0"/>
    <n v="0"/>
    <n v="80200"/>
    <n v="0"/>
    <n v="0"/>
    <n v="0"/>
    <n v="0"/>
    <n v="80200"/>
    <n v="1.6171760441220423E-4"/>
    <n v="0.96362697150941568"/>
    <b v="0"/>
  </r>
  <r>
    <n v="79"/>
    <m/>
    <x v="18"/>
    <m/>
    <s v="MAIN LINE COMMERCIAL POOLS"/>
    <n v="69253.679999999993"/>
    <n v="10598.85"/>
    <n v="0"/>
    <n v="0"/>
    <n v="0"/>
    <n v="0"/>
    <n v="0"/>
    <n v="0"/>
    <n v="79852.53"/>
    <n v="1.6101695583358691E-4"/>
    <n v="0.96378798846524927"/>
    <b v="0"/>
  </r>
  <r>
    <n v="873"/>
    <m/>
    <x v="18"/>
    <m/>
    <s v="SOUTH JERSEY PRINTING LLC"/>
    <n v="0"/>
    <n v="529"/>
    <n v="956"/>
    <n v="37687.660000000003"/>
    <n v="40088"/>
    <n v="0"/>
    <n v="0"/>
    <n v="0"/>
    <n v="79260.66"/>
    <n v="1.5982349201159877E-4"/>
    <n v="0.96394781195726087"/>
    <b v="0"/>
  </r>
  <r>
    <n v="374"/>
    <m/>
    <x v="18"/>
    <m/>
    <s v="MAGNUM ELECTRONICS INC"/>
    <n v="2448"/>
    <n v="2216.59"/>
    <n v="7720.44"/>
    <n v="8293.02"/>
    <n v="27978.84"/>
    <n v="9784.6200000000008"/>
    <n v="13219.85"/>
    <n v="7197.54"/>
    <n v="78858.899999999994"/>
    <n v="1.5901337150351087E-4"/>
    <n v="0.96410682532876435"/>
    <b v="0"/>
  </r>
  <r>
    <n v="275"/>
    <m/>
    <x v="18"/>
    <m/>
    <s v="AUI INC"/>
    <n v="6400"/>
    <n v="54113"/>
    <n v="0"/>
    <n v="16700"/>
    <n v="1240"/>
    <n v="0"/>
    <n v="0"/>
    <n v="0"/>
    <n v="78453"/>
    <n v="1.5819490297943464E-4"/>
    <n v="0.96426502023174376"/>
    <b v="0"/>
  </r>
  <r>
    <n v="1980"/>
    <m/>
    <x v="18"/>
    <m/>
    <s v="DELAWARE RIVER &amp; BAY AUTHORITY"/>
    <n v="0"/>
    <n v="0"/>
    <n v="0"/>
    <n v="0"/>
    <n v="0"/>
    <n v="0"/>
    <n v="19764.36"/>
    <n v="58466.239999999998"/>
    <n v="78230.600000000006"/>
    <n v="1.5774644917368312E-4"/>
    <n v="0.96442276668091742"/>
    <b v="0"/>
  </r>
  <r>
    <n v="1970"/>
    <m/>
    <x v="18"/>
    <m/>
    <s v="TOWN OF LEIPSIC"/>
    <n v="0"/>
    <n v="0"/>
    <n v="0"/>
    <n v="0"/>
    <n v="0"/>
    <n v="0"/>
    <n v="78000"/>
    <n v="0"/>
    <n v="78000"/>
    <n v="1.5728146065027346E-4"/>
    <n v="0.96458004814156773"/>
    <b v="0"/>
  </r>
  <r>
    <n v="725"/>
    <m/>
    <x v="18"/>
    <m/>
    <s v="J&amp;A FENCE INC"/>
    <n v="0"/>
    <n v="18010"/>
    <n v="16515"/>
    <n v="17835"/>
    <n v="4970"/>
    <n v="9800"/>
    <n v="10725"/>
    <n v="0"/>
    <n v="77855"/>
    <n v="1.5698907844778257E-4"/>
    <n v="0.96473703722001547"/>
    <b v="0"/>
  </r>
  <r>
    <n v="226"/>
    <m/>
    <x v="18"/>
    <m/>
    <s v="KENT CONSERVATION DIST"/>
    <n v="9622.41"/>
    <n v="4700.33"/>
    <n v="7750.42"/>
    <n v="11066.44"/>
    <n v="15436.85"/>
    <n v="22146.53"/>
    <n v="6584.53"/>
    <n v="0"/>
    <n v="77307.509999999995"/>
    <n v="1.5588510374404642E-4"/>
    <n v="0.96489292232375956"/>
    <b v="0"/>
  </r>
  <r>
    <n v="1003"/>
    <m/>
    <x v="18"/>
    <m/>
    <s v="MILLER LEWIS INC"/>
    <n v="0"/>
    <n v="0"/>
    <n v="12820"/>
    <n v="1685"/>
    <n v="1260"/>
    <n v="36570"/>
    <n v="24585"/>
    <n v="0"/>
    <n v="76920"/>
    <n v="1.5510371734896197E-4"/>
    <n v="0.96504802604110851"/>
    <b v="0"/>
  </r>
  <r>
    <n v="963"/>
    <m/>
    <x v="18"/>
    <m/>
    <s v="LA VIDA HOSPITALITY LLC"/>
    <n v="0"/>
    <n v="0"/>
    <n v="76896.95"/>
    <n v="0"/>
    <n v="0"/>
    <n v="0"/>
    <n v="0"/>
    <n v="0"/>
    <n v="76896.95"/>
    <n v="1.5505723866091083E-4"/>
    <n v="0.96520308327976945"/>
    <b v="0"/>
  </r>
  <r>
    <n v="1659"/>
    <m/>
    <x v="18"/>
    <m/>
    <s v="GREG STEFAN STUDIOS LLC"/>
    <n v="0"/>
    <n v="0"/>
    <n v="0"/>
    <n v="0"/>
    <n v="0"/>
    <n v="40000"/>
    <n v="36000"/>
    <n v="0"/>
    <n v="76000"/>
    <n v="1.5324860268488183E-4"/>
    <n v="0.96535633188245429"/>
    <b v="0"/>
  </r>
  <r>
    <n v="1013"/>
    <m/>
    <x v="18"/>
    <m/>
    <s v="A C SCHULTES OF DE INC"/>
    <n v="0"/>
    <n v="0"/>
    <n v="9284"/>
    <n v="6845"/>
    <n v="0"/>
    <n v="59754"/>
    <n v="0"/>
    <n v="0"/>
    <n v="75883"/>
    <n v="1.5301268049390643E-4"/>
    <n v="0.96550934456294824"/>
    <b v="0"/>
  </r>
  <r>
    <n v="292"/>
    <m/>
    <x v="18"/>
    <m/>
    <s v="GFSI INC"/>
    <n v="5545.62"/>
    <n v="2544"/>
    <n v="46968.71"/>
    <n v="6945.95"/>
    <n v="0"/>
    <n v="12398.12"/>
    <n v="924"/>
    <n v="432"/>
    <n v="75758.399999999994"/>
    <n v="1.527614334426625E-4"/>
    <n v="0.96566210599639091"/>
    <b v="0"/>
  </r>
  <r>
    <n v="171"/>
    <m/>
    <x v="18"/>
    <m/>
    <s v="BUTTS TICKET COMPANY"/>
    <n v="19187.11"/>
    <n v="17793.75"/>
    <n v="10571.08"/>
    <n v="15605.29"/>
    <n v="12333.22"/>
    <n v="180"/>
    <n v="0"/>
    <n v="0"/>
    <n v="75670.45"/>
    <n v="1.5258408851363443E-4"/>
    <n v="0.9658146900849045"/>
    <b v="0"/>
  </r>
  <r>
    <n v="964"/>
    <m/>
    <x v="18"/>
    <m/>
    <s v="TOWN OF ELSMERE"/>
    <n v="0"/>
    <n v="0"/>
    <n v="75000"/>
    <n v="0"/>
    <n v="0"/>
    <n v="0"/>
    <n v="0"/>
    <n v="0"/>
    <n v="75000"/>
    <n v="1.5123217370218602E-4"/>
    <n v="0.96596592225860667"/>
    <b v="0"/>
  </r>
  <r>
    <n v="965"/>
    <m/>
    <x v="18"/>
    <m/>
    <s v="DELAWARE COMMUNITY FOUNDATION"/>
    <n v="0"/>
    <n v="0"/>
    <n v="74729.66"/>
    <n v="0"/>
    <n v="0"/>
    <n v="0"/>
    <n v="0"/>
    <n v="0"/>
    <n v="74729.66"/>
    <n v="1.5068705229100404E-4"/>
    <n v="0.96611660931089771"/>
    <b v="0"/>
  </r>
  <r>
    <n v="990"/>
    <m/>
    <x v="18"/>
    <m/>
    <s v="FISHER SCIENTIFIC"/>
    <n v="0"/>
    <n v="0"/>
    <n v="17470.47"/>
    <n v="0"/>
    <n v="0"/>
    <n v="0"/>
    <n v="0"/>
    <n v="56541.09"/>
    <n v="74011.56"/>
    <n v="1.4923905463853015E-4"/>
    <n v="0.9662658483655362"/>
    <b v="0"/>
  </r>
  <r>
    <n v="789"/>
    <m/>
    <x v="18"/>
    <m/>
    <s v="HOWARD L RITTER &amp; SON"/>
    <n v="0"/>
    <n v="2940.4"/>
    <n v="18488.599999999999"/>
    <n v="2190"/>
    <n v="488.1"/>
    <n v="27661.52"/>
    <n v="11985.37"/>
    <n v="10119.4"/>
    <n v="73873.39"/>
    <n v="1.4896044464599107E-4"/>
    <n v="0.96641480881018216"/>
    <b v="0"/>
  </r>
  <r>
    <n v="709"/>
    <m/>
    <x v="18"/>
    <m/>
    <s v="BOMAR SOFTPLAYGROUNDS"/>
    <n v="0"/>
    <n v="38980"/>
    <n v="0"/>
    <n v="0"/>
    <n v="0"/>
    <n v="15485"/>
    <n v="18517.89"/>
    <n v="0"/>
    <n v="72982.89"/>
    <n v="1.4716481463690045E-4"/>
    <n v="0.9665619736248191"/>
    <b v="0"/>
  </r>
  <r>
    <n v="1248"/>
    <m/>
    <x v="18"/>
    <m/>
    <s v="RECREATION RESOURCE USA LLC"/>
    <n v="0"/>
    <n v="0"/>
    <n v="0"/>
    <n v="3133"/>
    <n v="0"/>
    <n v="69532"/>
    <n v="0"/>
    <n v="0"/>
    <n v="72665"/>
    <n v="1.4652381202759129E-4"/>
    <n v="0.96670849743684673"/>
    <b v="0"/>
  </r>
  <r>
    <n v="1657"/>
    <m/>
    <x v="18"/>
    <m/>
    <s v="PLAYCORE WISCONSIN INC"/>
    <n v="0"/>
    <n v="0"/>
    <n v="0"/>
    <n v="0"/>
    <n v="0"/>
    <n v="46351.99"/>
    <n v="25880.93"/>
    <n v="0"/>
    <n v="72232.92"/>
    <n v="1.4565255339274807E-4"/>
    <n v="0.96685414999023944"/>
    <b v="0"/>
  </r>
  <r>
    <n v="814"/>
    <m/>
    <x v="18"/>
    <m/>
    <s v="Dryzone Llc"/>
    <n v="0"/>
    <n v="1535"/>
    <n v="33566.620000000003"/>
    <n v="37115.370000000003"/>
    <n v="0"/>
    <n v="0"/>
    <n v="0"/>
    <n v="0"/>
    <n v="72216.990000000005"/>
    <n v="1.4562043167905375E-4"/>
    <n v="0.96699977042191854"/>
    <b v="0"/>
  </r>
  <r>
    <n v="968"/>
    <m/>
    <x v="18"/>
    <m/>
    <s v="TOWN OF DELMAR"/>
    <n v="0"/>
    <n v="0"/>
    <n v="51000"/>
    <n v="0"/>
    <n v="0"/>
    <n v="0"/>
    <n v="20000"/>
    <n v="0"/>
    <n v="71000"/>
    <n v="1.4316645777140275E-4"/>
    <n v="0.96714293687968989"/>
    <b v="0"/>
  </r>
  <r>
    <n v="162"/>
    <m/>
    <x v="18"/>
    <m/>
    <s v="EDWARD POWELL PUMP &amp; WELL DRILLING INC"/>
    <n v="21358"/>
    <n v="8460"/>
    <n v="4000"/>
    <n v="7425.35"/>
    <n v="5964.75"/>
    <n v="4150.7"/>
    <n v="8085"/>
    <n v="11269.45"/>
    <n v="70713.25"/>
    <n v="1.4258824676061473E-4"/>
    <n v="0.9672855251264505"/>
    <b v="0"/>
  </r>
  <r>
    <n v="114"/>
    <m/>
    <x v="18"/>
    <m/>
    <s v="NEWARK KUBOTA INC"/>
    <n v="38477.58"/>
    <n v="30704.44"/>
    <n v="1281.4000000000001"/>
    <n v="0"/>
    <n v="0"/>
    <n v="0"/>
    <n v="0"/>
    <n v="0"/>
    <n v="70463.42"/>
    <n v="1.4208448230786783E-4"/>
    <n v="0.9674276096087584"/>
    <b v="0"/>
  </r>
  <r>
    <n v="1679"/>
    <m/>
    <x v="18"/>
    <m/>
    <s v="MTM TECHNOLOGIES INC"/>
    <n v="0"/>
    <n v="0"/>
    <n v="0"/>
    <n v="0"/>
    <n v="0"/>
    <n v="16198"/>
    <n v="0"/>
    <n v="54253.72"/>
    <n v="70451.72"/>
    <n v="1.420608900887703E-4"/>
    <n v="0.96756967049884712"/>
    <b v="0"/>
  </r>
  <r>
    <n v="585"/>
    <m/>
    <x v="18"/>
    <m/>
    <s v="ELVIN SCHROCK &amp; SONS INC"/>
    <n v="415"/>
    <n v="245"/>
    <n v="41949.35"/>
    <n v="9987.0499999999993"/>
    <n v="5118.3500000000004"/>
    <n v="5979.55"/>
    <n v="2698.65"/>
    <n v="2985"/>
    <n v="69377.95"/>
    <n v="1.39895709140021E-4"/>
    <n v="0.96770956620798709"/>
    <b v="0"/>
  </r>
  <r>
    <n v="774"/>
    <m/>
    <x v="18"/>
    <m/>
    <s v="VULCAN MATERIALS COMPANY"/>
    <n v="0"/>
    <n v="4213.78"/>
    <n v="29300.94"/>
    <n v="20545.47"/>
    <n v="15084.2"/>
    <n v="0"/>
    <n v="0"/>
    <n v="0"/>
    <n v="69144.39"/>
    <n v="1.3942475198682258E-4"/>
    <n v="0.9678489909599739"/>
    <b v="0"/>
  </r>
  <r>
    <n v="276"/>
    <m/>
    <x v="18"/>
    <m/>
    <s v="Local 1443"/>
    <n v="6385.79"/>
    <n v="7287.51"/>
    <n v="8264.81"/>
    <n v="8252.4599999999991"/>
    <n v="7795.67"/>
    <n v="8231.1299999999992"/>
    <n v="9401.0499999999993"/>
    <n v="13279.06"/>
    <n v="68897.48"/>
    <n v="1.3892687550670516E-4"/>
    <n v="0.96798791783548055"/>
    <b v="0"/>
  </r>
  <r>
    <n v="167"/>
    <m/>
    <x v="18"/>
    <m/>
    <s v="INSURANCE COVERAGE OFFICE OF M&amp;B"/>
    <n v="19892"/>
    <n v="16678"/>
    <n v="132"/>
    <n v="13879"/>
    <n v="12959"/>
    <n v="264"/>
    <n v="1716"/>
    <n v="2835"/>
    <n v="68355"/>
    <n v="1.3783300311217232E-4"/>
    <n v="0.96812575083859276"/>
    <b v="0"/>
  </r>
  <r>
    <n v="195"/>
    <m/>
    <x v="18"/>
    <m/>
    <s v="UNIVERSITY OF DELAWARE"/>
    <n v="14846.37"/>
    <n v="0"/>
    <n v="0"/>
    <n v="17000"/>
    <n v="0"/>
    <n v="2580"/>
    <n v="1045"/>
    <n v="32537.96"/>
    <n v="68009.33"/>
    <n v="1.3713598410572387E-4"/>
    <n v="0.96826288682269845"/>
    <b v="0"/>
  </r>
  <r>
    <n v="701"/>
    <m/>
    <x v="18"/>
    <m/>
    <s v="AMERICAN ARBITRATION ASSOCIATION"/>
    <n v="0"/>
    <n v="67790"/>
    <n v="0"/>
    <n v="0"/>
    <n v="0"/>
    <n v="0"/>
    <n v="0"/>
    <n v="0"/>
    <n v="67790"/>
    <n v="1.3669372073694919E-4"/>
    <n v="0.96839958054343545"/>
    <b v="0"/>
  </r>
  <r>
    <n v="1201"/>
    <m/>
    <x v="18"/>
    <m/>
    <s v="THE BORSELLO COMPANIES INC"/>
    <n v="0"/>
    <n v="0"/>
    <n v="0"/>
    <n v="67466.179999999993"/>
    <n v="0"/>
    <n v="0"/>
    <n v="0"/>
    <n v="0"/>
    <n v="67466.179999999993"/>
    <n v="1.3604076070377263E-4"/>
    <n v="0.96853562130413917"/>
    <b v="0"/>
  </r>
  <r>
    <n v="81"/>
    <m/>
    <x v="18"/>
    <m/>
    <s v="11400 LLC"/>
    <n v="67400"/>
    <n v="0"/>
    <n v="0"/>
    <n v="0"/>
    <n v="0"/>
    <n v="0"/>
    <n v="0"/>
    <n v="0"/>
    <n v="67400"/>
    <n v="1.3590731343369783E-4"/>
    <n v="0.96867152861757289"/>
    <b v="0"/>
  </r>
  <r>
    <n v="1685"/>
    <m/>
    <x v="18"/>
    <m/>
    <s v="BOULDEN INC"/>
    <n v="0"/>
    <n v="0"/>
    <n v="0"/>
    <n v="0"/>
    <n v="0"/>
    <n v="12029.63"/>
    <n v="22290.13"/>
    <n v="33041.58"/>
    <n v="67361.34"/>
    <n v="1.3582935828922681E-4"/>
    <n v="0.96880735797586215"/>
    <b v="0"/>
  </r>
  <r>
    <n v="1222"/>
    <m/>
    <x v="18"/>
    <m/>
    <s v="PREMIUM POWER SERVICES LLC"/>
    <n v="0"/>
    <n v="0"/>
    <n v="0"/>
    <n v="8783"/>
    <n v="44126.5"/>
    <n v="0"/>
    <n v="11771.77"/>
    <n v="2618.0500000000002"/>
    <n v="67299.320000000007"/>
    <n v="1.3570429936372004E-4"/>
    <n v="0.96894306227522586"/>
    <b v="0"/>
  </r>
  <r>
    <n v="1410"/>
    <m/>
    <x v="18"/>
    <m/>
    <s v="TYSON F SARTIN INC"/>
    <n v="0"/>
    <n v="0"/>
    <n v="0"/>
    <n v="0"/>
    <n v="39855"/>
    <n v="1050"/>
    <n v="25050"/>
    <n v="0"/>
    <n v="65955"/>
    <n v="1.3299357355370237E-4"/>
    <n v="0.96907605584877954"/>
    <b v="0"/>
  </r>
  <r>
    <n v="319"/>
    <m/>
    <x v="18"/>
    <m/>
    <s v="PHILLIPS SIGNS INC"/>
    <n v="4122"/>
    <n v="11135"/>
    <n v="5636"/>
    <n v="9657"/>
    <n v="6838"/>
    <n v="0"/>
    <n v="26657"/>
    <n v="0"/>
    <n v="64045"/>
    <n v="1.2914219419675338E-4"/>
    <n v="0.96920519804297633"/>
    <b v="0"/>
  </r>
  <r>
    <n v="284"/>
    <m/>
    <x v="18"/>
    <m/>
    <s v="TAYLOR CORP DBA TAYLOR PRINT IMPRESSIONS"/>
    <n v="5900.81"/>
    <n v="27689"/>
    <n v="0"/>
    <n v="30174.06"/>
    <n v="0"/>
    <n v="0"/>
    <n v="0"/>
    <n v="0"/>
    <n v="63763.869999999995"/>
    <n v="1.285753155168481E-4"/>
    <n v="0.96933377335849313"/>
    <b v="0"/>
  </r>
  <r>
    <n v="1705"/>
    <m/>
    <x v="18"/>
    <m/>
    <s v="WEATHERPROOFING TECH INC"/>
    <n v="0"/>
    <n v="0"/>
    <n v="0"/>
    <n v="0"/>
    <n v="0"/>
    <n v="5400"/>
    <n v="2362.5"/>
    <n v="55660.58"/>
    <n v="63423.08"/>
    <n v="1.278881366838352E-4"/>
    <n v="0.96946166149517699"/>
    <b v="0"/>
  </r>
  <r>
    <n v="544"/>
    <m/>
    <x v="18"/>
    <m/>
    <s v="DELAWARE SOLID WASTE AUTHORITY"/>
    <n v="558.95000000000005"/>
    <n v="4452.5"/>
    <n v="37606.15"/>
    <n v="10281.1"/>
    <n v="3539.75"/>
    <n v="1465"/>
    <n v="1676.95"/>
    <n v="1801.7"/>
    <n v="61382.099999999991"/>
    <n v="1.2377264545873268E-4"/>
    <n v="0.96958543414063569"/>
    <b v="0"/>
  </r>
  <r>
    <n v="999"/>
    <m/>
    <x v="18"/>
    <m/>
    <s v="RODENTPRO.COM LLC"/>
    <n v="0"/>
    <n v="0"/>
    <n v="13719.44"/>
    <n v="13697.16"/>
    <n v="9866.73"/>
    <n v="8315.4500000000007"/>
    <n v="7830.6"/>
    <n v="7908.56"/>
    <n v="61337.939999999995"/>
    <n v="1.2368359995485685E-4"/>
    <n v="0.96970911774059054"/>
    <b v="0"/>
  </r>
  <r>
    <n v="1971"/>
    <m/>
    <x v="18"/>
    <m/>
    <s v="ROHRER ENTERPRISES INC"/>
    <n v="0"/>
    <n v="0"/>
    <n v="0"/>
    <n v="0"/>
    <n v="0"/>
    <n v="0"/>
    <n v="61012"/>
    <n v="0"/>
    <n v="61012"/>
    <n v="1.2302636509223697E-4"/>
    <n v="0.96983214410568275"/>
    <b v="0"/>
  </r>
  <r>
    <n v="1973"/>
    <m/>
    <x v="18"/>
    <m/>
    <s v="THORN ELECTRIC"/>
    <n v="0"/>
    <n v="0"/>
    <n v="0"/>
    <n v="0"/>
    <n v="0"/>
    <n v="0"/>
    <n v="41438.6"/>
    <n v="18986.060000000001"/>
    <n v="60424.66"/>
    <n v="1.2184203569354043E-4"/>
    <n v="0.96995398614137629"/>
    <b v="0"/>
  </r>
  <r>
    <n v="157"/>
    <m/>
    <x v="18"/>
    <m/>
    <s v="BECKER MORGAN GROUP INC"/>
    <n v="22340.46"/>
    <n v="16650"/>
    <n v="12500"/>
    <n v="0"/>
    <n v="0"/>
    <n v="0"/>
    <n v="0"/>
    <n v="8845.9"/>
    <n v="60336.36"/>
    <n v="1.2166398501436837E-4"/>
    <n v="0.97007565012639063"/>
    <b v="0"/>
  </r>
  <r>
    <n v="243"/>
    <m/>
    <x v="18"/>
    <m/>
    <s v="GREDELL &amp; ASSOCIATES"/>
    <n v="8300"/>
    <n v="8740"/>
    <n v="0"/>
    <n v="6300"/>
    <n v="16000"/>
    <n v="12190"/>
    <n v="1020"/>
    <n v="7700"/>
    <n v="60250"/>
    <n v="1.2148984620742277E-4"/>
    <n v="0.97019713997259804"/>
    <b v="0"/>
  </r>
  <r>
    <n v="87"/>
    <m/>
    <x v="18"/>
    <m/>
    <s v="TOWN OF LITTLE CREEK"/>
    <n v="60044.43"/>
    <n v="0"/>
    <n v="0"/>
    <n v="0"/>
    <n v="0"/>
    <n v="0"/>
    <n v="0"/>
    <n v="0"/>
    <n v="60044.43"/>
    <n v="1.2107532890144998E-4"/>
    <n v="0.97031821530149953"/>
    <b v="0"/>
  </r>
  <r>
    <n v="2246"/>
    <m/>
    <x v="18"/>
    <m/>
    <s v="DELDOT PLANNING"/>
    <n v="0"/>
    <n v="0"/>
    <n v="0"/>
    <n v="0"/>
    <n v="0"/>
    <n v="0"/>
    <n v="0"/>
    <n v="60000"/>
    <n v="60000"/>
    <n v="1.2098573896174881E-4"/>
    <n v="0.97043920104046133"/>
    <b v="0"/>
  </r>
  <r>
    <n v="717"/>
    <m/>
    <x v="18"/>
    <m/>
    <s v="STRIPE A LOT INC"/>
    <n v="0"/>
    <n v="25475"/>
    <n v="24655"/>
    <n v="9375"/>
    <n v="0"/>
    <n v="0"/>
    <n v="0"/>
    <n v="0"/>
    <n v="59505"/>
    <n v="1.1998760661531438E-4"/>
    <n v="0.97055918864707669"/>
    <b v="0"/>
  </r>
  <r>
    <n v="563"/>
    <m/>
    <x v="18"/>
    <m/>
    <s v="AXON ENTERPRISE"/>
    <n v="481.6"/>
    <n v="3579.5"/>
    <n v="0"/>
    <n v="0"/>
    <n v="0"/>
    <n v="8136"/>
    <n v="47071"/>
    <n v="0"/>
    <n v="59268.1"/>
    <n v="1.1950991458931374E-4"/>
    <n v="0.970678698561666"/>
    <b v="0"/>
  </r>
  <r>
    <n v="261"/>
    <m/>
    <x v="18"/>
    <m/>
    <s v="SECURITY INSTRUMENT CORP OF DEL"/>
    <n v="7366.64"/>
    <n v="7610.68"/>
    <n v="19818.3"/>
    <n v="8337.48"/>
    <n v="4894.8999999999996"/>
    <n v="3323.4"/>
    <n v="3641.25"/>
    <n v="4251.16"/>
    <n v="59243.81"/>
    <n v="1.1946093552932405E-4"/>
    <n v="0.97079815949719528"/>
    <b v="0"/>
  </r>
  <r>
    <n v="207"/>
    <m/>
    <x v="18"/>
    <m/>
    <s v="SEASHORE FRUIT &amp; PRODUCE INC"/>
    <n v="13222.1"/>
    <n v="16735.8"/>
    <n v="14225.6"/>
    <n v="11821.51"/>
    <n v="3091.25"/>
    <n v="0"/>
    <n v="0"/>
    <n v="0"/>
    <n v="59096.26"/>
    <n v="1.191634114329273E-4"/>
    <n v="0.9709173229086282"/>
    <b v="0"/>
  </r>
  <r>
    <n v="415"/>
    <m/>
    <x v="18"/>
    <m/>
    <s v="THE BRIDGE OF HOPE INC"/>
    <n v="1654.02"/>
    <n v="7482.26"/>
    <n v="9436.2000000000007"/>
    <n v="9263.17"/>
    <n v="8962.09"/>
    <n v="10195.1"/>
    <n v="6939.02"/>
    <n v="5056"/>
    <n v="58987.86"/>
    <n v="1.1894483053120307E-4"/>
    <n v="0.97103626773915941"/>
    <b v="0"/>
  </r>
  <r>
    <n v="1407"/>
    <m/>
    <x v="18"/>
    <m/>
    <s v="FINCH SERVICES INC"/>
    <n v="0"/>
    <n v="0"/>
    <n v="0"/>
    <n v="0"/>
    <n v="58939.6"/>
    <n v="0"/>
    <n v="0"/>
    <n v="0"/>
    <n v="58939.6"/>
    <n v="1.1884751766849816E-4"/>
    <n v="0.97115511525682796"/>
    <b v="0"/>
  </r>
  <r>
    <n v="1251"/>
    <m/>
    <x v="18"/>
    <m/>
    <s v="ASTEC INC"/>
    <n v="0"/>
    <n v="0"/>
    <n v="0"/>
    <n v="2797.5"/>
    <n v="2327.5"/>
    <n v="5783"/>
    <n v="1110"/>
    <n v="46605"/>
    <n v="58623"/>
    <n v="1.1820911625257668E-4"/>
    <n v="0.97127332437308056"/>
    <b v="0"/>
  </r>
  <r>
    <n v="90"/>
    <m/>
    <x v="18"/>
    <m/>
    <s v="ROCKPORT ANALYTICS LLC"/>
    <n v="57250"/>
    <n v="0"/>
    <n v="0"/>
    <n v="0"/>
    <n v="0"/>
    <n v="0"/>
    <n v="0"/>
    <n v="0"/>
    <n v="57250"/>
    <n v="1.1544055925933533E-4"/>
    <n v="0.97138876493233994"/>
    <b v="0"/>
  </r>
  <r>
    <n v="482"/>
    <m/>
    <x v="18"/>
    <m/>
    <s v="DIAMOND MOTOR SPORTS INC"/>
    <n v="939.2"/>
    <n v="0"/>
    <n v="8875.7900000000009"/>
    <n v="9428.5"/>
    <n v="9581.18"/>
    <n v="8289.7099999999991"/>
    <n v="6598"/>
    <n v="13399"/>
    <n v="57111.380000000005"/>
    <n v="1.1516104187375403E-4"/>
    <n v="0.97150392597421364"/>
    <b v="0"/>
  </r>
  <r>
    <n v="158"/>
    <m/>
    <x v="18"/>
    <m/>
    <s v="EASTERN LIFT TRUCK CO INC"/>
    <n v="22253.83"/>
    <n v="261.8"/>
    <n v="32582.04"/>
    <n v="700.02"/>
    <n v="352.8"/>
    <n v="0"/>
    <n v="0"/>
    <n v="0"/>
    <n v="56150.49"/>
    <n v="1.1322347542857144E-4"/>
    <n v="0.97161714944964217"/>
    <b v="0"/>
  </r>
  <r>
    <n v="227"/>
    <m/>
    <x v="18"/>
    <m/>
    <s v="PIONEER MANUFACTURING CO"/>
    <n v="9525.85"/>
    <n v="3783.25"/>
    <n v="8821.44"/>
    <n v="5307.35"/>
    <n v="4502.75"/>
    <n v="4234.41"/>
    <n v="6444.9"/>
    <n v="13216.35"/>
    <n v="55836.3"/>
    <n v="1.1258993360649825E-4"/>
    <n v="0.97172973938324869"/>
    <b v="0"/>
  </r>
  <r>
    <n v="641"/>
    <m/>
    <x v="18"/>
    <m/>
    <s v="OMB BUDGET ADMINISTRATION"/>
    <n v="166.83"/>
    <n v="0"/>
    <n v="4358.25"/>
    <n v="48817.3"/>
    <n v="0"/>
    <n v="0"/>
    <n v="2040.53"/>
    <n v="0"/>
    <n v="55382.91"/>
    <n v="1.116757048700338E-4"/>
    <n v="0.97184141508811872"/>
    <b v="0"/>
  </r>
  <r>
    <n v="218"/>
    <m/>
    <x v="18"/>
    <m/>
    <s v="PHOTOSHELTER INC"/>
    <n v="11558"/>
    <n v="10390"/>
    <n v="11290"/>
    <n v="10750"/>
    <n v="10750"/>
    <n v="0"/>
    <n v="0"/>
    <n v="0"/>
    <n v="54738"/>
    <n v="1.1037528965480344E-4"/>
    <n v="0.97195179037777357"/>
    <b v="0"/>
  </r>
  <r>
    <n v="132"/>
    <m/>
    <x v="18"/>
    <m/>
    <s v="GENERAL TEAMSTERS LOCAL NO 326"/>
    <n v="28960.15"/>
    <n v="25768.07"/>
    <n v="0"/>
    <n v="0"/>
    <n v="0"/>
    <n v="0"/>
    <n v="0"/>
    <n v="0"/>
    <n v="54728.22"/>
    <n v="1.1035556897935267E-4"/>
    <n v="0.97206214594675289"/>
    <b v="0"/>
  </r>
  <r>
    <n v="1437"/>
    <m/>
    <x v="18"/>
    <m/>
    <s v="BEAR INDUSTRIES INC"/>
    <n v="0"/>
    <n v="0"/>
    <n v="0"/>
    <n v="0"/>
    <n v="6251.25"/>
    <n v="48261.68"/>
    <n v="0"/>
    <n v="0"/>
    <n v="54512.93"/>
    <n v="1.099214519836681E-4"/>
    <n v="0.97217206739873652"/>
    <b v="0"/>
  </r>
  <r>
    <n v="1010"/>
    <m/>
    <x v="18"/>
    <m/>
    <s v="DELAWARE CENTER FOR HORTICULTURE INC"/>
    <n v="0"/>
    <n v="0"/>
    <n v="9818.99"/>
    <n v="9305"/>
    <n v="11717"/>
    <n v="6684.5"/>
    <n v="3674.5"/>
    <n v="12872.5"/>
    <n v="54072.49"/>
    <n v="1.0903333600252955E-4"/>
    <n v="0.97228110073473906"/>
    <b v="0"/>
  </r>
  <r>
    <n v="221"/>
    <m/>
    <x v="18"/>
    <m/>
    <s v="DUKES LUMBER CO INC"/>
    <n v="10306.700000000001"/>
    <n v="5499.08"/>
    <n v="5813.93"/>
    <n v="2447.66"/>
    <n v="9750.77"/>
    <n v="4619.91"/>
    <n v="6425.25"/>
    <n v="9105.7000000000007"/>
    <n v="53969"/>
    <n v="1.0882465576711036E-4"/>
    <n v="0.97238992539050617"/>
    <b v="0"/>
  </r>
  <r>
    <n v="1972"/>
    <m/>
    <x v="18"/>
    <m/>
    <s v="I G BURTON &amp; CO INC"/>
    <n v="0"/>
    <n v="0"/>
    <n v="0"/>
    <n v="0"/>
    <n v="0"/>
    <n v="0"/>
    <n v="53939"/>
    <n v="0"/>
    <n v="53939"/>
    <n v="1.0876416289762949E-4"/>
    <n v="0.97249868955340379"/>
    <b v="0"/>
  </r>
  <r>
    <n v="92"/>
    <m/>
    <x v="18"/>
    <m/>
    <s v="EDIS COMPANY"/>
    <n v="53921"/>
    <n v="0"/>
    <n v="0"/>
    <n v="0"/>
    <n v="0"/>
    <n v="0"/>
    <n v="0"/>
    <n v="0"/>
    <n v="53921"/>
    <n v="1.0872786717594096E-4"/>
    <n v="0.97260741742057977"/>
    <b v="0"/>
  </r>
  <r>
    <n v="1005"/>
    <m/>
    <x v="18"/>
    <m/>
    <s v="MATEFLEX CORP"/>
    <n v="0"/>
    <n v="0"/>
    <n v="11870.4"/>
    <n v="0"/>
    <n v="0"/>
    <n v="42000"/>
    <n v="0"/>
    <n v="0"/>
    <n v="53870.400000000001"/>
    <n v="1.0862583586941655E-4"/>
    <n v="0.97271604325644923"/>
    <b v="0"/>
  </r>
  <r>
    <n v="138"/>
    <m/>
    <x v="18"/>
    <m/>
    <s v="ATTENTO LLC"/>
    <n v="26327.919999999998"/>
    <n v="27505.75"/>
    <n v="0"/>
    <n v="0"/>
    <n v="0"/>
    <n v="0"/>
    <n v="0"/>
    <n v="0"/>
    <n v="53833.67"/>
    <n v="1.0855177243288213E-4"/>
    <n v="0.97282459502888208"/>
    <b v="0"/>
  </r>
  <r>
    <n v="989"/>
    <m/>
    <x v="18"/>
    <m/>
    <s v="NATIONAL CAPITAL INDUSTRIES INC"/>
    <n v="0"/>
    <n v="0"/>
    <n v="17540"/>
    <n v="36072.720000000001"/>
    <n v="0"/>
    <n v="0"/>
    <n v="0"/>
    <n v="0"/>
    <n v="53612.72"/>
    <n v="1.0810624244915549E-4"/>
    <n v="0.97293270127133125"/>
    <b v="0"/>
  </r>
  <r>
    <n v="200"/>
    <m/>
    <x v="18"/>
    <m/>
    <s v="DRONEY MARINE CONSTRUCTION INC"/>
    <n v="14300"/>
    <n v="0"/>
    <n v="3000"/>
    <n v="0"/>
    <n v="17000"/>
    <n v="9500"/>
    <n v="9700"/>
    <n v="0"/>
    <n v="53500"/>
    <n v="1.0787895057422602E-4"/>
    <n v="0.97304058022190543"/>
    <b v="0"/>
  </r>
  <r>
    <n v="267"/>
    <m/>
    <x v="18"/>
    <m/>
    <s v="AMERICA ASSOCIATION OF ZOOLOG PARKS AND"/>
    <n v="6984"/>
    <n v="6783"/>
    <n v="7301.44"/>
    <n v="11395"/>
    <n v="5629"/>
    <n v="5460"/>
    <n v="4951"/>
    <n v="4821"/>
    <n v="53324.44"/>
    <n v="1.0752494630202395E-4"/>
    <n v="0.97314810516820749"/>
    <b v="0"/>
  </r>
  <r>
    <n v="1460"/>
    <m/>
    <x v="18"/>
    <m/>
    <s v="BURKHOLDER BROTHERS INC"/>
    <n v="0"/>
    <n v="0"/>
    <n v="0"/>
    <n v="0"/>
    <n v="2283"/>
    <n v="1570"/>
    <n v="48600"/>
    <n v="350"/>
    <n v="52803"/>
    <n v="1.0647349957328704E-4"/>
    <n v="0.97325457866778076"/>
    <b v="0"/>
  </r>
  <r>
    <n v="298"/>
    <m/>
    <x v="18"/>
    <m/>
    <s v="MCMULLEN SEPTIC SERVICE INC"/>
    <n v="5060"/>
    <n v="16890"/>
    <n v="8230"/>
    <n v="7243"/>
    <n v="2187"/>
    <n v="6610"/>
    <n v="5345"/>
    <n v="1040"/>
    <n v="52605"/>
    <n v="1.0607424663471326E-4"/>
    <n v="0.97336065291441543"/>
    <b v="0"/>
  </r>
  <r>
    <n v="250"/>
    <m/>
    <x v="18"/>
    <m/>
    <s v="ANIMAL SPECIALTIES AND PROVISIONS"/>
    <n v="7842.68"/>
    <n v="9074.14"/>
    <n v="8066.93"/>
    <n v="8753.68"/>
    <n v="7975.14"/>
    <n v="6728.92"/>
    <n v="4156.75"/>
    <n v="0"/>
    <n v="52598.239999999998"/>
    <n v="1.0606061557479024E-4"/>
    <n v="0.97346671352999026"/>
    <b v="0"/>
  </r>
  <r>
    <n v="93"/>
    <m/>
    <x v="18"/>
    <m/>
    <s v="CONNOR MANAGEMENT INC"/>
    <n v="52391.199999999997"/>
    <n v="0"/>
    <n v="0"/>
    <n v="0"/>
    <n v="0"/>
    <n v="0"/>
    <n v="0"/>
    <n v="0"/>
    <n v="52391.199999999997"/>
    <n v="1.0564313411821289E-4"/>
    <n v="0.97357235666410846"/>
    <b v="0"/>
  </r>
  <r>
    <n v="240"/>
    <m/>
    <x v="18"/>
    <m/>
    <s v="LEXIPOL LLC"/>
    <n v="8464.4699999999993"/>
    <n v="8365.9699999999993"/>
    <n v="7509.07"/>
    <n v="5580.75"/>
    <n v="6811.34"/>
    <n v="5237.33"/>
    <n v="5237.33"/>
    <n v="4991"/>
    <n v="52197.26"/>
    <n v="1.0525206788130888E-4"/>
    <n v="0.97367760873198972"/>
    <b v="0"/>
  </r>
  <r>
    <n v="542"/>
    <m/>
    <x v="18"/>
    <m/>
    <s v="ATLANTIC TRACTOR LLC"/>
    <n v="576.79"/>
    <n v="690.91"/>
    <n v="2002.36"/>
    <n v="14668.99"/>
    <n v="7004"/>
    <n v="7239.02"/>
    <n v="10512.43"/>
    <n v="9495.57"/>
    <n v="52190.07"/>
    <n v="1.0523756975692329E-4"/>
    <n v="0.97378284630174661"/>
    <b v="0"/>
  </r>
  <r>
    <n v="436"/>
    <m/>
    <x v="18"/>
    <m/>
    <s v="TODAY MEDIA INC"/>
    <n v="1375"/>
    <n v="0"/>
    <n v="4435"/>
    <n v="2035"/>
    <n v="1190"/>
    <n v="9640"/>
    <n v="14445"/>
    <n v="18788"/>
    <n v="51908"/>
    <n v="1.0466879563377429E-4"/>
    <n v="0.97388751509738036"/>
    <b v="0"/>
  </r>
  <r>
    <n v="1683"/>
    <m/>
    <x v="18"/>
    <m/>
    <s v="BIG PINE VENTURES LLC"/>
    <n v="0"/>
    <n v="0"/>
    <n v="0"/>
    <n v="0"/>
    <n v="0"/>
    <n v="14800"/>
    <n v="29600"/>
    <n v="7400"/>
    <n v="51800"/>
    <n v="1.0445102130364314E-4"/>
    <n v="0.97399196611868399"/>
    <b v="0"/>
  </r>
  <r>
    <n v="1227"/>
    <m/>
    <x v="18"/>
    <m/>
    <s v="SUSSEX CONSERVATION DISTRICT"/>
    <n v="0"/>
    <n v="0"/>
    <n v="0"/>
    <n v="6420.8"/>
    <n v="0"/>
    <n v="34083.43"/>
    <n v="10994.5"/>
    <n v="0"/>
    <n v="51498.73"/>
    <n v="1.0384353174402638E-4"/>
    <n v="0.97409580965042797"/>
    <b v="0"/>
  </r>
  <r>
    <n v="312"/>
    <m/>
    <x v="18"/>
    <m/>
    <s v="PANNIER"/>
    <n v="4480"/>
    <n v="0"/>
    <n v="6555.74"/>
    <n v="12961"/>
    <n v="5768"/>
    <n v="4018"/>
    <n v="8786.09"/>
    <n v="8801"/>
    <n v="51369.83"/>
    <n v="1.0358361404815689E-4"/>
    <n v="0.97419939326447613"/>
    <b v="0"/>
  </r>
  <r>
    <n v="124"/>
    <m/>
    <x v="18"/>
    <m/>
    <s v="J&amp;M FENCING INC"/>
    <n v="34250"/>
    <n v="0"/>
    <n v="0"/>
    <n v="0"/>
    <n v="0"/>
    <n v="0"/>
    <n v="8307"/>
    <n v="8143"/>
    <n v="50700"/>
    <n v="1.0223294942267774E-4"/>
    <n v="0.97430162621389882"/>
    <b v="0"/>
  </r>
  <r>
    <n v="1501"/>
    <m/>
    <x v="18"/>
    <m/>
    <s v="Relation Insurance Services - Specialty"/>
    <n v="0"/>
    <n v="0"/>
    <n v="0"/>
    <n v="0"/>
    <n v="697.2"/>
    <n v="25880.91"/>
    <n v="23647.05"/>
    <n v="0"/>
    <n v="50225.16"/>
    <n v="1.0127546828453448E-4"/>
    <n v="0.97440290168218335"/>
    <b v="0"/>
  </r>
  <r>
    <n v="128"/>
    <m/>
    <x v="18"/>
    <m/>
    <s v="BAYSHORE FORD TRUCK SALES"/>
    <n v="30696.98"/>
    <n v="12976.51"/>
    <n v="224.47"/>
    <n v="0"/>
    <n v="0"/>
    <n v="4341.25"/>
    <n v="1703.23"/>
    <n v="0"/>
    <n v="49942.44"/>
    <n v="1.0070538348254671E-4"/>
    <n v="0.97450360706566586"/>
    <b v="0"/>
  </r>
  <r>
    <n v="266"/>
    <m/>
    <x v="18"/>
    <m/>
    <s v="K &amp; M INTERNATIONAL"/>
    <n v="6997.86"/>
    <n v="2551.37"/>
    <n v="3443.09"/>
    <n v="6007.57"/>
    <n v="5602.45"/>
    <n v="6115.94"/>
    <n v="10357.39"/>
    <n v="7968.7"/>
    <n v="49044.369999999995"/>
    <n v="9.8894489106057066E-5"/>
    <n v="0.97460250155477191"/>
    <b v="0"/>
  </r>
  <r>
    <n v="2247"/>
    <m/>
    <x v="18"/>
    <m/>
    <s v="LAWRENCE C BATH ON BUILDERS INC"/>
    <n v="0"/>
    <n v="0"/>
    <n v="0"/>
    <n v="0"/>
    <n v="0"/>
    <n v="0"/>
    <n v="0"/>
    <n v="49018.1"/>
    <n v="49018.1"/>
    <n v="9.8841517516681647E-5"/>
    <n v="0.97470134307228862"/>
    <b v="0"/>
  </r>
  <r>
    <n v="136"/>
    <m/>
    <x v="18"/>
    <m/>
    <s v="VEOLIA WATER DELAWARE INC FKA SUEZ WATER"/>
    <n v="27080.41"/>
    <n v="14734.64"/>
    <n v="6932.76"/>
    <n v="0"/>
    <n v="0"/>
    <n v="0"/>
    <n v="0"/>
    <n v="0"/>
    <n v="48747.810000000005"/>
    <n v="9.8296496926948817E-5"/>
    <n v="0.97479963956921556"/>
    <b v="0"/>
  </r>
  <r>
    <n v="1675"/>
    <m/>
    <x v="18"/>
    <m/>
    <s v="DESIGN MINDS INC"/>
    <n v="0"/>
    <n v="0"/>
    <n v="0"/>
    <n v="0"/>
    <n v="0"/>
    <n v="20500"/>
    <n v="28000"/>
    <n v="0"/>
    <n v="48500"/>
    <n v="9.7796805660746948E-5"/>
    <n v="0.97489743637487636"/>
    <b v="0"/>
  </r>
  <r>
    <n v="1027"/>
    <m/>
    <x v="18"/>
    <m/>
    <s v="HARRY L BLADES JR LLC"/>
    <n v="0"/>
    <n v="0"/>
    <n v="6500"/>
    <n v="27776"/>
    <n v="2200"/>
    <n v="886"/>
    <n v="9600"/>
    <n v="1250"/>
    <n v="48212"/>
    <n v="9.721607411373056E-5"/>
    <n v="0.97499465244899008"/>
    <b v="0"/>
  </r>
  <r>
    <n v="780"/>
    <m/>
    <x v="18"/>
    <m/>
    <s v="FISHERS ENVIRONMENTAL LLC"/>
    <n v="0"/>
    <n v="3798"/>
    <n v="0"/>
    <n v="0"/>
    <n v="0"/>
    <n v="0"/>
    <n v="0"/>
    <n v="44168"/>
    <n v="47966"/>
    <n v="9.6720032583987384E-5"/>
    <n v="0.97509137248157407"/>
    <b v="0"/>
  </r>
  <r>
    <n v="345"/>
    <m/>
    <x v="18"/>
    <m/>
    <s v="DELCOLLO SECURITY TECH"/>
    <n v="3308"/>
    <n v="5905.5"/>
    <n v="3216.75"/>
    <n v="15613.5"/>
    <n v="3535.5"/>
    <n v="6792.25"/>
    <n v="5505.75"/>
    <n v="4050"/>
    <n v="47927.25"/>
    <n v="9.6641895960907921E-5"/>
    <n v="0.975188014377535"/>
    <b v="0"/>
  </r>
  <r>
    <n v="1202"/>
    <m/>
    <x v="18"/>
    <m/>
    <s v="TOWN OF FREDERICA"/>
    <n v="0"/>
    <n v="0"/>
    <n v="0"/>
    <n v="47876.88"/>
    <n v="0"/>
    <n v="0"/>
    <n v="0"/>
    <n v="0"/>
    <n v="47876.88"/>
    <n v="9.6540328433049536E-5"/>
    <n v="0.97528455470596809"/>
    <b v="0"/>
  </r>
  <r>
    <n v="409"/>
    <m/>
    <x v="18"/>
    <m/>
    <s v="DELAWARE ELEVATOR SERVICES INC"/>
    <n v="1752"/>
    <n v="5668"/>
    <n v="5464"/>
    <n v="7495.25"/>
    <n v="10328.75"/>
    <n v="6705"/>
    <n v="6206"/>
    <n v="4166"/>
    <n v="47785"/>
    <n v="9.6355058938119449E-5"/>
    <n v="0.97538090976490621"/>
    <b v="0"/>
  </r>
  <r>
    <n v="304"/>
    <m/>
    <x v="18"/>
    <m/>
    <s v="DAVIS BOWEN &amp; FRIEDEL INC"/>
    <n v="4950"/>
    <n v="0"/>
    <n v="0"/>
    <n v="0"/>
    <n v="9225"/>
    <n v="0"/>
    <n v="15173.5"/>
    <n v="18174.82"/>
    <n v="47523.32"/>
    <n v="9.582739980192761E-5"/>
    <n v="0.97547673716470817"/>
    <b v="0"/>
  </r>
  <r>
    <n v="1246"/>
    <m/>
    <x v="18"/>
    <m/>
    <s v="BMC EAST LLC"/>
    <n v="0"/>
    <n v="0"/>
    <n v="0"/>
    <n v="3924.69"/>
    <n v="28545.87"/>
    <n v="5930.71"/>
    <n v="8703.48"/>
    <n v="0"/>
    <n v="47104.75"/>
    <n v="9.4983383122640623E-5"/>
    <n v="0.97557172054783081"/>
    <b v="0"/>
  </r>
  <r>
    <n v="1256"/>
    <m/>
    <x v="18"/>
    <m/>
    <s v="BAKER INGRAM &amp; ASSOC"/>
    <n v="0"/>
    <n v="0"/>
    <n v="0"/>
    <n v="2015"/>
    <n v="15513.75"/>
    <n v="18871.25"/>
    <n v="7886.25"/>
    <n v="2017.5"/>
    <n v="46303.75"/>
    <n v="9.3368223507501276E-5"/>
    <n v="0.97566508877133828"/>
    <b v="0"/>
  </r>
  <r>
    <n v="265"/>
    <m/>
    <x v="18"/>
    <m/>
    <s v="DOVER CONSULTING SVC INC"/>
    <n v="7000"/>
    <n v="0"/>
    <n v="5000"/>
    <n v="1850"/>
    <n v="3450"/>
    <n v="13595"/>
    <n v="10050"/>
    <n v="5300"/>
    <n v="46245"/>
    <n v="9.3249758304767897E-5"/>
    <n v="0.975758338529643"/>
    <b v="0"/>
  </r>
  <r>
    <n v="996"/>
    <m/>
    <x v="18"/>
    <m/>
    <s v="COMMONWEALTH HERITAGE GROUP INC"/>
    <n v="0"/>
    <n v="0"/>
    <n v="15609.7"/>
    <n v="0"/>
    <n v="30599.94"/>
    <n v="0"/>
    <n v="0"/>
    <n v="0"/>
    <n v="46209.64"/>
    <n v="9.3178457375939769E-5"/>
    <n v="0.97585151698701889"/>
    <b v="0"/>
  </r>
  <r>
    <n v="1487"/>
    <m/>
    <x v="18"/>
    <m/>
    <s v="WILLIAM M DUNLEAVY &amp; CO INC"/>
    <n v="0"/>
    <n v="0"/>
    <n v="0"/>
    <n v="0"/>
    <n v="995"/>
    <n v="0"/>
    <n v="0"/>
    <n v="45162"/>
    <n v="46157"/>
    <n v="9.3072312554290669E-5"/>
    <n v="0.97594458929957317"/>
    <b v="0"/>
  </r>
  <r>
    <n v="294"/>
    <m/>
    <x v="18"/>
    <m/>
    <s v="PROPET DISTRIBUTORS INC"/>
    <n v="5338.98"/>
    <n v="5860.4"/>
    <n v="7804.6"/>
    <n v="5481.6"/>
    <n v="5880.05"/>
    <n v="3664"/>
    <n v="5106"/>
    <n v="6692.35"/>
    <n v="45827.98"/>
    <n v="9.2408867090404089E-5"/>
    <n v="0.97603699816666356"/>
    <b v="0"/>
  </r>
  <r>
    <n v="707"/>
    <m/>
    <x v="18"/>
    <m/>
    <s v="DSP STATE POLICE TRANSPORTATION"/>
    <n v="0"/>
    <n v="45821.51"/>
    <n v="0"/>
    <n v="0"/>
    <n v="0"/>
    <n v="0"/>
    <n v="0"/>
    <n v="0"/>
    <n v="45821.51"/>
    <n v="9.239582079488605E-5"/>
    <n v="0.97612939398745846"/>
    <b v="0"/>
  </r>
  <r>
    <n v="233"/>
    <m/>
    <x v="18"/>
    <m/>
    <s v="BUILDERS FIRSTSOURCE INC"/>
    <n v="8961.14"/>
    <n v="15836.06"/>
    <n v="5649.24"/>
    <n v="15122.84"/>
    <n v="0"/>
    <n v="0"/>
    <n v="0"/>
    <n v="0"/>
    <n v="45569.279999999999"/>
    <n v="9.188721691258068E-5"/>
    <n v="0.97622128120437102"/>
    <b v="0"/>
  </r>
  <r>
    <n v="182"/>
    <m/>
    <x v="18"/>
    <m/>
    <s v="DELWOOD TRAILER SALES INC"/>
    <n v="17425"/>
    <n v="6654"/>
    <n v="11799"/>
    <n v="9466.5"/>
    <n v="0"/>
    <n v="0"/>
    <n v="0"/>
    <n v="0"/>
    <n v="45344.5"/>
    <n v="9.1433964005850315E-5"/>
    <n v="0.97631271516837692"/>
    <b v="0"/>
  </r>
  <r>
    <n v="730"/>
    <m/>
    <x v="18"/>
    <m/>
    <s v="CONCESSIONS HOSPITALITY MANAGEMENT GS"/>
    <n v="0"/>
    <n v="15000"/>
    <n v="30000"/>
    <n v="0"/>
    <n v="0"/>
    <n v="0"/>
    <n v="0"/>
    <n v="0"/>
    <n v="45000"/>
    <n v="9.0739304221311608E-5"/>
    <n v="0.97640345447259824"/>
    <b v="0"/>
  </r>
  <r>
    <n v="295"/>
    <m/>
    <x v="18"/>
    <m/>
    <s v="GARDEN SPOT GIFTS"/>
    <n v="5316.31"/>
    <n v="15365.1"/>
    <n v="8902.2999999999993"/>
    <n v="2262.98"/>
    <n v="0"/>
    <n v="109.92"/>
    <n v="2720.28"/>
    <n v="10254.92"/>
    <n v="44931.81"/>
    <n v="9.0601803928981581E-5"/>
    <n v="0.97649405627652719"/>
    <b v="0"/>
  </r>
  <r>
    <n v="231"/>
    <m/>
    <x v="18"/>
    <m/>
    <s v="HAGUE QUALITY WATER OF MD INC"/>
    <n v="9058.82"/>
    <n v="405"/>
    <n v="3497.5"/>
    <n v="1043.05"/>
    <n v="13507.21"/>
    <n v="15995"/>
    <n v="333.45"/>
    <n v="519.44000000000005"/>
    <n v="44359.47"/>
    <n v="8.9447720965025459E-5"/>
    <n v="0.97658350399749216"/>
    <b v="0"/>
  </r>
  <r>
    <n v="1678"/>
    <m/>
    <x v="18"/>
    <m/>
    <s v="DOVER DOWNS INC"/>
    <n v="0"/>
    <n v="0"/>
    <n v="0"/>
    <n v="0"/>
    <n v="0"/>
    <n v="16846.8"/>
    <n v="15146.4"/>
    <n v="12224.4"/>
    <n v="44217.599999999999"/>
    <n v="8.9161650185250402E-5"/>
    <n v="0.97667266564767741"/>
    <b v="0"/>
  </r>
  <r>
    <n v="882"/>
    <m/>
    <x v="18"/>
    <m/>
    <s v="HICKMAN OVERHEAD DOOR CO"/>
    <n v="0"/>
    <n v="450"/>
    <n v="25830"/>
    <n v="150"/>
    <n v="12225"/>
    <n v="115"/>
    <n v="0"/>
    <n v="5375"/>
    <n v="44145"/>
    <n v="8.9015257441106682E-5"/>
    <n v="0.9767616809051185"/>
    <b v="0"/>
  </r>
  <r>
    <n v="230"/>
    <m/>
    <x v="18"/>
    <m/>
    <s v="MUNICIPAL EMERGENCY SERVICES"/>
    <n v="9087.7000000000007"/>
    <n v="33700.589999999997"/>
    <n v="516.66"/>
    <n v="670"/>
    <n v="0"/>
    <n v="0"/>
    <n v="0"/>
    <n v="0"/>
    <n v="43974.95"/>
    <n v="8.8672363692599251E-5"/>
    <n v="0.97685035326881109"/>
    <b v="0"/>
  </r>
  <r>
    <n v="1304"/>
    <m/>
    <x v="18"/>
    <m/>
    <s v="A &amp; A AIR SERVICES"/>
    <n v="0"/>
    <n v="0"/>
    <n v="0"/>
    <n v="609"/>
    <n v="6135"/>
    <n v="36935"/>
    <n v="0"/>
    <n v="0"/>
    <n v="43679"/>
    <n v="8.8075601535170443E-5"/>
    <n v="0.97693842887034621"/>
    <b v="0"/>
  </r>
  <r>
    <n v="986"/>
    <m/>
    <x v="18"/>
    <m/>
    <s v="BACKYARD WORKS INC"/>
    <n v="0"/>
    <n v="0"/>
    <n v="18950"/>
    <n v="0"/>
    <n v="0"/>
    <n v="0"/>
    <n v="24300"/>
    <n v="0"/>
    <n v="43250"/>
    <n v="8.7210553501593937E-5"/>
    <n v="0.97702563942384779"/>
    <b v="0"/>
  </r>
  <r>
    <n v="1429"/>
    <m/>
    <x v="18"/>
    <m/>
    <s v="SAMANTHA KING LLC"/>
    <n v="0"/>
    <n v="0"/>
    <n v="0"/>
    <n v="0"/>
    <n v="9210"/>
    <n v="26089.3"/>
    <n v="7590"/>
    <n v="0"/>
    <n v="42889.3"/>
    <n v="8.6483227567535554E-5"/>
    <n v="0.97711212265141534"/>
    <b v="0"/>
  </r>
  <r>
    <n v="761"/>
    <m/>
    <x v="18"/>
    <m/>
    <s v="TOY INVESTMENTS INC"/>
    <n v="0"/>
    <n v="6743.82"/>
    <n v="6301.75"/>
    <n v="10745.23"/>
    <n v="1962"/>
    <n v="8361.49"/>
    <n v="4111.1000000000004"/>
    <n v="4123.8"/>
    <n v="42349.19"/>
    <n v="8.5394134109691725E-5"/>
    <n v="0.97719751678552502"/>
    <b v="0"/>
  </r>
  <r>
    <n v="970"/>
    <m/>
    <x v="18"/>
    <m/>
    <s v="ROBERT GRANT INC"/>
    <n v="0"/>
    <n v="0"/>
    <n v="42280"/>
    <n v="0"/>
    <n v="0"/>
    <n v="0"/>
    <n v="0"/>
    <n v="0"/>
    <n v="42280"/>
    <n v="8.5254617388378994E-5"/>
    <n v="0.97728277140291342"/>
    <b v="0"/>
  </r>
  <r>
    <n v="274"/>
    <m/>
    <x v="18"/>
    <m/>
    <s v="DIAMOND STATE GHOST INVESTIGATORS"/>
    <n v="6500"/>
    <n v="5320"/>
    <n v="5220"/>
    <n v="5220"/>
    <n v="5120"/>
    <n v="5120"/>
    <n v="4480"/>
    <n v="5120"/>
    <n v="42100"/>
    <n v="8.4891660171493749E-5"/>
    <n v="0.97736766306308487"/>
    <b v="0"/>
  </r>
  <r>
    <n v="350"/>
    <m/>
    <x v="18"/>
    <m/>
    <s v="STREETT'S LANDSCAPING INC"/>
    <n v="3150"/>
    <n v="6145"/>
    <n v="7230"/>
    <n v="5505"/>
    <n v="5235"/>
    <n v="5665"/>
    <n v="4070"/>
    <n v="4590"/>
    <n v="41590"/>
    <n v="8.3863281390318889E-5"/>
    <n v="0.97745152634447519"/>
    <b v="0"/>
  </r>
  <r>
    <n v="1224"/>
    <m/>
    <x v="18"/>
    <m/>
    <s v="PITTSBURG TANK AND TOWER MAINT CO INC"/>
    <n v="0"/>
    <n v="0"/>
    <n v="0"/>
    <n v="7225"/>
    <n v="15015"/>
    <n v="1500"/>
    <n v="0"/>
    <n v="17850"/>
    <n v="41590"/>
    <n v="8.3863281390318889E-5"/>
    <n v="0.9775353896258655"/>
    <b v="0"/>
  </r>
  <r>
    <n v="1660"/>
    <m/>
    <x v="18"/>
    <m/>
    <s v="AFFORDABLE HEATING &amp; A/C INC"/>
    <n v="0"/>
    <n v="0"/>
    <n v="0"/>
    <n v="0"/>
    <n v="0"/>
    <n v="37395"/>
    <n v="2955"/>
    <n v="1066"/>
    <n v="41416"/>
    <n v="8.3512422747329814E-5"/>
    <n v="0.97761890204861279"/>
    <b v="0"/>
  </r>
  <r>
    <n v="371"/>
    <m/>
    <x v="18"/>
    <m/>
    <s v="OMB MAIL/COURIER SERVICES"/>
    <n v="2543.42"/>
    <n v="968.68"/>
    <n v="1476.28"/>
    <n v="1747.59"/>
    <n v="4237.75"/>
    <n v="20234.53"/>
    <n v="8593.19"/>
    <n v="1384.05"/>
    <n v="41185.490000000005"/>
    <n v="8.3047615702528613E-5"/>
    <n v="0.97770194966431534"/>
    <b v="0"/>
  </r>
  <r>
    <n v="305"/>
    <m/>
    <x v="18"/>
    <m/>
    <s v="IDEXX LABORATORIES INC"/>
    <n v="4801.99"/>
    <n v="6327.89"/>
    <n v="3917.27"/>
    <n v="2752.65"/>
    <n v="4286.16"/>
    <n v="4887.41"/>
    <n v="7493.25"/>
    <n v="6437.97"/>
    <n v="40904.590000000004"/>
    <n v="8.2481200801289359E-5"/>
    <n v="0.97778443086511668"/>
    <b v="0"/>
  </r>
  <r>
    <n v="1415"/>
    <m/>
    <x v="18"/>
    <m/>
    <s v="CURTIS 1000 INC"/>
    <n v="0"/>
    <n v="0"/>
    <n v="0"/>
    <n v="0"/>
    <n v="19428.48"/>
    <n v="16228.93"/>
    <n v="5239"/>
    <n v="0"/>
    <n v="40896.410000000003"/>
    <n v="8.2464706412210901E-5"/>
    <n v="0.97786689557152895"/>
    <b v="0"/>
  </r>
  <r>
    <n v="1050"/>
    <m/>
    <x v="18"/>
    <m/>
    <s v="ROGER C SUMMERS LAWN CARE INC"/>
    <n v="0"/>
    <n v="0"/>
    <n v="3100"/>
    <n v="0"/>
    <n v="13175"/>
    <n v="2200"/>
    <n v="13000"/>
    <n v="9275"/>
    <n v="40750"/>
    <n v="8.2169481044854401E-5"/>
    <n v="0.97794906505257384"/>
    <b v="0"/>
  </r>
  <r>
    <n v="254"/>
    <m/>
    <x v="18"/>
    <m/>
    <s v="KEEN COMPRESSED GAS CO"/>
    <n v="7578.54"/>
    <n v="6274.06"/>
    <n v="6722.99"/>
    <n v="3747.84"/>
    <n v="4049.59"/>
    <n v="4173.6000000000004"/>
    <n v="4315.66"/>
    <n v="3536.6"/>
    <n v="40398.879999999997"/>
    <n v="8.1461472500450236E-5"/>
    <n v="0.97803052652507427"/>
    <b v="0"/>
  </r>
  <r>
    <n v="2248"/>
    <m/>
    <x v="18"/>
    <m/>
    <s v="KUBOTA TRACTOR CORPORATION"/>
    <n v="0"/>
    <n v="0"/>
    <n v="0"/>
    <n v="0"/>
    <n v="0"/>
    <n v="0"/>
    <n v="0"/>
    <n v="40289.11"/>
    <n v="40289.11"/>
    <n v="8.1240129091019722E-5"/>
    <n v="0.97811176665416533"/>
    <b v="0"/>
  </r>
  <r>
    <n v="721"/>
    <m/>
    <x v="18"/>
    <m/>
    <s v="J-MAR FENCE"/>
    <n v="0"/>
    <n v="22870.83"/>
    <n v="0"/>
    <n v="0"/>
    <n v="0"/>
    <n v="0"/>
    <n v="17393.3"/>
    <n v="0"/>
    <n v="40264.130000000005"/>
    <n v="8.1189758695031995E-5"/>
    <n v="0.9781929564128603"/>
    <b v="0"/>
  </r>
  <r>
    <n v="144"/>
    <m/>
    <x v="18"/>
    <m/>
    <s v="LEARFIELD SUB LLC"/>
    <n v="25000"/>
    <n v="15000"/>
    <n v="0"/>
    <n v="0"/>
    <n v="0"/>
    <n v="0"/>
    <n v="0"/>
    <n v="0"/>
    <n v="40000"/>
    <n v="8.0657159307832534E-5"/>
    <n v="0.97827361357216813"/>
    <b v="0"/>
  </r>
  <r>
    <n v="983"/>
    <m/>
    <x v="18"/>
    <m/>
    <s v="APTIM COASTAL PLANNING &amp; ENGINEERING IN"/>
    <n v="0"/>
    <n v="0"/>
    <n v="20509.3"/>
    <n v="19425.900000000001"/>
    <n v="0"/>
    <n v="0"/>
    <n v="0"/>
    <n v="0"/>
    <n v="39935.199999999997"/>
    <n v="8.0526494709753842E-5"/>
    <n v="0.97835414006687793"/>
    <b v="0"/>
  </r>
  <r>
    <n v="545"/>
    <m/>
    <x v="18"/>
    <m/>
    <s v="PC SUPPLIES INC"/>
    <n v="556"/>
    <n v="1585"/>
    <n v="20582.990000000002"/>
    <n v="7806"/>
    <n v="9078.75"/>
    <n v="0"/>
    <n v="0"/>
    <n v="0"/>
    <n v="39608.740000000005"/>
    <n v="7.986821130406298E-5"/>
    <n v="0.97843400827818194"/>
    <b v="0"/>
  </r>
  <r>
    <n v="1984"/>
    <m/>
    <x v="18"/>
    <m/>
    <s v="ERICA A MILLER"/>
    <n v="0"/>
    <n v="0"/>
    <n v="0"/>
    <n v="0"/>
    <n v="0"/>
    <n v="0"/>
    <n v="15315"/>
    <n v="24214"/>
    <n v="39529"/>
    <n v="7.9707421256982816E-5"/>
    <n v="0.9785137156994389"/>
    <b v="0"/>
  </r>
  <r>
    <n v="1207"/>
    <m/>
    <x v="18"/>
    <m/>
    <s v="MICHAEL JOHNSON MIKES CUSTOM FENCE"/>
    <n v="0"/>
    <n v="0"/>
    <n v="0"/>
    <n v="24353.89"/>
    <n v="14999.11"/>
    <n v="0"/>
    <n v="0"/>
    <n v="0"/>
    <n v="39353"/>
    <n v="7.9352529756028346E-5"/>
    <n v="0.9785930682291949"/>
    <b v="0"/>
  </r>
  <r>
    <n v="113"/>
    <m/>
    <x v="18"/>
    <m/>
    <s v="MITY-LITE INC"/>
    <n v="39229.93"/>
    <n v="0"/>
    <n v="0"/>
    <n v="0"/>
    <n v="0"/>
    <n v="0"/>
    <n v="0"/>
    <n v="0"/>
    <n v="39229.93"/>
    <n v="7.910436784112798E-5"/>
    <n v="0.97867217259703598"/>
    <b v="0"/>
  </r>
  <r>
    <n v="263"/>
    <m/>
    <x v="18"/>
    <m/>
    <s v="ADOLPH KIEFER &amp; ASSOC LLC"/>
    <n v="7321.07"/>
    <n v="5158.0200000000004"/>
    <n v="9622.75"/>
    <n v="11834.1"/>
    <n v="5248.25"/>
    <n v="0"/>
    <n v="0"/>
    <n v="0"/>
    <n v="39184.19"/>
    <n v="7.9012136379459478E-5"/>
    <n v="0.97875118473341549"/>
    <b v="0"/>
  </r>
  <r>
    <n v="714"/>
    <m/>
    <x v="18"/>
    <m/>
    <s v="BFI WASTE SERVICES LLC"/>
    <n v="0"/>
    <n v="31760.04"/>
    <n v="7210"/>
    <n v="0"/>
    <n v="0"/>
    <n v="0"/>
    <n v="0"/>
    <n v="0"/>
    <n v="38970.04"/>
    <n v="7.8580318112815166E-5"/>
    <n v="0.9788297650515283"/>
    <b v="0"/>
  </r>
  <r>
    <n v="346"/>
    <m/>
    <x v="18"/>
    <m/>
    <s v="NUTTLE LUMBER CO INC"/>
    <n v="3304.85"/>
    <n v="2947.77"/>
    <n v="3689.59"/>
    <n v="4256.57"/>
    <n v="10977.45"/>
    <n v="3700.55"/>
    <n v="5545.57"/>
    <n v="4480.04"/>
    <n v="38902.39"/>
    <n v="7.8443906692135781E-5"/>
    <n v="0.97890820895822039"/>
    <b v="0"/>
  </r>
  <r>
    <n v="670"/>
    <m/>
    <x v="18"/>
    <m/>
    <s v="ROY'S ELECTRICAL SERVICE INC"/>
    <n v="96.52"/>
    <n v="2585.27"/>
    <n v="2419.67"/>
    <n v="826.22"/>
    <n v="1038.53"/>
    <n v="1242.45"/>
    <n v="26744.05"/>
    <n v="3916.16"/>
    <n v="38868.869999999995"/>
    <n v="7.8376315992635808E-5"/>
    <n v="0.97898658527421301"/>
    <b v="0"/>
  </r>
  <r>
    <n v="1279"/>
    <m/>
    <x v="18"/>
    <m/>
    <s v="ALTEC INDUSTRIES INC"/>
    <n v="0"/>
    <n v="0"/>
    <n v="0"/>
    <n v="1052.58"/>
    <n v="0"/>
    <n v="992.03"/>
    <n v="1423.14"/>
    <n v="35400"/>
    <n v="38867.75"/>
    <n v="7.8374057592175202E-5"/>
    <n v="0.97906495933180515"/>
    <b v="0"/>
  </r>
  <r>
    <n v="247"/>
    <m/>
    <x v="18"/>
    <m/>
    <s v="1ST STATE PEST AND HOME SERVICES LLC"/>
    <n v="7950"/>
    <n v="14520"/>
    <n v="11405"/>
    <n v="4778"/>
    <n v="0"/>
    <n v="0"/>
    <n v="0"/>
    <n v="0"/>
    <n v="38653"/>
    <n v="7.7941029468141284E-5"/>
    <n v="0.97914290036127327"/>
    <b v="0"/>
  </r>
  <r>
    <n v="753"/>
    <m/>
    <x v="18"/>
    <m/>
    <s v="PIONEER FENCE COMPANY INC"/>
    <n v="0"/>
    <n v="8200"/>
    <n v="0"/>
    <n v="0"/>
    <n v="2995"/>
    <n v="1120"/>
    <n v="11550"/>
    <n v="14542"/>
    <n v="38407"/>
    <n v="7.7444987938398108E-5"/>
    <n v="0.97922034534921165"/>
    <b v="0"/>
  </r>
  <r>
    <n v="980"/>
    <m/>
    <x v="18"/>
    <m/>
    <s v="COMMERCIAL RECREATION SPECIALISTS INC"/>
    <n v="0"/>
    <n v="0"/>
    <n v="25070"/>
    <n v="13104"/>
    <n v="0"/>
    <n v="0"/>
    <n v="0"/>
    <n v="0"/>
    <n v="38174"/>
    <n v="7.6975159985429988E-5"/>
    <n v="0.97929732050919704"/>
    <b v="0"/>
  </r>
  <r>
    <n v="744"/>
    <m/>
    <x v="18"/>
    <m/>
    <s v="WILLIAM SEXTON"/>
    <n v="0"/>
    <n v="9700"/>
    <n v="0"/>
    <n v="28200"/>
    <n v="0"/>
    <n v="0"/>
    <n v="0"/>
    <n v="0"/>
    <n v="37900"/>
    <n v="7.6422658444171333E-5"/>
    <n v="0.97937374316764125"/>
    <b v="0"/>
  </r>
  <r>
    <n v="1110"/>
    <m/>
    <x v="18"/>
    <m/>
    <s v="DELTA FORMS INC"/>
    <n v="0"/>
    <n v="0"/>
    <n v="652.5"/>
    <n v="0"/>
    <n v="0"/>
    <n v="15729"/>
    <n v="16455.75"/>
    <n v="4872"/>
    <n v="37709.25"/>
    <n v="7.6038024615722105E-5"/>
    <n v="0.97944978119225701"/>
    <b v="0"/>
  </r>
  <r>
    <n v="1975"/>
    <m/>
    <x v="18"/>
    <m/>
    <s v="UNIVERSAL SERVICES ASSOCIATES"/>
    <n v="0"/>
    <n v="0"/>
    <n v="0"/>
    <n v="0"/>
    <n v="0"/>
    <n v="0"/>
    <n v="37527.29"/>
    <n v="0"/>
    <n v="37527.29"/>
    <n v="7.5671115198030776E-5"/>
    <n v="0.97952545230745502"/>
    <b v="0"/>
  </r>
  <r>
    <n v="296"/>
    <m/>
    <x v="18"/>
    <m/>
    <s v="STRYKER SALES CORP"/>
    <n v="5246.73"/>
    <n v="4432.5600000000004"/>
    <n v="15648.05"/>
    <n v="2441.6"/>
    <n v="2841"/>
    <n v="6481.88"/>
    <n v="0"/>
    <n v="0"/>
    <n v="37091.82"/>
    <n v="7.4793020868936232E-5"/>
    <n v="0.97960024532832402"/>
    <b v="0"/>
  </r>
  <r>
    <n v="485"/>
    <m/>
    <x v="18"/>
    <m/>
    <s v="BOBCAT OF NEW CASTLE LLC"/>
    <n v="918.35"/>
    <n v="1431.23"/>
    <n v="15406.58"/>
    <n v="1289.55"/>
    <n v="6517.98"/>
    <n v="10942.77"/>
    <n v="0"/>
    <n v="496.18"/>
    <n v="37002.639999999999"/>
    <n v="7.4613195732259419E-5"/>
    <n v="0.97967485852405622"/>
    <b v="0"/>
  </r>
  <r>
    <n v="260"/>
    <m/>
    <x v="18"/>
    <m/>
    <s v="ULINE INC"/>
    <n v="7376.12"/>
    <n v="2126.9299999999998"/>
    <n v="7280.78"/>
    <n v="17579.98"/>
    <n v="2176.5100000000002"/>
    <n v="341.94"/>
    <n v="0"/>
    <n v="0"/>
    <n v="36882.26"/>
    <n v="7.4370458011322493E-5"/>
    <n v="0.97974922898206751"/>
    <b v="0"/>
  </r>
  <r>
    <n v="973"/>
    <m/>
    <x v="18"/>
    <m/>
    <s v="KENNETH R WALSH"/>
    <n v="0"/>
    <n v="0"/>
    <n v="36825"/>
    <n v="0"/>
    <n v="0"/>
    <n v="0"/>
    <n v="0"/>
    <n v="0"/>
    <n v="36825"/>
    <n v="7.425499728777333E-5"/>
    <n v="0.97982348397935526"/>
    <b v="0"/>
  </r>
  <r>
    <n v="710"/>
    <m/>
    <x v="18"/>
    <m/>
    <s v="JHCONTRACTING"/>
    <n v="0"/>
    <n v="36745"/>
    <n v="0"/>
    <n v="0"/>
    <n v="0"/>
    <n v="0"/>
    <n v="0"/>
    <n v="0"/>
    <n v="36745"/>
    <n v="7.4093682969157665E-5"/>
    <n v="0.97989757766232444"/>
    <b v="0"/>
  </r>
  <r>
    <n v="175"/>
    <m/>
    <x v="18"/>
    <m/>
    <s v="MOHAWK LIFTS LLC"/>
    <n v="18616.14"/>
    <n v="0"/>
    <n v="18127.79"/>
    <n v="0"/>
    <n v="0"/>
    <n v="0"/>
    <n v="0"/>
    <n v="0"/>
    <n v="36743.93"/>
    <n v="7.4091525390146176E-5"/>
    <n v="0.97997166918771461"/>
    <b v="0"/>
  </r>
  <r>
    <n v="119"/>
    <m/>
    <x v="18"/>
    <m/>
    <s v="BERNARDON DELAWARE LLC DBA CSG DELAWARE"/>
    <n v="36737.5"/>
    <n v="0"/>
    <n v="0"/>
    <n v="0"/>
    <n v="0"/>
    <n v="0"/>
    <n v="0"/>
    <n v="0"/>
    <n v="36737.5"/>
    <n v="7.4078559751787447E-5"/>
    <n v="0.98004574774746644"/>
    <b v="0"/>
  </r>
  <r>
    <n v="256"/>
    <m/>
    <x v="18"/>
    <m/>
    <s v="BOOST FINANCIAL TELECOM LLC"/>
    <n v="7500"/>
    <n v="16625"/>
    <n v="11875"/>
    <n v="0"/>
    <n v="0"/>
    <n v="0"/>
    <n v="0"/>
    <n v="0"/>
    <n v="36000"/>
    <n v="7.2591443377049292E-5"/>
    <n v="0.98011833919084346"/>
    <b v="0"/>
  </r>
  <r>
    <n v="711"/>
    <m/>
    <x v="18"/>
    <m/>
    <s v="MOORE SEAL INC"/>
    <n v="0"/>
    <n v="35855"/>
    <n v="0"/>
    <n v="0"/>
    <n v="0"/>
    <n v="0"/>
    <n v="0"/>
    <n v="0"/>
    <n v="35855"/>
    <n v="7.2299061174558386E-5"/>
    <n v="0.98019063825201802"/>
    <b v="0"/>
  </r>
  <r>
    <n v="728"/>
    <m/>
    <x v="18"/>
    <m/>
    <s v="ASSOCIATES INTERNATIONAL INC"/>
    <n v="0"/>
    <n v="15225"/>
    <n v="0"/>
    <n v="0"/>
    <n v="5575"/>
    <n v="710"/>
    <n v="5960"/>
    <n v="8365"/>
    <n v="35835"/>
    <n v="7.225873259490447E-5"/>
    <n v="0.98026289698461289"/>
    <b v="0"/>
  </r>
  <r>
    <n v="311"/>
    <m/>
    <x v="18"/>
    <m/>
    <s v="SHERWIN WILLIAMS CO"/>
    <n v="4488.6899999999996"/>
    <n v="3113.91"/>
    <n v="4976.16"/>
    <n v="1862.23"/>
    <n v="3221.76"/>
    <n v="6609.18"/>
    <n v="4245.45"/>
    <n v="7316.78"/>
    <n v="35834.160000000003"/>
    <n v="7.2257038794559019E-5"/>
    <n v="0.98033515402340743"/>
    <b v="0"/>
  </r>
  <r>
    <n v="2249"/>
    <m/>
    <x v="18"/>
    <m/>
    <s v="OMB HUMAN RESOURCE MANAGEMENT"/>
    <n v="0"/>
    <n v="0"/>
    <n v="0"/>
    <n v="0"/>
    <n v="0"/>
    <n v="0"/>
    <n v="0"/>
    <n v="35653.519999999997"/>
    <n v="35653.519999999997"/>
    <n v="7.1892791063124831E-5"/>
    <n v="0.98040704681447055"/>
    <b v="0"/>
  </r>
  <r>
    <n v="1261"/>
    <m/>
    <x v="18"/>
    <m/>
    <s v="ROGER C SUMMERS"/>
    <n v="0"/>
    <n v="0"/>
    <n v="0"/>
    <n v="1900"/>
    <n v="29065"/>
    <n v="0"/>
    <n v="0"/>
    <n v="4400"/>
    <n v="35365"/>
    <n v="7.1311010973037443E-5"/>
    <n v="0.98047835782544357"/>
    <b v="0"/>
  </r>
  <r>
    <n v="737"/>
    <m/>
    <x v="18"/>
    <m/>
    <s v="WILMINGTON BLUE ROCKS LP"/>
    <n v="0"/>
    <n v="11500"/>
    <n v="6000"/>
    <n v="0"/>
    <n v="0"/>
    <n v="5700"/>
    <n v="4900"/>
    <n v="7000"/>
    <n v="35100"/>
    <n v="7.0776657292623055E-5"/>
    <n v="0.98054913448273617"/>
    <b v="0"/>
  </r>
  <r>
    <n v="1411"/>
    <m/>
    <x v="18"/>
    <m/>
    <s v="GUN CLUB ROAD MAINTENANCE CORPPORATION"/>
    <n v="0"/>
    <n v="0"/>
    <n v="0"/>
    <n v="0"/>
    <n v="35082"/>
    <n v="0"/>
    <n v="0"/>
    <n v="0"/>
    <n v="35082"/>
    <n v="7.0740361570934533E-5"/>
    <n v="0.98061987484430713"/>
    <b v="0"/>
  </r>
  <r>
    <n v="121"/>
    <m/>
    <x v="18"/>
    <m/>
    <s v="Law Offices of Michele D Allen dba Allen"/>
    <n v="35000"/>
    <n v="0"/>
    <n v="0"/>
    <n v="0"/>
    <n v="0"/>
    <n v="0"/>
    <n v="0"/>
    <n v="0"/>
    <n v="35000"/>
    <n v="7.0575014394353474E-5"/>
    <n v="0.98069044985870146"/>
    <b v="0"/>
  </r>
  <r>
    <n v="1008"/>
    <m/>
    <x v="18"/>
    <m/>
    <s v="COUNTRY BUILDERS INC"/>
    <n v="0"/>
    <n v="0"/>
    <n v="9950"/>
    <n v="0"/>
    <n v="25000"/>
    <n v="0"/>
    <n v="0"/>
    <n v="0"/>
    <n v="34950"/>
    <n v="7.0474192945218684E-5"/>
    <n v="0.98076092405164672"/>
    <b v="0"/>
  </r>
  <r>
    <n v="354"/>
    <m/>
    <x v="18"/>
    <m/>
    <s v="FILEC SERVICES LLC"/>
    <n v="3055"/>
    <n v="18850"/>
    <n v="12850"/>
    <n v="0"/>
    <n v="0"/>
    <n v="0"/>
    <n v="0"/>
    <n v="0"/>
    <n v="34755"/>
    <n v="7.0080989293593002E-5"/>
    <n v="0.98083100504094034"/>
    <b v="0"/>
  </r>
  <r>
    <n v="1976"/>
    <m/>
    <x v="18"/>
    <m/>
    <s v="BRAND DESIGN CO INC"/>
    <n v="0"/>
    <n v="0"/>
    <n v="0"/>
    <n v="0"/>
    <n v="0"/>
    <n v="0"/>
    <n v="34650"/>
    <n v="0"/>
    <n v="34650"/>
    <n v="6.9869264250409943E-5"/>
    <n v="0.9809008743051908"/>
    <b v="0"/>
  </r>
  <r>
    <n v="1800"/>
    <m/>
    <x v="18"/>
    <m/>
    <s v="BUILDING PRESERVATION SERVICES"/>
    <n v="0"/>
    <n v="0"/>
    <n v="0"/>
    <n v="0"/>
    <n v="0"/>
    <n v="596"/>
    <n v="19800"/>
    <n v="14155"/>
    <n v="34551"/>
    <n v="6.9669637781123053E-5"/>
    <n v="0.9809705439429719"/>
    <b v="0"/>
  </r>
  <r>
    <n v="257"/>
    <m/>
    <x v="18"/>
    <m/>
    <s v="MELVIN L JOSEPH CONSTRUCTION"/>
    <n v="7460"/>
    <n v="1009.13"/>
    <n v="5811.1"/>
    <n v="4199.75"/>
    <n v="3828.57"/>
    <n v="12223.05"/>
    <n v="0"/>
    <n v="0"/>
    <n v="34531.599999999999"/>
    <n v="6.9630519058858756E-5"/>
    <n v="0.98104017446203073"/>
    <b v="0"/>
  </r>
  <r>
    <n v="252"/>
    <m/>
    <x v="18"/>
    <m/>
    <s v="GABLE MUSIC VENTURES"/>
    <n v="7700"/>
    <n v="7900"/>
    <n v="4258.34"/>
    <n v="5229.16"/>
    <n v="1400"/>
    <n v="4600"/>
    <n v="0"/>
    <n v="3200"/>
    <n v="34287.5"/>
    <n v="6.91383087441827E-5"/>
    <n v="0.98110931277077496"/>
    <b v="0"/>
  </r>
  <r>
    <n v="1099"/>
    <m/>
    <x v="18"/>
    <m/>
    <s v="TOWLES ELECTRIC INC"/>
    <n v="0"/>
    <n v="0"/>
    <n v="807.5"/>
    <n v="0"/>
    <n v="0"/>
    <n v="5806.72"/>
    <n v="23423.05"/>
    <n v="4176.1400000000003"/>
    <n v="34213.410000000003"/>
    <n v="6.8988911520854779E-5"/>
    <n v="0.98117830168229581"/>
    <b v="0"/>
  </r>
  <r>
    <n v="1215"/>
    <m/>
    <x v="18"/>
    <m/>
    <s v="GARTH ENTERPRISES LTD"/>
    <n v="0"/>
    <n v="0"/>
    <n v="0"/>
    <n v="14149"/>
    <n v="19980"/>
    <n v="0"/>
    <n v="0"/>
    <n v="0"/>
    <n v="34129"/>
    <n v="6.8818704750425421E-5"/>
    <n v="0.9812471203870462"/>
    <b v="0"/>
  </r>
  <r>
    <n v="310"/>
    <m/>
    <x v="18"/>
    <m/>
    <s v="STATELINE CLASSICS LLC"/>
    <n v="4549.83"/>
    <n v="7881.28"/>
    <n v="7639.76"/>
    <n v="3169.48"/>
    <n v="2512.79"/>
    <n v="1615.47"/>
    <n v="2499.1999999999998"/>
    <n v="4236.33"/>
    <n v="34104.140000000007"/>
    <n v="6.876857632591561E-5"/>
    <n v="0.98131588896337207"/>
    <b v="0"/>
  </r>
  <r>
    <n v="170"/>
    <m/>
    <x v="18"/>
    <m/>
    <s v="JESCO INC"/>
    <n v="19308.669999999998"/>
    <n v="0"/>
    <n v="4199.95"/>
    <n v="2480.98"/>
    <n v="0"/>
    <n v="0"/>
    <n v="6664.68"/>
    <n v="1277.31"/>
    <n v="33931.589999999997"/>
    <n v="6.8420641504951426E-5"/>
    <n v="0.98138430960487699"/>
    <b v="0"/>
  </r>
  <r>
    <n v="992"/>
    <m/>
    <x v="18"/>
    <m/>
    <s v="GRUBB INC DBA AQUA WASH"/>
    <n v="0"/>
    <n v="0"/>
    <n v="16770"/>
    <n v="895"/>
    <n v="7170"/>
    <n v="8930"/>
    <n v="0"/>
    <n v="0"/>
    <n v="33765"/>
    <n v="6.8084724600724143E-5"/>
    <n v="0.98145239432947773"/>
    <b v="0"/>
  </r>
  <r>
    <n v="1662"/>
    <m/>
    <x v="18"/>
    <m/>
    <s v="MERESTONE CONSULTANTS INC"/>
    <n v="0"/>
    <n v="0"/>
    <n v="0"/>
    <n v="0"/>
    <n v="0"/>
    <n v="33694.65"/>
    <n v="0"/>
    <n v="0"/>
    <n v="33694.65"/>
    <n v="6.7942868821791496E-5"/>
    <n v="0.98152033719829956"/>
    <b v="0"/>
  </r>
  <r>
    <n v="264"/>
    <m/>
    <x v="18"/>
    <m/>
    <s v="HY POINT DAIRY FARMS INC"/>
    <n v="7184.28"/>
    <n v="2938.17"/>
    <n v="4738.47"/>
    <n v="4540.76"/>
    <n v="3215.48"/>
    <n v="2862.08"/>
    <n v="3297.42"/>
    <n v="4620.2"/>
    <n v="33396.859999999993"/>
    <n v="6.7342396435034492E-5"/>
    <n v="0.98158767959473459"/>
    <b v="0"/>
  </r>
  <r>
    <n v="164"/>
    <m/>
    <x v="18"/>
    <m/>
    <s v="AMER WATER WELL SYS INC"/>
    <n v="21000"/>
    <n v="0"/>
    <n v="0"/>
    <n v="0"/>
    <n v="12300"/>
    <n v="0"/>
    <n v="0"/>
    <n v="0"/>
    <n v="33300"/>
    <n v="6.7147085123770594E-5"/>
    <n v="0.98165482667985837"/>
    <b v="0"/>
  </r>
  <r>
    <n v="435"/>
    <m/>
    <x v="18"/>
    <m/>
    <s v="PORTABLE BUILDINGS INC"/>
    <n v="1400"/>
    <n v="0"/>
    <n v="0"/>
    <n v="5904"/>
    <n v="0"/>
    <n v="4706"/>
    <n v="18826"/>
    <n v="2393"/>
    <n v="33229"/>
    <n v="6.7003918665999184E-5"/>
    <n v="0.98172183059852436"/>
    <b v="0"/>
  </r>
  <r>
    <n v="188"/>
    <m/>
    <x v="18"/>
    <m/>
    <s v="BYRON H JEFFERSON ENG SVCS"/>
    <n v="16430"/>
    <n v="0"/>
    <n v="0"/>
    <n v="1090"/>
    <n v="625"/>
    <n v="0"/>
    <n v="15010"/>
    <n v="0"/>
    <n v="33155"/>
    <n v="6.6854702921279702E-5"/>
    <n v="0.98178868530144559"/>
    <b v="0"/>
  </r>
  <r>
    <n v="169"/>
    <m/>
    <x v="18"/>
    <m/>
    <s v="MASTER INTERIORS INC"/>
    <n v="19450"/>
    <n v="0"/>
    <n v="0"/>
    <n v="0"/>
    <n v="0"/>
    <n v="0"/>
    <n v="8075"/>
    <n v="5563"/>
    <n v="33088"/>
    <n v="6.6719602179439081E-5"/>
    <n v="0.981855404903625"/>
    <b v="0"/>
  </r>
  <r>
    <n v="1042"/>
    <m/>
    <x v="18"/>
    <m/>
    <s v="PSC CONTRACTING INC"/>
    <n v="0"/>
    <n v="0"/>
    <n v="4505"/>
    <n v="24100"/>
    <n v="4176.72"/>
    <n v="0"/>
    <n v="0"/>
    <n v="0"/>
    <n v="32781.72"/>
    <n v="6.6102010310619002E-5"/>
    <n v="0.98192150691393565"/>
    <b v="0"/>
  </r>
  <r>
    <n v="769"/>
    <m/>
    <x v="18"/>
    <m/>
    <s v="MOST DEPENDABLE FOUNTAINS INC"/>
    <n v="0"/>
    <n v="4595"/>
    <n v="27715"/>
    <n v="0"/>
    <n v="0"/>
    <n v="0"/>
    <n v="0"/>
    <n v="0"/>
    <n v="32310"/>
    <n v="6.5150820430901735E-5"/>
    <n v="0.98198665773436655"/>
    <b v="0"/>
  </r>
  <r>
    <n v="1412"/>
    <m/>
    <x v="18"/>
    <m/>
    <s v="GREENS HEATING AND COOLING"/>
    <n v="0"/>
    <n v="0"/>
    <n v="0"/>
    <n v="0"/>
    <n v="32260"/>
    <n v="0"/>
    <n v="0"/>
    <n v="0"/>
    <n v="32260"/>
    <n v="6.5049998981766944E-5"/>
    <n v="0.98205170773334827"/>
    <b v="0"/>
  </r>
  <r>
    <n v="1977"/>
    <m/>
    <x v="18"/>
    <m/>
    <s v="MCLAUGHLIN ERECTORS INC"/>
    <n v="0"/>
    <n v="0"/>
    <n v="0"/>
    <n v="0"/>
    <n v="0"/>
    <n v="0"/>
    <n v="32194"/>
    <n v="0"/>
    <n v="32194"/>
    <n v="6.4916914668909013E-5"/>
    <n v="0.98211662464801719"/>
    <b v="0"/>
  </r>
  <r>
    <n v="525"/>
    <m/>
    <x v="18"/>
    <m/>
    <s v="TAYLOR &amp; MESSICK"/>
    <n v="608.76"/>
    <n v="3604.6"/>
    <n v="2659.85"/>
    <n v="7708.33"/>
    <n v="6122.16"/>
    <n v="1104.55"/>
    <n v="6644.04"/>
    <n v="3372.52"/>
    <n v="31824.809999999998"/>
    <n v="6.4172469252787542E-5"/>
    <n v="0.98218079711727002"/>
    <b v="0"/>
  </r>
  <r>
    <n v="177"/>
    <m/>
    <x v="18"/>
    <m/>
    <s v="FREEMIRE &amp; ASSOCIATES INC"/>
    <n v="18484.61"/>
    <n v="0"/>
    <n v="903.74"/>
    <n v="8108"/>
    <n v="0"/>
    <n v="0"/>
    <n v="0"/>
    <n v="4171.6099999999997"/>
    <n v="31667.960000000003"/>
    <n v="6.3856192366851716E-5"/>
    <n v="0.98224465330963684"/>
    <b v="0"/>
  </r>
  <r>
    <n v="340"/>
    <m/>
    <x v="18"/>
    <m/>
    <s v="MARINER BOAT LIFTS LLC"/>
    <n v="3375.5"/>
    <n v="28172.5"/>
    <n v="0"/>
    <n v="0"/>
    <n v="0"/>
    <n v="0"/>
    <n v="0"/>
    <n v="0"/>
    <n v="31548"/>
    <n v="6.3614301546087529E-5"/>
    <n v="0.98230826761118295"/>
    <b v="0"/>
  </r>
  <r>
    <n v="155"/>
    <m/>
    <x v="18"/>
    <m/>
    <s v="11400 INC"/>
    <n v="23100"/>
    <n v="0"/>
    <n v="0"/>
    <n v="0"/>
    <n v="0"/>
    <n v="3893.99"/>
    <n v="2232.4699999999998"/>
    <n v="2115.59"/>
    <n v="31342.05"/>
    <n v="6.3199017997101316E-5"/>
    <n v="0.98237146662918007"/>
    <b v="0"/>
  </r>
  <r>
    <n v="202"/>
    <m/>
    <x v="18"/>
    <m/>
    <s v="DSHS CAPITOL POLICE"/>
    <n v="14120.27"/>
    <n v="7381.91"/>
    <n v="7738.44"/>
    <n v="2088.56"/>
    <n v="0"/>
    <n v="0"/>
    <n v="0"/>
    <n v="0"/>
    <n v="31329.18"/>
    <n v="6.3173066556094023E-5"/>
    <n v="0.98243463969573619"/>
    <b v="0"/>
  </r>
  <r>
    <n v="1488"/>
    <m/>
    <x v="18"/>
    <m/>
    <s v="ERCO INTERIOR SYS INC"/>
    <n v="0"/>
    <n v="0"/>
    <n v="0"/>
    <n v="0"/>
    <n v="975"/>
    <n v="6675"/>
    <n v="23585"/>
    <n v="0"/>
    <n v="31235"/>
    <n v="6.2983159274503732E-5"/>
    <n v="0.98249762285501074"/>
    <b v="0"/>
  </r>
  <r>
    <n v="316"/>
    <m/>
    <x v="18"/>
    <m/>
    <s v="GEORGE SHERMAN CORPORATION"/>
    <n v="4286.99"/>
    <n v="683"/>
    <n v="467"/>
    <n v="22524.01"/>
    <n v="2970"/>
    <n v="0"/>
    <n v="0"/>
    <n v="141.18"/>
    <n v="31072.18"/>
    <n v="6.2654844307541199E-5"/>
    <n v="0.98256027769931831"/>
    <b v="0"/>
  </r>
  <r>
    <n v="1098"/>
    <m/>
    <x v="18"/>
    <m/>
    <s v="BELLA TERRA LLC"/>
    <n v="0"/>
    <n v="0"/>
    <n v="847"/>
    <n v="305.94"/>
    <n v="0"/>
    <n v="0"/>
    <n v="0"/>
    <n v="29848.35"/>
    <n v="31001.289999999997"/>
    <n v="6.2511899656957884E-5"/>
    <n v="0.98262278959897531"/>
    <b v="0"/>
  </r>
  <r>
    <n v="1664"/>
    <m/>
    <x v="18"/>
    <m/>
    <s v="NILO ELECTRICAL CONTRACTORS LLC"/>
    <n v="0"/>
    <n v="0"/>
    <n v="0"/>
    <n v="0"/>
    <n v="0"/>
    <n v="28375.45"/>
    <n v="0"/>
    <n v="2604.2800000000002"/>
    <n v="30979.73"/>
    <n v="6.2468425448090968E-5"/>
    <n v="0.98268525802442341"/>
    <b v="0"/>
  </r>
  <r>
    <n v="1413"/>
    <m/>
    <x v="18"/>
    <m/>
    <s v="FUJIFILM SONOSITE INC"/>
    <n v="0"/>
    <n v="0"/>
    <n v="0"/>
    <n v="0"/>
    <n v="30138.75"/>
    <n v="0"/>
    <n v="0"/>
    <n v="0"/>
    <n v="30138.75"/>
    <n v="6.077264900222345E-5"/>
    <n v="0.98274603067342559"/>
    <b v="0"/>
  </r>
  <r>
    <n v="190"/>
    <m/>
    <x v="18"/>
    <m/>
    <s v="DELAWARE ELEVATOR INC"/>
    <n v="15639.75"/>
    <n v="3303"/>
    <n v="3179.5"/>
    <n v="4619"/>
    <n v="2476"/>
    <n v="200"/>
    <n v="148"/>
    <n v="539.75"/>
    <n v="30105"/>
    <n v="6.0704594524057467E-5"/>
    <n v="0.98280673526794959"/>
    <b v="0"/>
  </r>
  <r>
    <n v="176"/>
    <m/>
    <x v="18"/>
    <m/>
    <s v="COUNTY HVAC SERVICES INC"/>
    <n v="18579"/>
    <n v="11480"/>
    <n v="0"/>
    <n v="0"/>
    <n v="0"/>
    <n v="0"/>
    <n v="0"/>
    <n v="0"/>
    <n v="30059"/>
    <n v="6.0611838790853458E-5"/>
    <n v="0.9828673471067404"/>
    <b v="0"/>
  </r>
  <r>
    <n v="225"/>
    <m/>
    <x v="18"/>
    <m/>
    <s v="INTELLIGENT MARKING USA INC"/>
    <n v="10000"/>
    <n v="10000"/>
    <n v="10000"/>
    <n v="0"/>
    <n v="0"/>
    <n v="0"/>
    <n v="0"/>
    <n v="0"/>
    <n v="30000"/>
    <n v="6.0492869480874407E-5"/>
    <n v="0.98292783997622124"/>
    <b v="0"/>
  </r>
  <r>
    <n v="271"/>
    <m/>
    <x v="18"/>
    <m/>
    <s v="FOREST VIEW NURSERY INC"/>
    <n v="6709"/>
    <n v="0"/>
    <n v="8782.25"/>
    <n v="14364.25"/>
    <n v="0"/>
    <n v="0"/>
    <n v="0"/>
    <n v="0"/>
    <n v="29855.5"/>
    <n v="6.0201495492874861E-5"/>
    <n v="0.98298804147171415"/>
    <b v="0"/>
  </r>
  <r>
    <n v="2250"/>
    <m/>
    <x v="18"/>
    <m/>
    <s v="AEGIS RESTAURO LLC"/>
    <n v="0"/>
    <n v="0"/>
    <n v="0"/>
    <n v="0"/>
    <n v="0"/>
    <n v="0"/>
    <n v="0"/>
    <n v="29790"/>
    <n v="29790"/>
    <n v="6.0069419394508282E-5"/>
    <n v="0.98304811089110866"/>
    <b v="0"/>
  </r>
  <r>
    <n v="334"/>
    <m/>
    <x v="18"/>
    <m/>
    <s v="MID JERSEY PET SUPPLY"/>
    <n v="3565.69"/>
    <n v="4408.75"/>
    <n v="4755.3500000000004"/>
    <n v="3993.22"/>
    <n v="2781.9"/>
    <n v="3729.5"/>
    <n v="3857.75"/>
    <n v="2686.56"/>
    <n v="29778.720000000005"/>
    <n v="6.0046674075583485E-5"/>
    <n v="0.98310815756518422"/>
    <b v="0"/>
  </r>
  <r>
    <n v="976"/>
    <m/>
    <x v="18"/>
    <m/>
    <s v="N MALLARI GENERAL CONTRACTING CORP"/>
    <n v="0"/>
    <n v="0"/>
    <n v="29579"/>
    <n v="0"/>
    <n v="0"/>
    <n v="0"/>
    <n v="0"/>
    <n v="0"/>
    <n v="29579"/>
    <n v="5.9643952879159466E-5"/>
    <n v="0.98316780151806338"/>
    <b v="0"/>
  </r>
  <r>
    <n v="445"/>
    <m/>
    <x v="18"/>
    <m/>
    <s v="STAPLES ADVANTAGE"/>
    <n v="1258.74"/>
    <n v="2714.42"/>
    <n v="25192.48"/>
    <n v="343.46"/>
    <n v="0"/>
    <n v="0"/>
    <n v="0"/>
    <n v="26.31"/>
    <n v="29535.41"/>
    <n v="5.9556056739803757E-5"/>
    <n v="0.98322735757480317"/>
    <b v="0"/>
  </r>
  <r>
    <n v="1979"/>
    <m/>
    <x v="18"/>
    <m/>
    <s v="ERCO CEILINGS &amp; INTERIORS"/>
    <n v="0"/>
    <n v="0"/>
    <n v="0"/>
    <n v="0"/>
    <n v="0"/>
    <n v="0"/>
    <n v="19900"/>
    <n v="9520"/>
    <n v="29420"/>
    <n v="5.9323340670910834E-5"/>
    <n v="0.98328668091547411"/>
    <b v="0"/>
  </r>
  <r>
    <n v="349"/>
    <m/>
    <x v="18"/>
    <m/>
    <s v="PENN DEL LOCK"/>
    <n v="3168.65"/>
    <n v="5092.5"/>
    <n v="3844.75"/>
    <n v="1149.8499999999999"/>
    <n v="5248.65"/>
    <n v="5268.45"/>
    <n v="3149.05"/>
    <n v="2290.4"/>
    <n v="29212.300000000003"/>
    <n v="5.890452837120492E-5"/>
    <n v="0.98334558544384532"/>
    <b v="0"/>
  </r>
  <r>
    <n v="277"/>
    <m/>
    <x v="18"/>
    <m/>
    <s v="UNITED RENTAL NORTH AMERICA INC"/>
    <n v="6275"/>
    <n v="0"/>
    <n v="2387.3000000000002"/>
    <n v="3112.32"/>
    <n v="3930.19"/>
    <n v="4021.31"/>
    <n v="4625.0200000000004"/>
    <n v="4849.53"/>
    <n v="29200.67"/>
    <n v="5.8881077302136156E-5"/>
    <n v="0.98340446652114744"/>
    <b v="0"/>
  </r>
  <r>
    <n v="2251"/>
    <m/>
    <x v="18"/>
    <m/>
    <s v="DIAMOND MATERIALS LLC"/>
    <n v="0"/>
    <n v="0"/>
    <n v="0"/>
    <n v="0"/>
    <n v="0"/>
    <n v="0"/>
    <n v="0"/>
    <n v="29096.53"/>
    <n v="29096.53"/>
    <n v="5.8671086387878216E-5"/>
    <n v="0.98346313760753534"/>
    <b v="0"/>
  </r>
  <r>
    <n v="746"/>
    <m/>
    <x v="18"/>
    <m/>
    <s v="ZONE STRIPING INC"/>
    <n v="0"/>
    <n v="9543.1"/>
    <n v="0"/>
    <n v="5900"/>
    <n v="0"/>
    <n v="0"/>
    <n v="2272"/>
    <n v="11206.46"/>
    <n v="28921.559999999998"/>
    <n v="5.8318271808775926E-5"/>
    <n v="0.98352145587934414"/>
    <b v="0"/>
  </r>
  <r>
    <n v="1208"/>
    <m/>
    <x v="18"/>
    <m/>
    <s v="FARRELL ROOFING COMPANY"/>
    <n v="0"/>
    <n v="0"/>
    <n v="0"/>
    <n v="18859"/>
    <n v="9950"/>
    <n v="0"/>
    <n v="0"/>
    <n v="0"/>
    <n v="28809"/>
    <n v="5.809130256248369E-5"/>
    <n v="0.98357954718190665"/>
    <b v="0"/>
  </r>
  <r>
    <n v="1757"/>
    <m/>
    <x v="18"/>
    <m/>
    <s v="G M CONSTRUCTION"/>
    <n v="0"/>
    <n v="0"/>
    <n v="0"/>
    <n v="0"/>
    <n v="0"/>
    <n v="1500"/>
    <n v="0"/>
    <n v="27288.25"/>
    <n v="28788.25"/>
    <n v="5.8049461661092749E-5"/>
    <n v="0.98363759664356776"/>
    <b v="0"/>
  </r>
  <r>
    <n v="1330"/>
    <m/>
    <x v="18"/>
    <m/>
    <s v="WEBBYS SEPTIC SERVICES"/>
    <n v="0"/>
    <n v="0"/>
    <n v="0"/>
    <n v="325"/>
    <n v="0"/>
    <n v="0"/>
    <n v="28314"/>
    <n v="0"/>
    <n v="28639"/>
    <n v="5.7748509635425403E-5"/>
    <n v="0.98369534515320323"/>
    <b v="0"/>
  </r>
  <r>
    <n v="727"/>
    <m/>
    <x v="18"/>
    <m/>
    <s v="COASTAL PUMP &amp; TANK INC"/>
    <n v="0"/>
    <n v="15995"/>
    <n v="0"/>
    <n v="0"/>
    <n v="0"/>
    <n v="0"/>
    <n v="8085.71"/>
    <n v="4382.45"/>
    <n v="28463.16"/>
    <n v="5.7393940763108173E-5"/>
    <n v="0.98375273909396632"/>
    <b v="0"/>
  </r>
  <r>
    <n v="224"/>
    <m/>
    <x v="18"/>
    <m/>
    <s v="SEA PORT MARINE CORP"/>
    <n v="10117.4"/>
    <n v="0"/>
    <n v="0"/>
    <n v="7200"/>
    <n v="11110"/>
    <n v="0"/>
    <n v="0"/>
    <n v="0"/>
    <n v="28427.4"/>
    <n v="5.7321833262686975E-5"/>
    <n v="0.983810060927229"/>
    <b v="0"/>
  </r>
  <r>
    <n v="338"/>
    <m/>
    <x v="18"/>
    <m/>
    <s v="ORIGINAL WATERMEN INC"/>
    <n v="3456.7"/>
    <n v="4908.37"/>
    <n v="3206.85"/>
    <n v="4521.2299999999996"/>
    <n v="9150.2900000000009"/>
    <n v="3123.34"/>
    <n v="0"/>
    <n v="0"/>
    <n v="28366.780000000002"/>
    <n v="5.7199597337755952E-5"/>
    <n v="0.98386726052456674"/>
    <b v="0"/>
  </r>
  <r>
    <n v="1716"/>
    <m/>
    <x v="18"/>
    <m/>
    <s v="WEST MARINE"/>
    <n v="0"/>
    <n v="0"/>
    <n v="0"/>
    <n v="0"/>
    <n v="0"/>
    <n v="4256.32"/>
    <n v="13992.97"/>
    <n v="9984.9599999999991"/>
    <n v="28234.25"/>
    <n v="5.6932360004679269E-5"/>
    <n v="0.98392419288457145"/>
    <b v="0"/>
  </r>
  <r>
    <n v="133"/>
    <m/>
    <x v="18"/>
    <m/>
    <s v="PENNONI ASSOC INC"/>
    <n v="28040"/>
    <n v="0"/>
    <n v="0"/>
    <n v="0"/>
    <n v="0"/>
    <n v="0"/>
    <n v="0"/>
    <n v="0"/>
    <n v="28040"/>
    <n v="5.6540668674790611E-5"/>
    <n v="0.98398073355324622"/>
    <b v="0"/>
  </r>
  <r>
    <n v="363"/>
    <m/>
    <x v="18"/>
    <m/>
    <s v="TRI-STATE BATTERY &amp; ALTERNATOR LLC"/>
    <n v="2783.13"/>
    <n v="2613.34"/>
    <n v="15470.94"/>
    <n v="3704.35"/>
    <n v="2338.06"/>
    <n v="1091.6099999999999"/>
    <n v="0"/>
    <n v="0"/>
    <n v="28001.43"/>
    <n v="5.6462895008928036E-5"/>
    <n v="0.98403719644825516"/>
    <b v="0"/>
  </r>
  <r>
    <n v="479"/>
    <m/>
    <x v="18"/>
    <m/>
    <s v="WB MASON COMPANY INC"/>
    <n v="976.25"/>
    <n v="2598.5500000000002"/>
    <n v="1523.52"/>
    <n v="2485.7800000000002"/>
    <n v="2482.37"/>
    <n v="3131.93"/>
    <n v="7469.22"/>
    <n v="7206.45"/>
    <n v="27874.070000000003"/>
    <n v="5.6206082613691899E-5"/>
    <n v="0.98409340253086885"/>
    <b v="0"/>
  </r>
  <r>
    <n v="280"/>
    <m/>
    <x v="18"/>
    <m/>
    <s v="TRUSTEES OF THE UNIV OF PA"/>
    <n v="6072.7"/>
    <n v="11355.65"/>
    <n v="2140"/>
    <n v="741"/>
    <n v="242"/>
    <n v="632.25"/>
    <n v="3104.85"/>
    <n v="3291.1"/>
    <n v="27579.549999999996"/>
    <n v="5.5612203949708313E-5"/>
    <n v="0.98414901473481853"/>
    <b v="0"/>
  </r>
  <r>
    <n v="135"/>
    <m/>
    <x v="18"/>
    <m/>
    <s v="FERRIS HOME IMPROVEMENTS LLC"/>
    <n v="27480"/>
    <n v="0"/>
    <n v="0"/>
    <n v="0"/>
    <n v="0"/>
    <n v="0"/>
    <n v="0"/>
    <n v="0"/>
    <n v="27480"/>
    <n v="5.5411468444480955E-5"/>
    <n v="0.98420442620326298"/>
    <b v="0"/>
  </r>
  <r>
    <n v="1666"/>
    <m/>
    <x v="18"/>
    <m/>
    <s v="ADVANCED PAVEMENT GROUP CORP"/>
    <n v="0"/>
    <n v="0"/>
    <n v="0"/>
    <n v="0"/>
    <n v="0"/>
    <n v="23741.1"/>
    <n v="3664.5"/>
    <n v="0"/>
    <n v="27405.599999999999"/>
    <n v="5.5261446128168382E-5"/>
    <n v="0.9842596876493912"/>
    <b v="0"/>
  </r>
  <r>
    <n v="816"/>
    <m/>
    <x v="18"/>
    <m/>
    <s v="WINDVIEW INC"/>
    <n v="0"/>
    <n v="1500"/>
    <n v="3570"/>
    <n v="1100"/>
    <n v="1050"/>
    <n v="1825"/>
    <n v="5250"/>
    <n v="12950"/>
    <n v="27245"/>
    <n v="5.4937607633547441E-5"/>
    <n v="0.98431462525702473"/>
    <b v="0"/>
  </r>
  <r>
    <n v="1420"/>
    <m/>
    <x v="18"/>
    <m/>
    <s v="DE COLLINS AND COMPANY LLC"/>
    <n v="0"/>
    <n v="0"/>
    <n v="0"/>
    <n v="0"/>
    <n v="16042.19"/>
    <n v="10434"/>
    <n v="750"/>
    <n v="0"/>
    <n v="27226.190000000002"/>
    <n v="5.4899678604382936E-5"/>
    <n v="0.98436952493562913"/>
    <b v="0"/>
  </r>
  <r>
    <n v="1687"/>
    <m/>
    <x v="18"/>
    <m/>
    <s v="THOMAS A COCHRAN &amp; SON INC"/>
    <n v="0"/>
    <n v="0"/>
    <n v="0"/>
    <n v="0"/>
    <n v="0"/>
    <n v="11690"/>
    <n v="15000"/>
    <n v="155"/>
    <n v="26845"/>
    <n v="5.4131036040469112E-5"/>
    <n v="0.98442365597166959"/>
    <b v="0"/>
  </r>
  <r>
    <n v="715"/>
    <m/>
    <x v="18"/>
    <m/>
    <s v="TOWN OF MILLSBORO"/>
    <n v="0"/>
    <n v="26844.3"/>
    <n v="0"/>
    <n v="0"/>
    <n v="0"/>
    <n v="0"/>
    <n v="0"/>
    <n v="0"/>
    <n v="26844.3"/>
    <n v="5.4129624540181225E-5"/>
    <n v="0.9844777855962098"/>
    <b v="0"/>
  </r>
  <r>
    <n v="1127"/>
    <m/>
    <x v="18"/>
    <m/>
    <s v="BURKE EQUIPMENT-SEAFORD, INC."/>
    <n v="0"/>
    <n v="0"/>
    <n v="438.87"/>
    <n v="5504.56"/>
    <n v="20882.72"/>
    <n v="0"/>
    <n v="0"/>
    <n v="0"/>
    <n v="26826.15"/>
    <n v="5.4093026354145298E-5"/>
    <n v="0.98453187862256397"/>
    <b v="0"/>
  </r>
  <r>
    <n v="378"/>
    <m/>
    <x v="18"/>
    <m/>
    <s v="MARY THRESA ALLEN DBA NANTICOKE FENCE"/>
    <n v="2315"/>
    <n v="24446"/>
    <n v="0"/>
    <n v="0"/>
    <n v="0"/>
    <n v="0"/>
    <n v="0"/>
    <n v="0"/>
    <n v="26761"/>
    <n v="5.3961656005922666E-5"/>
    <n v="0.98458584027856988"/>
    <b v="0"/>
  </r>
  <r>
    <n v="244"/>
    <m/>
    <x v="18"/>
    <m/>
    <s v="WORLD FUEL SERVICES INC"/>
    <n v="8281.56"/>
    <n v="18136.16"/>
    <n v="0"/>
    <n v="0"/>
    <n v="0"/>
    <n v="0"/>
    <n v="0"/>
    <n v="0"/>
    <n v="26417.72"/>
    <n v="5.3269456264742846E-5"/>
    <n v="0.98463910973483459"/>
    <b v="0"/>
  </r>
  <r>
    <n v="982"/>
    <m/>
    <x v="18"/>
    <m/>
    <s v="KAM PRODUCTIONS LLC"/>
    <n v="0"/>
    <n v="0"/>
    <n v="21377"/>
    <n v="0"/>
    <n v="0"/>
    <n v="4925"/>
    <n v="0"/>
    <n v="0"/>
    <n v="26302"/>
    <n v="5.3036115102865287E-5"/>
    <n v="0.98469214584993747"/>
    <b v="0"/>
  </r>
  <r>
    <n v="619"/>
    <m/>
    <x v="18"/>
    <m/>
    <s v="GOLF CART SALES AND SERVICE LLC"/>
    <n v="250.23"/>
    <n v="0"/>
    <n v="0"/>
    <n v="25935"/>
    <n v="0"/>
    <n v="0"/>
    <n v="0"/>
    <n v="0"/>
    <n v="26185.23"/>
    <n v="5.2800656690555893E-5"/>
    <n v="0.98474494650662803"/>
    <b v="0"/>
  </r>
  <r>
    <n v="1162"/>
    <m/>
    <x v="18"/>
    <m/>
    <s v="KENT SIGNS COMPANY INC"/>
    <n v="0"/>
    <n v="0"/>
    <n v="185"/>
    <n v="725"/>
    <n v="0"/>
    <n v="3200"/>
    <n v="7230"/>
    <n v="14773"/>
    <n v="26113"/>
    <n v="5.2655010025135774E-5"/>
    <n v="0.98479760151665319"/>
    <b v="0"/>
  </r>
  <r>
    <n v="726"/>
    <m/>
    <x v="18"/>
    <m/>
    <s v="SHADRAN CONSTRUCTION LLC"/>
    <n v="0"/>
    <n v="16250"/>
    <n v="9400"/>
    <n v="0"/>
    <n v="436.4"/>
    <n v="0"/>
    <n v="0"/>
    <n v="0"/>
    <n v="26086.400000000001"/>
    <n v="5.2601373014196069E-5"/>
    <n v="0.9848502028896674"/>
    <b v="0"/>
  </r>
  <r>
    <n v="988"/>
    <m/>
    <x v="18"/>
    <m/>
    <s v="GERARDI SEPTIC SERVICES LLC"/>
    <n v="0"/>
    <n v="0"/>
    <n v="18000"/>
    <n v="1360"/>
    <n v="6250"/>
    <n v="0"/>
    <n v="0"/>
    <n v="450"/>
    <n v="26060"/>
    <n v="5.25481392890529E-5"/>
    <n v="0.98490275102895641"/>
    <b v="0"/>
  </r>
  <r>
    <n v="1991"/>
    <m/>
    <x v="18"/>
    <m/>
    <s v="REYBOLD CONSTRUCTION GROUP LLC"/>
    <n v="0"/>
    <n v="0"/>
    <n v="0"/>
    <n v="0"/>
    <n v="0"/>
    <n v="0"/>
    <n v="12875"/>
    <n v="13155.15"/>
    <n v="26030.15"/>
    <n v="5.248794888391943E-5"/>
    <n v="0.98495523897784032"/>
    <b v="0"/>
  </r>
  <r>
    <n v="245"/>
    <m/>
    <x v="18"/>
    <m/>
    <s v="HILYARDS INC"/>
    <n v="8156.16"/>
    <n v="7733.61"/>
    <n v="3482.32"/>
    <n v="718.75"/>
    <n v="1122.74"/>
    <n v="976.16"/>
    <n v="2353.66"/>
    <n v="1334"/>
    <n v="25877.4"/>
    <n v="5.2179939356812648E-5"/>
    <n v="0.98500741891719712"/>
    <b v="0"/>
  </r>
  <r>
    <n v="978"/>
    <m/>
    <x v="18"/>
    <m/>
    <s v="UNDERGROUND SVCS INC DBA SOFTDIG"/>
    <n v="0"/>
    <n v="0"/>
    <n v="25815"/>
    <n v="0"/>
    <n v="0"/>
    <n v="0"/>
    <n v="0"/>
    <n v="0"/>
    <n v="25815"/>
    <n v="5.2054114188292428E-5"/>
    <n v="0.98505947303138541"/>
    <b v="0"/>
  </r>
  <r>
    <n v="147"/>
    <m/>
    <x v="18"/>
    <m/>
    <s v="JOHNS WELL DRILLING INC"/>
    <n v="24455"/>
    <n v="0"/>
    <n v="0"/>
    <n v="1325"/>
    <n v="0"/>
    <n v="0"/>
    <n v="0"/>
    <n v="0"/>
    <n v="25780"/>
    <n v="5.1983539173898074E-5"/>
    <n v="0.98511145657055932"/>
    <b v="0"/>
  </r>
  <r>
    <n v="189"/>
    <m/>
    <x v="18"/>
    <m/>
    <s v="CLARK &amp; SONS INC"/>
    <n v="15975"/>
    <n v="2210"/>
    <n v="0"/>
    <n v="381"/>
    <n v="217.5"/>
    <n v="1489.5"/>
    <n v="889.5"/>
    <n v="4600"/>
    <n v="25762.5"/>
    <n v="5.1948251666700898E-5"/>
    <n v="0.98516340482222597"/>
    <b v="0"/>
  </r>
  <r>
    <n v="1665"/>
    <m/>
    <x v="18"/>
    <m/>
    <s v="DALE COOPER LLC"/>
    <n v="0"/>
    <n v="0"/>
    <n v="0"/>
    <n v="0"/>
    <n v="0"/>
    <n v="25700"/>
    <n v="0"/>
    <n v="0"/>
    <n v="25700"/>
    <n v="5.1822224855282403E-5"/>
    <n v="0.98521522704708131"/>
    <b v="0"/>
  </r>
  <r>
    <n v="1206"/>
    <m/>
    <x v="18"/>
    <m/>
    <s v="DELL MARKETING LP"/>
    <n v="0"/>
    <n v="0"/>
    <n v="0"/>
    <n v="25680"/>
    <n v="0"/>
    <n v="0"/>
    <n v="0"/>
    <n v="0"/>
    <n v="25680"/>
    <n v="5.1781896275628487E-5"/>
    <n v="0.98526700894335695"/>
    <b v="0"/>
  </r>
  <r>
    <n v="755"/>
    <m/>
    <x v="18"/>
    <m/>
    <s v="NA MASONRY LLC"/>
    <n v="0"/>
    <n v="7550"/>
    <n v="0"/>
    <n v="18100"/>
    <n v="0"/>
    <n v="0"/>
    <n v="0"/>
    <n v="0"/>
    <n v="25650"/>
    <n v="5.1721403406147613E-5"/>
    <n v="0.98531873034676309"/>
    <b v="0"/>
  </r>
  <r>
    <n v="1020"/>
    <m/>
    <x v="18"/>
    <m/>
    <s v="WILLIAM STEELE WELDING &amp; FABRICATION LLC"/>
    <n v="0"/>
    <n v="0"/>
    <n v="7677.82"/>
    <n v="0"/>
    <n v="17735.740000000002"/>
    <n v="0"/>
    <n v="0"/>
    <n v="127.5"/>
    <n v="25541.06"/>
    <n v="5.1501733632772737E-5"/>
    <n v="0.98537023208039587"/>
    <b v="0"/>
  </r>
  <r>
    <n v="279"/>
    <m/>
    <x v="18"/>
    <m/>
    <s v="ALLIED LOCK &amp; SAFE CO"/>
    <n v="6075.25"/>
    <n v="3430.9"/>
    <n v="2119.35"/>
    <n v="7732.25"/>
    <n v="3796.5"/>
    <n v="810.1"/>
    <n v="804.5"/>
    <n v="751.4"/>
    <n v="25520.25"/>
    <n v="5.1459771745642831E-5"/>
    <n v="0.98542169185214146"/>
    <b v="0"/>
  </r>
  <r>
    <n v="716"/>
    <m/>
    <x v="18"/>
    <m/>
    <s v="APEX GRADING &amp; LANDSCAPING"/>
    <n v="0"/>
    <n v="25500"/>
    <n v="0"/>
    <n v="0"/>
    <n v="0"/>
    <n v="0"/>
    <n v="0"/>
    <n v="0"/>
    <n v="25500"/>
    <n v="5.1418939058743243E-5"/>
    <n v="0.98547311079120015"/>
    <b v="0"/>
  </r>
  <r>
    <n v="984"/>
    <m/>
    <x v="18"/>
    <m/>
    <s v="DELMARVA PETROLEUM SERVICE LLC"/>
    <n v="0"/>
    <n v="0"/>
    <n v="19768.400000000001"/>
    <n v="0"/>
    <n v="2090"/>
    <n v="0"/>
    <n v="2063.75"/>
    <n v="1180"/>
    <n v="25102.15"/>
    <n v="5.061670278797772E-5"/>
    <n v="0.98552372749398809"/>
    <b v="0"/>
  </r>
  <r>
    <n v="258"/>
    <m/>
    <x v="18"/>
    <m/>
    <s v="FLOORING SOLUTIONS INC"/>
    <n v="7443"/>
    <n v="0"/>
    <n v="17348"/>
    <n v="0"/>
    <n v="0"/>
    <n v="0"/>
    <n v="60"/>
    <n v="115"/>
    <n v="24966"/>
    <n v="5.0342165981983678E-5"/>
    <n v="0.98557406965997008"/>
    <b v="0"/>
  </r>
  <r>
    <n v="850"/>
    <m/>
    <x v="18"/>
    <m/>
    <s v="COASTAL RENTALS &amp; HYDRAULICS LLC"/>
    <n v="0"/>
    <n v="744.5"/>
    <n v="0"/>
    <n v="6645.5"/>
    <n v="0"/>
    <n v="6496.5"/>
    <n v="0"/>
    <n v="10813.77"/>
    <n v="24700.27"/>
    <n v="4.980634030841192E-5"/>
    <n v="0.98562387600027845"/>
    <b v="0"/>
  </r>
  <r>
    <n v="309"/>
    <m/>
    <x v="18"/>
    <m/>
    <s v="COLLINS MECHANICAL INC"/>
    <n v="4585.63"/>
    <n v="2551.41"/>
    <n v="0"/>
    <n v="0"/>
    <n v="616.5"/>
    <n v="0"/>
    <n v="8854.2099999999991"/>
    <n v="7940"/>
    <n v="24547.75"/>
    <n v="4.9498794559971155E-5"/>
    <n v="0.98567337479483841"/>
    <b v="0"/>
  </r>
  <r>
    <n v="1414"/>
    <m/>
    <x v="18"/>
    <m/>
    <s v="BEYONDGREEN BIOTECH INC"/>
    <n v="0"/>
    <n v="0"/>
    <n v="0"/>
    <n v="0"/>
    <n v="24498.5"/>
    <n v="0"/>
    <n v="0"/>
    <n v="0"/>
    <n v="24498.5"/>
    <n v="4.939948543257339E-5"/>
    <n v="0.985722774280271"/>
    <b v="0"/>
  </r>
  <r>
    <n v="736"/>
    <m/>
    <x v="18"/>
    <m/>
    <s v="MORNINGSTAR GOLF AND HOSPITALITY"/>
    <n v="0"/>
    <n v="12192.57"/>
    <n v="6000"/>
    <n v="6000"/>
    <n v="0"/>
    <n v="0"/>
    <n v="0"/>
    <n v="0"/>
    <n v="24192.57"/>
    <n v="4.8782599313897258E-5"/>
    <n v="0.98577155687958484"/>
    <b v="0"/>
  </r>
  <r>
    <n v="398"/>
    <m/>
    <x v="18"/>
    <m/>
    <s v="GRASSHOPPERS MERMAID"/>
    <n v="1971.5"/>
    <n v="703"/>
    <n v="9013.8799999999992"/>
    <n v="10226.5"/>
    <n v="2210.5"/>
    <n v="0"/>
    <n v="0"/>
    <n v="0"/>
    <n v="24125.379999999997"/>
    <n v="4.8647115450549921E-5"/>
    <n v="0.98582020399503534"/>
    <b v="0"/>
  </r>
  <r>
    <n v="767"/>
    <m/>
    <x v="18"/>
    <m/>
    <s v="FOUR ACRES TRAILER SALES INC"/>
    <n v="0"/>
    <n v="4880"/>
    <n v="13063"/>
    <n v="0"/>
    <n v="2030.75"/>
    <n v="4124"/>
    <n v="0"/>
    <n v="0"/>
    <n v="24097.75"/>
    <n v="4.8591401517758037E-5"/>
    <n v="0.98586879539655314"/>
    <b v="0"/>
  </r>
  <r>
    <n v="1692"/>
    <m/>
    <x v="18"/>
    <m/>
    <s v="HILLCREST ASSOCIATES INC"/>
    <n v="0"/>
    <n v="0"/>
    <n v="0"/>
    <n v="0"/>
    <n v="0"/>
    <n v="10025"/>
    <n v="6000"/>
    <n v="8054"/>
    <n v="24079"/>
    <n v="4.855359347433249E-5"/>
    <n v="0.98591734899002748"/>
    <b v="0"/>
  </r>
  <r>
    <n v="1422"/>
    <m/>
    <x v="18"/>
    <m/>
    <s v="ENVIROCOAT INSTALLATION COMPANY"/>
    <n v="0"/>
    <n v="0"/>
    <n v="0"/>
    <n v="0"/>
    <n v="15284"/>
    <n v="0"/>
    <n v="8746"/>
    <n v="0"/>
    <n v="24030"/>
    <n v="4.8454788454180397E-5"/>
    <n v="0.98596580377848164"/>
    <b v="0"/>
  </r>
  <r>
    <n v="2252"/>
    <m/>
    <x v="18"/>
    <m/>
    <s v="KAY PARK REC CORP"/>
    <n v="0"/>
    <n v="0"/>
    <n v="0"/>
    <n v="0"/>
    <n v="0"/>
    <n v="0"/>
    <n v="0"/>
    <n v="23997.5"/>
    <n v="23997.5"/>
    <n v="4.8389254512242784E-5"/>
    <n v="0.98601419303299387"/>
    <b v="0"/>
  </r>
  <r>
    <n v="151"/>
    <m/>
    <x v="18"/>
    <m/>
    <s v="HOBBS CONTRACTORS"/>
    <n v="23900.400000000001"/>
    <n v="0"/>
    <n v="0"/>
    <n v="0"/>
    <n v="0"/>
    <n v="0"/>
    <n v="0"/>
    <n v="0"/>
    <n v="23900.400000000001"/>
    <n v="4.819345925802302E-5"/>
    <n v="0.98606238649225186"/>
    <b v="0"/>
  </r>
  <r>
    <n v="1362"/>
    <m/>
    <x v="18"/>
    <m/>
    <s v="SHARPGAS INC"/>
    <n v="0"/>
    <n v="0"/>
    <n v="0"/>
    <n v="176.03"/>
    <n v="23652.19"/>
    <n v="0"/>
    <n v="0"/>
    <n v="0"/>
    <n v="23828.219999999998"/>
    <n v="4.8047913414052032E-5"/>
    <n v="0.98611043440566593"/>
    <b v="0"/>
  </r>
  <r>
    <n v="251"/>
    <m/>
    <x v="18"/>
    <m/>
    <s v="FLAME-TECH"/>
    <n v="7833"/>
    <n v="13103.97"/>
    <n v="389.98"/>
    <n v="1049.93"/>
    <n v="609.96"/>
    <n v="284.98"/>
    <n v="234.98"/>
    <n v="234.98"/>
    <n v="23741.78"/>
    <n v="4.7873613292787811E-5"/>
    <n v="0.98615830801895876"/>
    <b v="0"/>
  </r>
  <r>
    <n v="893"/>
    <m/>
    <x v="18"/>
    <m/>
    <s v="MECHANICS PARADISE INC"/>
    <n v="0"/>
    <n v="358"/>
    <n v="700.45"/>
    <n v="8803.44"/>
    <n v="3326.93"/>
    <n v="2696.42"/>
    <n v="1603.57"/>
    <n v="6196.72"/>
    <n v="23685.530000000002"/>
    <n v="4.7760189162511179E-5"/>
    <n v="0.98620606820812129"/>
    <b v="0"/>
  </r>
  <r>
    <n v="981"/>
    <m/>
    <x v="18"/>
    <m/>
    <s v="TOWN OF NEWPORT"/>
    <n v="0"/>
    <n v="0"/>
    <n v="23525"/>
    <n v="0"/>
    <n v="0"/>
    <n v="0"/>
    <n v="0"/>
    <n v="0"/>
    <n v="23525"/>
    <n v="4.743649181791901E-5"/>
    <n v="0.98625350469993922"/>
    <b v="0"/>
  </r>
  <r>
    <n v="1214"/>
    <m/>
    <x v="18"/>
    <m/>
    <s v="VCI MANAGEMENT INC"/>
    <n v="0"/>
    <n v="0"/>
    <n v="0"/>
    <n v="14520"/>
    <n v="0"/>
    <n v="0"/>
    <n v="9000"/>
    <n v="0"/>
    <n v="23520"/>
    <n v="4.7426409673005531E-5"/>
    <n v="0.98630093110961226"/>
    <b v="0"/>
  </r>
  <r>
    <n v="2034"/>
    <m/>
    <x v="18"/>
    <m/>
    <s v="MANSFIELD OIL COMPANY OF GAINESVILLE INC"/>
    <n v="0"/>
    <n v="0"/>
    <n v="0"/>
    <n v="0"/>
    <n v="0"/>
    <n v="0"/>
    <n v="2756.53"/>
    <n v="20701.990000000002"/>
    <n v="23458.52"/>
    <n v="4.7302439619149395E-5"/>
    <n v="0.9863482335492314"/>
    <b v="0"/>
  </r>
  <r>
    <n v="1667"/>
    <m/>
    <x v="18"/>
    <m/>
    <s v="STEEN ASSOCIATES INC"/>
    <n v="0"/>
    <n v="0"/>
    <n v="0"/>
    <n v="0"/>
    <n v="0"/>
    <n v="23450"/>
    <n v="0"/>
    <n v="0"/>
    <n v="23450"/>
    <n v="4.7285259644216824E-5"/>
    <n v="0.98639551880887566"/>
    <b v="0"/>
  </r>
  <r>
    <n v="758"/>
    <m/>
    <x v="18"/>
    <m/>
    <s v="DSP COMMUNICATIONS"/>
    <n v="0"/>
    <n v="7250"/>
    <n v="2900"/>
    <n v="5800"/>
    <n v="2712"/>
    <n v="0"/>
    <n v="4767.5"/>
    <n v="0"/>
    <n v="23429.5"/>
    <n v="4.7243922850071563E-5"/>
    <n v="0.98644276273172571"/>
    <b v="0"/>
  </r>
  <r>
    <n v="720"/>
    <m/>
    <x v="18"/>
    <m/>
    <s v="PRICE PLUMBING LLC"/>
    <n v="0"/>
    <n v="23396"/>
    <n v="0"/>
    <n v="0"/>
    <n v="0"/>
    <n v="0"/>
    <n v="0"/>
    <n v="0"/>
    <n v="23396"/>
    <n v="4.7176372479151252E-5"/>
    <n v="0.9864899391042049"/>
    <b v="0"/>
  </r>
  <r>
    <n v="760"/>
    <m/>
    <x v="18"/>
    <m/>
    <s v="JOHN D HYNES &amp; ASSOCIATES INC"/>
    <n v="0"/>
    <n v="6798"/>
    <n v="0"/>
    <n v="5550"/>
    <n v="0"/>
    <n v="5950"/>
    <n v="0"/>
    <n v="4999"/>
    <n v="23297"/>
    <n v="4.6976746009864369E-5"/>
    <n v="0.98653691585021475"/>
    <b v="0"/>
  </r>
  <r>
    <n v="330"/>
    <m/>
    <x v="18"/>
    <m/>
    <s v="DOVER PLUMBING SUP CO"/>
    <n v="3662.16"/>
    <n v="1439.47"/>
    <n v="4374.17"/>
    <n v="3739.52"/>
    <n v="5355.57"/>
    <n v="2914.91"/>
    <n v="1397.04"/>
    <n v="350.07"/>
    <n v="23232.91"/>
    <n v="4.6847513076363392E-5"/>
    <n v="0.98658376336329112"/>
    <b v="0"/>
  </r>
  <r>
    <n v="301"/>
    <m/>
    <x v="18"/>
    <m/>
    <s v="DF DISTRIBUTION"/>
    <n v="5029.42"/>
    <n v="2936.04"/>
    <n v="3449.04"/>
    <n v="1457.76"/>
    <n v="1153.72"/>
    <n v="2390.54"/>
    <n v="5530.37"/>
    <n v="1247.5"/>
    <n v="23194.39"/>
    <n v="4.6769840231949947E-5"/>
    <n v="0.98663053320352312"/>
    <b v="0"/>
  </r>
  <r>
    <n v="1669"/>
    <m/>
    <x v="18"/>
    <m/>
    <s v="LITECURE LLC"/>
    <n v="0"/>
    <n v="0"/>
    <n v="0"/>
    <n v="0"/>
    <n v="0"/>
    <n v="23100"/>
    <n v="0"/>
    <n v="0"/>
    <n v="23100"/>
    <n v="4.6579509500273293E-5"/>
    <n v="0.98667711271302339"/>
    <b v="0"/>
  </r>
  <r>
    <n v="1210"/>
    <m/>
    <x v="18"/>
    <m/>
    <s v="ZIGGY'S INC"/>
    <n v="0"/>
    <n v="0"/>
    <n v="0"/>
    <n v="16810.599999999999"/>
    <n v="3399"/>
    <n v="0"/>
    <n v="0"/>
    <n v="2706.07"/>
    <n v="22915.67"/>
    <n v="4.6207821145892967E-5"/>
    <n v="0.98672332053416922"/>
    <b v="0"/>
  </r>
  <r>
    <n v="2253"/>
    <m/>
    <x v="18"/>
    <m/>
    <s v="SUMMIT AMERICA INSURANCE SERVICES INC"/>
    <n v="0"/>
    <n v="0"/>
    <n v="0"/>
    <n v="0"/>
    <n v="0"/>
    <n v="0"/>
    <n v="0"/>
    <n v="22781.56"/>
    <n v="22781.56"/>
    <n v="4.5937397855023643E-5"/>
    <n v="0.9867692579320243"/>
    <b v="0"/>
  </r>
  <r>
    <n v="1228"/>
    <m/>
    <x v="18"/>
    <m/>
    <s v="BEACHUM RECREATION"/>
    <n v="0"/>
    <n v="0"/>
    <n v="0"/>
    <n v="6335"/>
    <n v="16300"/>
    <n v="0"/>
    <n v="0"/>
    <n v="0"/>
    <n v="22635"/>
    <n v="4.5641870023319737E-5"/>
    <n v="0.98681489980204762"/>
    <b v="0"/>
  </r>
  <r>
    <n v="213"/>
    <m/>
    <x v="18"/>
    <m/>
    <s v="BRZ PERFORMANCE LLC"/>
    <n v="12186.05"/>
    <n v="10423.5"/>
    <n v="0"/>
    <n v="0"/>
    <n v="0"/>
    <n v="0"/>
    <n v="0"/>
    <n v="0"/>
    <n v="22609.55"/>
    <n v="4.5590551905710128E-5"/>
    <n v="0.98686049035395329"/>
    <b v="0"/>
  </r>
  <r>
    <n v="156"/>
    <m/>
    <x v="18"/>
    <m/>
    <s v="CUSHMAN AND WAKEFIELD US INC"/>
    <n v="22500"/>
    <n v="0"/>
    <n v="0"/>
    <n v="0"/>
    <n v="0"/>
    <n v="0"/>
    <n v="0"/>
    <n v="0"/>
    <n v="22500"/>
    <n v="4.5369652110655804E-5"/>
    <n v="0.98690586000606395"/>
    <b v="0"/>
  </r>
  <r>
    <n v="406"/>
    <m/>
    <x v="18"/>
    <m/>
    <s v="GRAYDON HURST &amp; SON INC"/>
    <n v="1792"/>
    <n v="0"/>
    <n v="7480"/>
    <n v="0"/>
    <n v="0"/>
    <n v="1894"/>
    <n v="9474"/>
    <n v="1579"/>
    <n v="22219"/>
    <n v="4.4803035566518282E-5"/>
    <n v="0.98695066304163048"/>
    <b v="0"/>
  </r>
  <r>
    <n v="740"/>
    <m/>
    <x v="18"/>
    <m/>
    <s v="DELAWARE STATE UNIVERSITY"/>
    <n v="0"/>
    <n v="11000"/>
    <n v="11000"/>
    <n v="0"/>
    <n v="0"/>
    <n v="0"/>
    <n v="0"/>
    <n v="0"/>
    <n v="22000"/>
    <n v="4.4361437619307895E-5"/>
    <n v="0.98699502447924981"/>
    <b v="0"/>
  </r>
  <r>
    <n v="329"/>
    <m/>
    <x v="18"/>
    <m/>
    <s v="DELAWARE ALLIANCE FOR NONPROFIT ADVANCEM"/>
    <n v="3704"/>
    <n v="0"/>
    <n v="0"/>
    <n v="18200"/>
    <n v="0"/>
    <n v="0"/>
    <n v="0"/>
    <n v="0"/>
    <n v="21904"/>
    <n v="4.4167860436969097E-5"/>
    <n v="0.98703919233968673"/>
    <b v="0"/>
  </r>
  <r>
    <n v="1672"/>
    <m/>
    <x v="18"/>
    <m/>
    <s v="SUMMIT NORTH MARINA INC"/>
    <n v="0"/>
    <n v="0"/>
    <n v="0"/>
    <n v="0"/>
    <n v="0"/>
    <n v="21500"/>
    <n v="0"/>
    <n v="375.56"/>
    <n v="21875.56"/>
    <n v="4.411051319670123E-5"/>
    <n v="0.98708330285288348"/>
    <b v="0"/>
  </r>
  <r>
    <n v="181"/>
    <m/>
    <x v="18"/>
    <m/>
    <s v="DOVER ELECTRIC SUP CO"/>
    <n v="17507.98"/>
    <n v="3752.82"/>
    <n v="502.67"/>
    <n v="0"/>
    <n v="0"/>
    <n v="0"/>
    <n v="69.3"/>
    <n v="0"/>
    <n v="21832.769999999997"/>
    <n v="4.4024230200531669E-5"/>
    <n v="0.98712732708308404"/>
    <b v="0"/>
  </r>
  <r>
    <n v="747"/>
    <m/>
    <x v="18"/>
    <m/>
    <s v="DONALD G VARNES &amp; SONS INC"/>
    <n v="0"/>
    <n v="9423"/>
    <n v="0"/>
    <n v="12182"/>
    <n v="0"/>
    <n v="0"/>
    <n v="0"/>
    <n v="0"/>
    <n v="21605"/>
    <n v="4.3564948171143053E-5"/>
    <n v="0.98717089203125519"/>
    <b v="0"/>
  </r>
  <r>
    <n v="1670"/>
    <m/>
    <x v="18"/>
    <m/>
    <s v="COMPASS ENERGY INC"/>
    <n v="0"/>
    <n v="0"/>
    <n v="0"/>
    <n v="0"/>
    <n v="0"/>
    <n v="21600"/>
    <n v="0"/>
    <n v="0"/>
    <n v="21600"/>
    <n v="4.3554866026229574E-5"/>
    <n v="0.98721444689728144"/>
    <b v="0"/>
  </r>
  <r>
    <n v="1671"/>
    <m/>
    <x v="18"/>
    <m/>
    <s v="OPTO INTERMEDIATE HOLDCO INC"/>
    <n v="0"/>
    <n v="0"/>
    <n v="0"/>
    <n v="0"/>
    <n v="0"/>
    <n v="21575.8"/>
    <n v="0"/>
    <n v="0"/>
    <n v="21575.8"/>
    <n v="4.3506068444848334E-5"/>
    <n v="0.98725795296572627"/>
    <b v="0"/>
  </r>
  <r>
    <n v="1674"/>
    <m/>
    <x v="18"/>
    <m/>
    <s v="HERTRICH FLEET SERVICES INC"/>
    <n v="0"/>
    <n v="0"/>
    <n v="0"/>
    <n v="0"/>
    <n v="0"/>
    <n v="21208"/>
    <n v="345"/>
    <n v="0"/>
    <n v="21553"/>
    <n v="4.3460093864042868E-5"/>
    <n v="0.98730141305959029"/>
    <b v="0"/>
  </r>
  <r>
    <n v="1165"/>
    <m/>
    <x v="18"/>
    <m/>
    <s v="NORTHERN SAFETY CO INC"/>
    <n v="0"/>
    <n v="0"/>
    <n v="154.41999999999999"/>
    <n v="0"/>
    <n v="282.67"/>
    <n v="4413.4799999999996"/>
    <n v="3598.95"/>
    <n v="13080.44"/>
    <n v="21529.96"/>
    <n v="4.3413635340281558E-5"/>
    <n v="0.98734482669493062"/>
    <b v="0"/>
  </r>
  <r>
    <n v="160"/>
    <m/>
    <x v="18"/>
    <m/>
    <s v="VILLAGE OF ARDENCROFT"/>
    <n v="21490.36"/>
    <n v="0"/>
    <n v="0"/>
    <n v="0"/>
    <n v="0"/>
    <n v="0"/>
    <n v="0"/>
    <n v="0"/>
    <n v="21490.36"/>
    <n v="4.3333784752566803E-5"/>
    <n v="0.98738816047968314"/>
    <b v="0"/>
  </r>
  <r>
    <n v="209"/>
    <m/>
    <x v="18"/>
    <m/>
    <s v="SHANNAHAN WATER CO INC"/>
    <n v="12630"/>
    <n v="7498.75"/>
    <n v="745.65"/>
    <n v="608.26"/>
    <n v="0"/>
    <n v="0"/>
    <n v="0"/>
    <n v="0"/>
    <n v="21482.66"/>
    <n v="4.3318258249400042E-5"/>
    <n v="0.98743147873793258"/>
    <b v="0"/>
  </r>
  <r>
    <n v="1673"/>
    <m/>
    <x v="18"/>
    <m/>
    <s v="WIGGINS LIFT CO INC"/>
    <n v="0"/>
    <n v="0"/>
    <n v="0"/>
    <n v="0"/>
    <n v="0"/>
    <n v="21437"/>
    <n v="0"/>
    <n v="0"/>
    <n v="21437"/>
    <n v="4.3226188102050154E-5"/>
    <n v="0.98747470492603462"/>
    <b v="0"/>
  </r>
  <r>
    <n v="161"/>
    <m/>
    <x v="18"/>
    <m/>
    <s v="FLETCHER PLUMBING HEATING AC"/>
    <n v="21432.03"/>
    <n v="0"/>
    <n v="0"/>
    <n v="0"/>
    <n v="0"/>
    <n v="0"/>
    <n v="0"/>
    <n v="0"/>
    <n v="21432.03"/>
    <n v="4.321616645000615E-5"/>
    <n v="0.9875179210924846"/>
    <b v="0"/>
  </r>
  <r>
    <n v="813"/>
    <m/>
    <x v="18"/>
    <m/>
    <s v="MILLER ENVIRONMENTAL GROUP INC"/>
    <n v="0"/>
    <n v="1675.08"/>
    <n v="15240.32"/>
    <n v="1226.1300000000001"/>
    <n v="0"/>
    <n v="2388.61"/>
    <n v="0"/>
    <n v="728.37"/>
    <n v="21258.510000000002"/>
    <n v="4.2866275692928785E-5"/>
    <n v="0.98756078736817754"/>
    <b v="0"/>
  </r>
  <r>
    <n v="1213"/>
    <m/>
    <x v="18"/>
    <m/>
    <s v="BRENNANS OFFICE INTERIORS INC"/>
    <n v="0"/>
    <n v="0"/>
    <n v="0"/>
    <n v="14522.25"/>
    <n v="0"/>
    <n v="6662.96"/>
    <n v="0"/>
    <n v="0"/>
    <n v="21185.21"/>
    <n v="4.2718471448497171E-5"/>
    <n v="0.98760350583962608"/>
    <b v="0"/>
  </r>
  <r>
    <n v="327"/>
    <m/>
    <x v="18"/>
    <m/>
    <s v="JERSEY TURF INC"/>
    <n v="3795"/>
    <n v="3595"/>
    <n v="3595"/>
    <n v="3495"/>
    <n v="0"/>
    <n v="0"/>
    <n v="3300"/>
    <n v="3300"/>
    <n v="21080"/>
    <n v="4.2506322955227749E-5"/>
    <n v="0.9876460121625813"/>
    <b v="0"/>
  </r>
  <r>
    <n v="1419"/>
    <m/>
    <x v="18"/>
    <m/>
    <s v="RIGGINS INC"/>
    <n v="0"/>
    <n v="0"/>
    <n v="0"/>
    <n v="0"/>
    <n v="16431.009999999998"/>
    <n v="0"/>
    <n v="4478.01"/>
    <n v="0"/>
    <n v="20909.019999999997"/>
    <n v="4.2161553927766413E-5"/>
    <n v="0.98768817371650908"/>
    <b v="0"/>
  </r>
  <r>
    <n v="333"/>
    <m/>
    <x v="18"/>
    <m/>
    <s v="DOWNEAST CONCEPTS INC"/>
    <n v="3570.82"/>
    <n v="0"/>
    <n v="7229.28"/>
    <n v="3611.61"/>
    <n v="3306.78"/>
    <n v="2208.02"/>
    <n v="0"/>
    <n v="510.71"/>
    <n v="20437.22"/>
    <n v="4.1210202733730533E-5"/>
    <n v="0.98772938391924281"/>
    <b v="0"/>
  </r>
  <r>
    <n v="2063"/>
    <m/>
    <x v="18"/>
    <m/>
    <s v="GANNETT CO INC DBA THE NEWS JOURNAL MEDI"/>
    <n v="0"/>
    <n v="0"/>
    <n v="0"/>
    <n v="0"/>
    <n v="0"/>
    <n v="0"/>
    <n v="1470.06"/>
    <n v="18896.79"/>
    <n v="20366.850000000002"/>
    <n v="4.1068306626218232E-5"/>
    <n v="0.98777045222586901"/>
    <b v="0"/>
  </r>
  <r>
    <n v="1240"/>
    <m/>
    <x v="18"/>
    <m/>
    <s v="F O P Lodge 3"/>
    <n v="0"/>
    <n v="0"/>
    <n v="0"/>
    <n v="4338.3599999999997"/>
    <n v="4974.1099999999997"/>
    <n v="5094.3100000000004"/>
    <n v="2956.8"/>
    <n v="2956.34"/>
    <n v="20319.919999999998"/>
    <n v="4.0973675614060312E-5"/>
    <n v="0.98781142590148308"/>
    <b v="0"/>
  </r>
  <r>
    <n v="1739"/>
    <m/>
    <x v="18"/>
    <m/>
    <s v="ATLANTIC TACTICAL"/>
    <n v="0"/>
    <n v="0"/>
    <n v="0"/>
    <n v="0"/>
    <n v="0"/>
    <n v="2058.7199999999998"/>
    <n v="3916.54"/>
    <n v="14338.83"/>
    <n v="20314.09"/>
    <n v="4.0961919833091195E-5"/>
    <n v="0.98785238782131612"/>
    <b v="0"/>
  </r>
  <r>
    <n v="259"/>
    <m/>
    <x v="18"/>
    <m/>
    <s v="MARTINELLI HOLDINGS LLC"/>
    <n v="7395"/>
    <n v="10295"/>
    <n v="2600"/>
    <n v="0"/>
    <n v="0"/>
    <n v="0"/>
    <n v="0"/>
    <n v="0"/>
    <n v="20290"/>
    <n v="4.0913344058898057E-5"/>
    <n v="0.98789330116537499"/>
    <b v="0"/>
  </r>
  <r>
    <n v="772"/>
    <m/>
    <x v="18"/>
    <m/>
    <s v="TIMOTHY J  SMITH"/>
    <n v="0"/>
    <n v="4500"/>
    <n v="3000"/>
    <n v="0"/>
    <n v="0"/>
    <n v="0"/>
    <n v="9000"/>
    <n v="3750"/>
    <n v="20250"/>
    <n v="4.0832686899590225E-5"/>
    <n v="0.98793413385227458"/>
    <b v="0"/>
  </r>
  <r>
    <n v="360"/>
    <m/>
    <x v="18"/>
    <m/>
    <s v="GEORGE S COYNE CHEMICAL COMPANY"/>
    <n v="2885"/>
    <n v="3406.5"/>
    <n v="1678.5"/>
    <n v="2437"/>
    <n v="3391.5"/>
    <n v="1012.42"/>
    <n v="3013.42"/>
    <n v="2290.42"/>
    <n v="20114.760000000002"/>
    <n v="4.0559985043970446E-5"/>
    <n v="0.98797469383731851"/>
    <b v="0"/>
  </r>
  <r>
    <n v="372"/>
    <m/>
    <x v="18"/>
    <m/>
    <s v="SCOTT C LENOX"/>
    <n v="2500"/>
    <n v="2500"/>
    <n v="2500"/>
    <n v="2500"/>
    <n v="2500"/>
    <n v="2500"/>
    <n v="2500"/>
    <n v="2500"/>
    <n v="20000"/>
    <n v="4.0328579653916267E-5"/>
    <n v="0.98801502241697248"/>
    <b v="0"/>
  </r>
  <r>
    <n v="2002"/>
    <m/>
    <x v="18"/>
    <m/>
    <s v="RICHARD GRUBB AND ASSOCIATES INC"/>
    <n v="0"/>
    <n v="0"/>
    <n v="0"/>
    <n v="0"/>
    <n v="0"/>
    <n v="0"/>
    <n v="7652.76"/>
    <n v="12339.24"/>
    <n v="19992"/>
    <n v="4.0312448222054703E-5"/>
    <n v="0.98805533486519448"/>
    <b v="0"/>
  </r>
  <r>
    <n v="1858"/>
    <m/>
    <x v="18"/>
    <m/>
    <s v="BLUE RIDGE YURTS LLC"/>
    <n v="0"/>
    <n v="0"/>
    <n v="0"/>
    <n v="0"/>
    <n v="0"/>
    <n v="230"/>
    <n v="19445"/>
    <n v="0"/>
    <n v="19675"/>
    <n v="3.9673240234540131E-5"/>
    <n v="0.98809500810542905"/>
    <b v="0"/>
  </r>
  <r>
    <n v="359"/>
    <m/>
    <x v="18"/>
    <m/>
    <s v="SINGER EQUIPMENT CO INC"/>
    <n v="2885.53"/>
    <n v="0"/>
    <n v="16725.86"/>
    <n v="0"/>
    <n v="0"/>
    <n v="0"/>
    <n v="0"/>
    <n v="0"/>
    <n v="19611.39"/>
    <n v="3.9544975186950851E-5"/>
    <n v="0.98813455308061604"/>
    <b v="0"/>
  </r>
  <r>
    <n v="1035"/>
    <m/>
    <x v="18"/>
    <m/>
    <s v="SIR SPEEDY PRINTING WILMINGTON"/>
    <n v="0"/>
    <n v="0"/>
    <n v="5835"/>
    <n v="7601"/>
    <n v="1644"/>
    <n v="0"/>
    <n v="234"/>
    <n v="4272"/>
    <n v="19586"/>
    <n v="3.9493778055080206E-5"/>
    <n v="0.98817404685867116"/>
    <b v="0"/>
  </r>
  <r>
    <n v="731"/>
    <m/>
    <x v="18"/>
    <m/>
    <s v="LUXE APPAREL INC"/>
    <n v="0"/>
    <n v="14347"/>
    <n v="5176"/>
    <n v="0"/>
    <n v="0"/>
    <n v="0"/>
    <n v="0"/>
    <n v="0"/>
    <n v="19523"/>
    <n v="3.9366743029170366E-5"/>
    <n v="0.98821341360170034"/>
    <b v="0"/>
  </r>
  <r>
    <n v="1997"/>
    <m/>
    <x v="18"/>
    <m/>
    <s v="W E SHONE COMPANY DBA SHONE LUMBER"/>
    <n v="0"/>
    <n v="0"/>
    <n v="0"/>
    <n v="0"/>
    <n v="0"/>
    <n v="0"/>
    <n v="9171.82"/>
    <n v="10348.68"/>
    <n v="19520.5"/>
    <n v="3.9361701956713626E-5"/>
    <n v="0.98825277530365707"/>
    <b v="0"/>
  </r>
  <r>
    <n v="199"/>
    <m/>
    <x v="18"/>
    <m/>
    <s v="DAVID BURNINGHAM"/>
    <n v="14350"/>
    <n v="4950"/>
    <n v="0"/>
    <n v="0"/>
    <n v="0"/>
    <n v="0"/>
    <n v="0"/>
    <n v="0"/>
    <n v="19300"/>
    <n v="3.8917079366029198E-5"/>
    <n v="0.98829169238302306"/>
    <b v="0"/>
  </r>
  <r>
    <n v="2254"/>
    <m/>
    <x v="18"/>
    <m/>
    <s v="THE CONSERVATION FUND"/>
    <n v="0"/>
    <n v="0"/>
    <n v="0"/>
    <n v="0"/>
    <n v="0"/>
    <n v="0"/>
    <n v="0"/>
    <n v="19226.5"/>
    <n v="19226.5"/>
    <n v="3.8768871835801061E-5"/>
    <n v="0.98833046125485891"/>
    <b v="0"/>
  </r>
  <r>
    <n v="562"/>
    <m/>
    <x v="18"/>
    <m/>
    <s v="MCCLAFFERTY PRINTING CO"/>
    <n v="487"/>
    <n v="16025"/>
    <n v="979"/>
    <n v="0"/>
    <n v="0"/>
    <n v="0"/>
    <n v="1600"/>
    <n v="0"/>
    <n v="19091"/>
    <n v="3.8495645708645776E-5"/>
    <n v="0.98836895690056759"/>
    <b v="0"/>
  </r>
  <r>
    <n v="172"/>
    <m/>
    <x v="18"/>
    <m/>
    <s v="COASTAL SERVICES LLC"/>
    <n v="19080.5"/>
    <n v="0"/>
    <n v="0"/>
    <n v="0"/>
    <n v="0"/>
    <n v="0"/>
    <n v="0"/>
    <n v="0"/>
    <n v="19080.5"/>
    <n v="3.8474473204327466E-5"/>
    <n v="0.98840743137377196"/>
    <b v="0"/>
  </r>
  <r>
    <n v="253"/>
    <m/>
    <x v="18"/>
    <m/>
    <s v="CMI ELECTRIC INC"/>
    <n v="7609"/>
    <n v="3550"/>
    <n v="0"/>
    <n v="871"/>
    <n v="0"/>
    <n v="4800"/>
    <n v="2200"/>
    <n v="0"/>
    <n v="19030"/>
    <n v="3.8372643540701331E-5"/>
    <n v="0.98844580401731263"/>
    <b v="0"/>
  </r>
  <r>
    <n v="985"/>
    <m/>
    <x v="18"/>
    <m/>
    <s v="LARS GRANHOLM"/>
    <n v="0"/>
    <n v="0"/>
    <n v="19015"/>
    <n v="0"/>
    <n v="0"/>
    <n v="0"/>
    <n v="0"/>
    <n v="0"/>
    <n v="19015"/>
    <n v="3.8342397105960894E-5"/>
    <n v="0.98848414641441862"/>
    <b v="0"/>
  </r>
  <r>
    <n v="1416"/>
    <m/>
    <x v="18"/>
    <m/>
    <s v="PENNY ENTERPRISES INC"/>
    <n v="0"/>
    <n v="0"/>
    <n v="0"/>
    <n v="0"/>
    <n v="19000"/>
    <n v="0"/>
    <n v="0"/>
    <n v="0"/>
    <n v="19000"/>
    <n v="3.8312150671220456E-5"/>
    <n v="0.9885224585650898"/>
    <b v="0"/>
  </r>
  <r>
    <n v="1450"/>
    <m/>
    <x v="18"/>
    <m/>
    <s v="THE CLASS PRODUCE GROUP"/>
    <n v="0"/>
    <n v="0"/>
    <n v="0"/>
    <n v="0"/>
    <n v="3810.46"/>
    <n v="5348.54"/>
    <n v="3841.16"/>
    <n v="5966.72"/>
    <n v="18966.88"/>
    <n v="3.8245366543313575E-5"/>
    <n v="0.98856070393163309"/>
    <b v="0"/>
  </r>
  <r>
    <n v="1686"/>
    <m/>
    <x v="18"/>
    <m/>
    <s v="DELAWARE GLASS SERVICES INC"/>
    <n v="0"/>
    <n v="0"/>
    <n v="0"/>
    <n v="0"/>
    <n v="0"/>
    <n v="11760"/>
    <n v="7160"/>
    <n v="0"/>
    <n v="18920"/>
    <n v="3.8150836352604792E-5"/>
    <n v="0.9885988547679857"/>
    <b v="0"/>
  </r>
  <r>
    <n v="1014"/>
    <m/>
    <x v="18"/>
    <m/>
    <s v="ALL OUT SERVICES LLC"/>
    <n v="0"/>
    <n v="0"/>
    <n v="8920.77"/>
    <n v="9999"/>
    <n v="0"/>
    <n v="0"/>
    <n v="0"/>
    <n v="0"/>
    <n v="18919.77"/>
    <n v="3.8150372573938774E-5"/>
    <n v="0.98863700514055963"/>
    <b v="0"/>
  </r>
  <r>
    <n v="472"/>
    <m/>
    <x v="18"/>
    <m/>
    <s v="WAYMAN FIRE PROTECTION INC"/>
    <n v="1000"/>
    <n v="500"/>
    <n v="1787"/>
    <n v="320"/>
    <n v="1819"/>
    <n v="8793"/>
    <n v="3710.5"/>
    <n v="900"/>
    <n v="18829.5"/>
    <n v="3.7968349529670818E-5"/>
    <n v="0.98867497349008926"/>
    <b v="0"/>
  </r>
  <r>
    <n v="1998"/>
    <m/>
    <x v="18"/>
    <m/>
    <s v="MULTI-PAK USA INC"/>
    <n v="0"/>
    <n v="0"/>
    <n v="0"/>
    <n v="0"/>
    <n v="0"/>
    <n v="0"/>
    <n v="9079.25"/>
    <n v="9723.36"/>
    <n v="18802.61"/>
    <n v="3.791412775432613E-5"/>
    <n v="0.98871288761784359"/>
    <b v="0"/>
  </r>
  <r>
    <n v="493"/>
    <m/>
    <x v="18"/>
    <m/>
    <s v="ARDENTE VETERINARY NUTRITION LLC"/>
    <n v="840"/>
    <n v="4165"/>
    <n v="5280"/>
    <n v="4000"/>
    <n v="4500"/>
    <n v="0"/>
    <n v="0"/>
    <n v="0"/>
    <n v="18785"/>
    <n v="3.7878618439940859E-5"/>
    <n v="0.98875076623628355"/>
    <b v="0"/>
  </r>
  <r>
    <n v="741"/>
    <m/>
    <x v="18"/>
    <m/>
    <s v="SEMAKI &amp; BIRD"/>
    <n v="0"/>
    <n v="10008.959999999999"/>
    <n v="8757.11"/>
    <n v="0"/>
    <n v="0"/>
    <n v="0"/>
    <n v="0"/>
    <n v="0"/>
    <n v="18766.07"/>
    <n v="3.7840447439298425E-5"/>
    <n v="0.98878860668372281"/>
    <b v="0"/>
  </r>
  <r>
    <n v="1041"/>
    <m/>
    <x v="18"/>
    <m/>
    <s v="COMMON GROUND DISTRIBUTORS"/>
    <n v="0"/>
    <n v="0"/>
    <n v="4510.93"/>
    <n v="2903.46"/>
    <n v="1384.8"/>
    <n v="2991.11"/>
    <n v="3001.55"/>
    <n v="3940.43"/>
    <n v="18732.280000000002"/>
    <n v="3.7772312303973139E-5"/>
    <n v="0.98882637899602677"/>
    <b v="0"/>
  </r>
  <r>
    <n v="1025"/>
    <m/>
    <x v="18"/>
    <m/>
    <s v="MILES PARTNERSHIP LLLP"/>
    <n v="0"/>
    <n v="0"/>
    <n v="7000"/>
    <n v="6000"/>
    <n v="5000"/>
    <n v="672.84"/>
    <n v="0"/>
    <n v="0"/>
    <n v="18672.84"/>
    <n v="3.7652455765241694E-5"/>
    <n v="0.98886403145179202"/>
    <b v="0"/>
  </r>
  <r>
    <n v="1745"/>
    <m/>
    <x v="18"/>
    <m/>
    <s v="Maryland Child Support Account"/>
    <n v="0"/>
    <n v="0"/>
    <n v="0"/>
    <n v="0"/>
    <n v="0"/>
    <n v="1813.4"/>
    <n v="8712.08"/>
    <n v="8048.33"/>
    <n v="18573.809999999998"/>
    <n v="3.7452768803085321E-5"/>
    <n v="0.9889014842205951"/>
    <b v="0"/>
  </r>
  <r>
    <n v="762"/>
    <m/>
    <x v="18"/>
    <m/>
    <s v="CARMEAN APPRAISAL GROUP"/>
    <n v="0"/>
    <n v="6000"/>
    <n v="2500"/>
    <n v="2500"/>
    <n v="0"/>
    <n v="2000"/>
    <n v="5500"/>
    <n v="0"/>
    <n v="18500"/>
    <n v="3.7303936179872548E-5"/>
    <n v="0.98893878815677494"/>
    <b v="0"/>
  </r>
  <r>
    <n v="289"/>
    <m/>
    <x v="18"/>
    <m/>
    <s v="BSN SPORTS LLC"/>
    <n v="5604.48"/>
    <n v="4873.49"/>
    <n v="5098.18"/>
    <n v="2836.65"/>
    <n v="0"/>
    <n v="0"/>
    <n v="0"/>
    <n v="0"/>
    <n v="18412.8"/>
    <n v="3.7128103572581475E-5"/>
    <n v="0.98897591626034753"/>
    <b v="0"/>
  </r>
  <r>
    <n v="323"/>
    <m/>
    <x v="18"/>
    <m/>
    <s v="AQUAFLOW PUMP &amp; SUPPLY CO"/>
    <n v="3960.06"/>
    <n v="3050.42"/>
    <n v="4759.43"/>
    <n v="1842.76"/>
    <n v="3157.86"/>
    <n v="1542.24"/>
    <n v="0"/>
    <n v="0"/>
    <n v="18312.77"/>
    <n v="3.6926400181442412E-5"/>
    <n v="0.98901284266052902"/>
    <b v="0"/>
  </r>
  <r>
    <n v="269"/>
    <m/>
    <x v="18"/>
    <m/>
    <s v="ULTRACAMP LLC"/>
    <n v="6746.26"/>
    <n v="5622.4"/>
    <n v="5927.93"/>
    <n v="0"/>
    <n v="0"/>
    <n v="0"/>
    <n v="0"/>
    <n v="0"/>
    <n v="18296.59"/>
    <n v="3.6893774360502397E-5"/>
    <n v="0.98904973643488947"/>
    <b v="0"/>
  </r>
  <r>
    <n v="179"/>
    <m/>
    <x v="18"/>
    <m/>
    <s v="RJ THOMAS MANUFACTURING CO"/>
    <n v="18248.75"/>
    <n v="0"/>
    <n v="0"/>
    <n v="0"/>
    <n v="0"/>
    <n v="0"/>
    <n v="0"/>
    <n v="0"/>
    <n v="18248.75"/>
    <n v="3.6797308397970227E-5"/>
    <n v="0.98908653374328748"/>
    <b v="0"/>
  </r>
  <r>
    <n v="1234"/>
    <m/>
    <x v="18"/>
    <m/>
    <s v="BURNS &amp; MCBRIDE INC"/>
    <n v="0"/>
    <n v="0"/>
    <n v="0"/>
    <n v="4666.6000000000004"/>
    <n v="7719.3"/>
    <n v="3604"/>
    <n v="1045"/>
    <n v="1201"/>
    <n v="18235.900000000001"/>
    <n v="3.6771397285542589E-5"/>
    <n v="0.98912330514057301"/>
    <b v="0"/>
  </r>
  <r>
    <n v="379"/>
    <m/>
    <x v="18"/>
    <m/>
    <s v="CHESAPEAKE UTILITIES CORPORATION"/>
    <n v="2305.31"/>
    <n v="1929.22"/>
    <n v="2372.91"/>
    <n v="2572.62"/>
    <n v="2318.85"/>
    <n v="1975.44"/>
    <n v="2142.9699999999998"/>
    <n v="2604.11"/>
    <n v="18221.43"/>
    <n v="3.674221955816298E-5"/>
    <n v="0.98916004736013119"/>
    <b v="0"/>
  </r>
  <r>
    <n v="991"/>
    <m/>
    <x v="18"/>
    <m/>
    <s v="WHITE DOVE MATTRESS LLC"/>
    <n v="0"/>
    <n v="0"/>
    <n v="17160"/>
    <n v="0"/>
    <n v="0"/>
    <n v="0"/>
    <n v="900"/>
    <n v="0"/>
    <n v="18060"/>
    <n v="3.6416707427486394E-5"/>
    <n v="0.98919646406755868"/>
    <b v="0"/>
  </r>
  <r>
    <n v="1444"/>
    <m/>
    <x v="18"/>
    <m/>
    <s v="U S ARMY CORPS OF ENGINEERS"/>
    <n v="0"/>
    <n v="0"/>
    <n v="0"/>
    <n v="0"/>
    <n v="4500"/>
    <n v="4500"/>
    <n v="6000"/>
    <n v="3000"/>
    <n v="18000"/>
    <n v="3.6295721688524646E-5"/>
    <n v="0.98923275978924718"/>
    <b v="0"/>
  </r>
  <r>
    <n v="1676"/>
    <m/>
    <x v="18"/>
    <m/>
    <s v="POWER SOLUTIONS ASSOCIATES"/>
    <n v="0"/>
    <n v="0"/>
    <n v="0"/>
    <n v="0"/>
    <n v="0"/>
    <n v="17865"/>
    <n v="0"/>
    <n v="0"/>
    <n v="17865"/>
    <n v="3.6023503775860706E-5"/>
    <n v="0.98926878329302304"/>
    <b v="0"/>
  </r>
  <r>
    <n v="1417"/>
    <m/>
    <x v="18"/>
    <m/>
    <s v="NATIONWIDE PROPERTY &amp; APPRAISAL SERVICES"/>
    <n v="0"/>
    <n v="0"/>
    <n v="0"/>
    <n v="0"/>
    <n v="17812.5"/>
    <n v="0"/>
    <n v="0"/>
    <n v="0"/>
    <n v="17812.5"/>
    <n v="3.5917641254269176E-5"/>
    <n v="0.98930470093427736"/>
    <b v="0"/>
  </r>
  <r>
    <n v="1750"/>
    <m/>
    <x v="18"/>
    <m/>
    <s v="SHORE AQUARIUM SERVICES INC"/>
    <n v="0"/>
    <n v="0"/>
    <n v="0"/>
    <n v="0"/>
    <n v="0"/>
    <n v="1625"/>
    <n v="15490"/>
    <n v="642"/>
    <n v="17757"/>
    <n v="3.5805729445729561E-5"/>
    <n v="0.98934050666372308"/>
    <b v="0"/>
  </r>
  <r>
    <n v="180"/>
    <m/>
    <x v="18"/>
    <m/>
    <s v="CHARLES RITCHIE"/>
    <n v="17725"/>
    <n v="0"/>
    <n v="0"/>
    <n v="0"/>
    <n v="0"/>
    <n v="0"/>
    <n v="0"/>
    <n v="0"/>
    <n v="17725"/>
    <n v="3.5741203718283293E-5"/>
    <n v="0.98937624786744138"/>
    <b v="0"/>
  </r>
  <r>
    <n v="373"/>
    <m/>
    <x v="18"/>
    <m/>
    <s v="MEECO SULLIVAN, LLC"/>
    <n v="2451"/>
    <n v="0"/>
    <n v="15259.5"/>
    <n v="0"/>
    <n v="0"/>
    <n v="0"/>
    <n v="0"/>
    <n v="0"/>
    <n v="17710.5"/>
    <n v="3.5711965498034208E-5"/>
    <n v="0.98941195983293939"/>
    <b v="0"/>
  </r>
  <r>
    <n v="870"/>
    <m/>
    <x v="18"/>
    <m/>
    <s v="LEADING EDGE GATES AND CONTROLS LLC"/>
    <n v="0"/>
    <n v="550"/>
    <n v="0"/>
    <n v="8740"/>
    <n v="825"/>
    <n v="575"/>
    <n v="4887.5"/>
    <n v="2050"/>
    <n v="17627.5"/>
    <n v="3.5544601892470452E-5"/>
    <n v="0.98944750443483187"/>
    <b v="0"/>
  </r>
  <r>
    <n v="313"/>
    <m/>
    <x v="18"/>
    <m/>
    <s v="FRED MITSDARFER"/>
    <n v="4445"/>
    <n v="7660"/>
    <n v="5400"/>
    <n v="0"/>
    <n v="0"/>
    <n v="0"/>
    <n v="0"/>
    <n v="0"/>
    <n v="17505"/>
    <n v="3.5297589342090216E-5"/>
    <n v="0.98948280202417394"/>
    <b v="0"/>
  </r>
  <r>
    <n v="2018"/>
    <m/>
    <x v="18"/>
    <m/>
    <s v="TUDOR ELECTRIC INC"/>
    <n v="0"/>
    <n v="0"/>
    <n v="0"/>
    <n v="0"/>
    <n v="0"/>
    <n v="0"/>
    <n v="4288.3"/>
    <n v="13145.65"/>
    <n v="17433.95"/>
    <n v="3.5154322062869682E-5"/>
    <n v="0.98951795634623685"/>
    <b v="0"/>
  </r>
  <r>
    <n v="229"/>
    <m/>
    <x v="18"/>
    <m/>
    <s v="LIFETIME WELL DRILLING CO INC"/>
    <n v="9315"/>
    <n v="0"/>
    <n v="0"/>
    <n v="300"/>
    <n v="500"/>
    <n v="6875"/>
    <n v="0"/>
    <n v="350"/>
    <n v="17340"/>
    <n v="3.4964878559945408E-5"/>
    <n v="0.98955292122479677"/>
    <b v="0"/>
  </r>
  <r>
    <n v="400"/>
    <m/>
    <x v="18"/>
    <m/>
    <s v="REPROGRAPHICS CENTER INC"/>
    <n v="1897.96"/>
    <n v="2282.94"/>
    <n v="1811.89"/>
    <n v="783.26"/>
    <n v="3104.3"/>
    <n v="2679.41"/>
    <n v="4645.45"/>
    <n v="87.75"/>
    <n v="17292.96"/>
    <n v="3.4870025740599393E-5"/>
    <n v="0.98958779125053742"/>
    <b v="0"/>
  </r>
  <r>
    <n v="239"/>
    <m/>
    <x v="18"/>
    <m/>
    <s v="RODENTPRO COM LLC"/>
    <n v="8479.2999999999993"/>
    <n v="8758.07"/>
    <n v="0"/>
    <n v="0"/>
    <n v="0"/>
    <n v="0"/>
    <n v="0"/>
    <n v="0"/>
    <n v="17237.37"/>
    <n v="3.4757932453451332E-5"/>
    <n v="0.98962254918299086"/>
    <b v="0"/>
  </r>
  <r>
    <n v="1677"/>
    <m/>
    <x v="18"/>
    <m/>
    <s v="INSIGHT PUBLIC SECTOR"/>
    <n v="0"/>
    <n v="0"/>
    <n v="0"/>
    <n v="0"/>
    <n v="0"/>
    <n v="17158.009999999998"/>
    <n v="0"/>
    <n v="0"/>
    <n v="17158.009999999998"/>
    <n v="3.459790864938459E-5"/>
    <n v="0.98965714709164021"/>
    <b v="0"/>
  </r>
  <r>
    <n v="1718"/>
    <m/>
    <x v="18"/>
    <m/>
    <s v="COMMERCE CONSTRUCTION CORPORATION"/>
    <n v="0"/>
    <n v="0"/>
    <n v="0"/>
    <n v="0"/>
    <n v="0"/>
    <n v="4145.68"/>
    <n v="4071.44"/>
    <n v="8858.17"/>
    <n v="17075.29"/>
    <n v="3.4431109643935996E-5"/>
    <n v="0.98969157820128417"/>
    <b v="0"/>
  </r>
  <r>
    <n v="222"/>
    <m/>
    <x v="18"/>
    <m/>
    <s v="STATE OF MARYLAND"/>
    <n v="10272.5"/>
    <n v="0"/>
    <n v="0"/>
    <n v="0"/>
    <n v="6800"/>
    <n v="0"/>
    <n v="0"/>
    <n v="0"/>
    <n v="17072.5"/>
    <n v="3.4425483807074274E-5"/>
    <n v="0.98972600368509123"/>
    <b v="0"/>
  </r>
  <r>
    <n v="1981"/>
    <m/>
    <x v="18"/>
    <m/>
    <s v="TURNER SCULPTURE"/>
    <n v="0"/>
    <n v="0"/>
    <n v="0"/>
    <n v="0"/>
    <n v="0"/>
    <n v="0"/>
    <n v="17000"/>
    <n v="0"/>
    <n v="17000"/>
    <n v="3.4279292705828828E-5"/>
    <n v="0.98976028297779706"/>
    <b v="0"/>
  </r>
  <r>
    <n v="1418"/>
    <m/>
    <x v="18"/>
    <m/>
    <s v=".CHANCELLOR LANE LLC"/>
    <n v="0"/>
    <n v="0"/>
    <n v="0"/>
    <n v="0"/>
    <n v="16990"/>
    <n v="0"/>
    <n v="0"/>
    <n v="0"/>
    <n v="16990"/>
    <n v="3.425912841600187E-5"/>
    <n v="0.98979454210621309"/>
    <b v="0"/>
  </r>
  <r>
    <n v="361"/>
    <m/>
    <x v="18"/>
    <m/>
    <s v="ADVANCED STUDENT TRANSPORTATION INC"/>
    <n v="2850"/>
    <n v="5385"/>
    <n v="0"/>
    <n v="0"/>
    <n v="0"/>
    <n v="3307"/>
    <n v="2584"/>
    <n v="2855"/>
    <n v="16981"/>
    <n v="3.4240980555157609E-5"/>
    <n v="0.98982878308676825"/>
    <b v="0"/>
  </r>
  <r>
    <n v="236"/>
    <m/>
    <x v="18"/>
    <m/>
    <s v="WILLIAM N CANN INC"/>
    <n v="8735"/>
    <n v="0"/>
    <n v="2394"/>
    <n v="733"/>
    <n v="828"/>
    <n v="0"/>
    <n v="2623"/>
    <n v="1579.05"/>
    <n v="16892.05"/>
    <n v="3.4061619197146815E-5"/>
    <n v="0.98986284470596542"/>
    <b v="0"/>
  </r>
  <r>
    <n v="771"/>
    <m/>
    <x v="18"/>
    <m/>
    <s v="NAGS HEAD ART INC"/>
    <n v="0"/>
    <n v="4541.9799999999996"/>
    <n v="2267.7399999999998"/>
    <n v="2189.3000000000002"/>
    <n v="2076.34"/>
    <n v="1627.61"/>
    <n v="1937.09"/>
    <n v="2225.25"/>
    <n v="16865.310000000001"/>
    <n v="3.4007699886149532E-5"/>
    <n v="0.98989685240585157"/>
    <b v="0"/>
  </r>
  <r>
    <n v="306"/>
    <m/>
    <x v="18"/>
    <m/>
    <s v="CBRE INC"/>
    <n v="4800"/>
    <n v="7000"/>
    <n v="5000"/>
    <n v="0"/>
    <n v="0"/>
    <n v="0"/>
    <n v="0"/>
    <n v="0"/>
    <n v="16800"/>
    <n v="3.3876006909289668E-5"/>
    <n v="0.98993072841276086"/>
    <b v="0"/>
  </r>
  <r>
    <n v="993"/>
    <m/>
    <x v="18"/>
    <m/>
    <s v="SMITH ROOT INC"/>
    <n v="0"/>
    <n v="0"/>
    <n v="16730"/>
    <n v="0"/>
    <n v="0"/>
    <n v="0"/>
    <n v="0"/>
    <n v="0"/>
    <n v="16730"/>
    <n v="3.3734856880500961E-5"/>
    <n v="0.98996446326964138"/>
    <b v="0"/>
  </r>
  <r>
    <n v="994"/>
    <m/>
    <x v="18"/>
    <m/>
    <s v="SCHWARTZ &amp; SCHWARTZ P A"/>
    <n v="0"/>
    <n v="0"/>
    <n v="16680"/>
    <n v="0"/>
    <n v="0"/>
    <n v="0"/>
    <n v="0"/>
    <n v="0"/>
    <n v="16680"/>
    <n v="3.3634035431366171E-5"/>
    <n v="0.98999809730507271"/>
    <b v="0"/>
  </r>
  <r>
    <n v="1425"/>
    <m/>
    <x v="18"/>
    <m/>
    <s v="PHYSIO CONTROL INC"/>
    <n v="0"/>
    <n v="0"/>
    <n v="0"/>
    <n v="0"/>
    <n v="11364"/>
    <n v="0"/>
    <n v="173.76"/>
    <n v="5053.96"/>
    <n v="16591.72"/>
    <n v="3.3456025080773788E-5"/>
    <n v="0.99003155333015347"/>
    <b v="0"/>
  </r>
  <r>
    <n v="187"/>
    <m/>
    <x v="18"/>
    <m/>
    <s v="MEAD AND HUNT INC"/>
    <n v="16447"/>
    <n v="0"/>
    <n v="0"/>
    <n v="0"/>
    <n v="0"/>
    <n v="0"/>
    <n v="0"/>
    <n v="0"/>
    <n v="16447"/>
    <n v="3.3164207478398045E-5"/>
    <n v="0.99006471753763192"/>
    <b v="0"/>
  </r>
  <r>
    <n v="223"/>
    <m/>
    <x v="18"/>
    <m/>
    <s v="KRAEMER INDUSTRIAL SERVICES"/>
    <n v="10184.58"/>
    <n v="6259"/>
    <n v="0"/>
    <n v="0"/>
    <n v="0"/>
    <n v="0"/>
    <n v="0"/>
    <n v="0"/>
    <n v="16443.580000000002"/>
    <n v="3.3157311291277228E-5"/>
    <n v="0.9900978748489232"/>
    <b v="0"/>
  </r>
  <r>
    <n v="321"/>
    <m/>
    <x v="18"/>
    <m/>
    <s v="ANIMAL HEALTH SALES"/>
    <n v="4029"/>
    <n v="1560"/>
    <n v="936"/>
    <n v="2652"/>
    <n v="3240"/>
    <n v="2262"/>
    <n v="1718"/>
    <n v="0"/>
    <n v="16397"/>
    <n v="3.3063386029263255E-5"/>
    <n v="0.99013093823495246"/>
    <b v="0"/>
  </r>
  <r>
    <n v="386"/>
    <m/>
    <x v="18"/>
    <m/>
    <s v="PAYROLL MANAGEMENT ASSISTANCE"/>
    <n v="2167.65"/>
    <n v="1956.2"/>
    <n v="2827.55"/>
    <n v="3204.15"/>
    <n v="0"/>
    <n v="1641.7"/>
    <n v="2500.4499999999998"/>
    <n v="1972.2"/>
    <n v="16269.900000000001"/>
    <n v="3.2807097905562617E-5"/>
    <n v="0.990163745332858"/>
    <b v="0"/>
  </r>
  <r>
    <n v="344"/>
    <m/>
    <x v="18"/>
    <m/>
    <s v="ANACONDA PROTECTIVE CONCEPTS"/>
    <n v="3333"/>
    <n v="0"/>
    <n v="2227.5"/>
    <n v="657"/>
    <n v="3834"/>
    <n v="2558.75"/>
    <n v="1477"/>
    <n v="2172.5"/>
    <n v="16259.75"/>
    <n v="3.2786631151388254E-5"/>
    <n v="0.99019653196400936"/>
    <b v="0"/>
  </r>
  <r>
    <n v="995"/>
    <m/>
    <x v="18"/>
    <m/>
    <s v="MINXRAY INC"/>
    <n v="0"/>
    <n v="0"/>
    <n v="16127.46"/>
    <n v="0"/>
    <n v="0"/>
    <n v="0"/>
    <n v="0"/>
    <n v="0"/>
    <n v="16127.46"/>
    <n v="3.2519877761267423E-5"/>
    <n v="0.99022905184177068"/>
    <b v="0"/>
  </r>
  <r>
    <n v="1170"/>
    <m/>
    <x v="18"/>
    <m/>
    <s v="FARNANS LOCK SERVICE"/>
    <n v="0"/>
    <n v="0"/>
    <n v="150"/>
    <n v="1516.5"/>
    <n v="1772.5"/>
    <n v="2829.75"/>
    <n v="8227.4"/>
    <n v="1606.5"/>
    <n v="16102.65"/>
    <n v="3.2469850158206743E-5"/>
    <n v="0.99026152169192894"/>
    <b v="0"/>
  </r>
  <r>
    <n v="293"/>
    <m/>
    <x v="18"/>
    <m/>
    <s v="WORLD END IMPORTS"/>
    <n v="5437.03"/>
    <n v="4983.7700000000004"/>
    <n v="2629.79"/>
    <n v="2047.57"/>
    <n v="0"/>
    <n v="964.81"/>
    <n v="0"/>
    <n v="0"/>
    <n v="16062.97"/>
    <n v="3.2389838256173368E-5"/>
    <n v="0.99029391153018509"/>
    <b v="0"/>
  </r>
  <r>
    <n v="1680"/>
    <m/>
    <x v="18"/>
    <m/>
    <s v="B &amp; H FOTO &amp; ELECTRONICS CORP"/>
    <n v="0"/>
    <n v="0"/>
    <n v="0"/>
    <n v="0"/>
    <n v="0"/>
    <n v="16000"/>
    <n v="0"/>
    <n v="0"/>
    <n v="16000"/>
    <n v="3.2262863723133018E-5"/>
    <n v="0.99032617439390824"/>
    <b v="0"/>
  </r>
  <r>
    <n v="1264"/>
    <m/>
    <x v="18"/>
    <m/>
    <s v="RUMSEY ELECTRIC COMPANY INC"/>
    <n v="0"/>
    <n v="0"/>
    <n v="0"/>
    <n v="1761.97"/>
    <n v="1600.32"/>
    <n v="2104.7600000000002"/>
    <n v="3394.93"/>
    <n v="7124.27"/>
    <n v="15986.25"/>
    <n v="3.223513782462095E-5"/>
    <n v="0.99035840953173282"/>
    <b v="0"/>
  </r>
  <r>
    <n v="1421"/>
    <m/>
    <x v="18"/>
    <m/>
    <s v="HYMAN REIVER &amp; CO"/>
    <n v="0"/>
    <n v="0"/>
    <n v="0"/>
    <n v="0"/>
    <n v="15770"/>
    <n v="0"/>
    <n v="0"/>
    <n v="0"/>
    <n v="15770"/>
    <n v="3.1799085057112976E-5"/>
    <n v="0.99039020861678995"/>
    <b v="0"/>
  </r>
  <r>
    <n v="1681"/>
    <m/>
    <x v="18"/>
    <m/>
    <s v="STRATEGIC PERFORMANCE GROUP LLC"/>
    <n v="0"/>
    <n v="0"/>
    <n v="0"/>
    <n v="0"/>
    <n v="0"/>
    <n v="15700"/>
    <n v="0"/>
    <n v="0"/>
    <n v="15700"/>
    <n v="3.165793502832427E-5"/>
    <n v="0.9904218665518183"/>
    <b v="0"/>
  </r>
  <r>
    <n v="352"/>
    <m/>
    <x v="18"/>
    <m/>
    <s v="SPIRIT PRODUCTS LTD"/>
    <n v="3069.68"/>
    <n v="0"/>
    <n v="0"/>
    <n v="12597.8"/>
    <n v="0"/>
    <n v="0"/>
    <n v="0"/>
    <n v="0"/>
    <n v="15667.48"/>
    <n v="3.1592360757807001E-5"/>
    <n v="0.99045345891257608"/>
    <b v="0"/>
  </r>
  <r>
    <n v="1982"/>
    <m/>
    <x v="18"/>
    <m/>
    <s v="CITY ELECTRIC CONTRACTING CO"/>
    <n v="0"/>
    <n v="0"/>
    <n v="0"/>
    <n v="0"/>
    <n v="0"/>
    <n v="0"/>
    <n v="15651.06"/>
    <n v="0"/>
    <n v="15651.06"/>
    <n v="3.1559250993911135E-5"/>
    <n v="0.99048501816357004"/>
    <b v="0"/>
  </r>
  <r>
    <n v="1983"/>
    <m/>
    <x v="18"/>
    <m/>
    <s v="PELSA COMPANY"/>
    <n v="0"/>
    <n v="0"/>
    <n v="0"/>
    <n v="0"/>
    <n v="0"/>
    <n v="0"/>
    <n v="15600"/>
    <n v="0"/>
    <n v="15600"/>
    <n v="3.1456292130054689E-5"/>
    <n v="0.99051647445570012"/>
    <b v="0"/>
  </r>
  <r>
    <n v="551"/>
    <m/>
    <x v="18"/>
    <m/>
    <s v="HOWARD F KANE III"/>
    <n v="503"/>
    <n v="1240"/>
    <n v="929"/>
    <n v="0"/>
    <n v="0"/>
    <n v="2790"/>
    <n v="4540.29"/>
    <n v="5570"/>
    <n v="15572.29"/>
    <n v="3.1400416882944192E-5"/>
    <n v="0.99054787487258311"/>
    <b v="0"/>
  </r>
  <r>
    <n v="520"/>
    <m/>
    <x v="18"/>
    <m/>
    <s v="HERITAGE CONSERVATION COLLECTIVE LLC"/>
    <n v="650"/>
    <n v="14800"/>
    <n v="0"/>
    <n v="0"/>
    <n v="0"/>
    <n v="0"/>
    <n v="0"/>
    <n v="0"/>
    <n v="15450"/>
    <n v="3.1153827782650319E-5"/>
    <n v="0.99057902870036574"/>
    <b v="0"/>
  </r>
  <r>
    <n v="413"/>
    <m/>
    <x v="18"/>
    <m/>
    <s v="SECC"/>
    <n v="1683.64"/>
    <n v="1374"/>
    <n v="1822.16"/>
    <n v="1290.45"/>
    <n v="1089.75"/>
    <n v="1815.67"/>
    <n v="2974.38"/>
    <n v="3395.81"/>
    <n v="15445.859999999999"/>
    <n v="3.1145479766661953E-5"/>
    <n v="0.99061017418013242"/>
    <b v="0"/>
  </r>
  <r>
    <n v="913"/>
    <m/>
    <x v="18"/>
    <m/>
    <s v="A H ANGERSTEIN INC"/>
    <n v="0"/>
    <n v="200"/>
    <n v="0"/>
    <n v="0"/>
    <n v="108.13"/>
    <n v="13890.22"/>
    <n v="0"/>
    <n v="1181.28"/>
    <n v="15379.63"/>
    <n v="3.1011931675138011E-5"/>
    <n v="0.99064118611180751"/>
    <b v="0"/>
  </r>
  <r>
    <n v="1682"/>
    <m/>
    <x v="18"/>
    <m/>
    <s v="HILL &amp; SMITH INC"/>
    <n v="0"/>
    <n v="0"/>
    <n v="0"/>
    <n v="0"/>
    <n v="0"/>
    <n v="15286.74"/>
    <n v="0"/>
    <n v="0"/>
    <n v="15286.74"/>
    <n v="3.0824625586935399E-5"/>
    <n v="0.99067201073739442"/>
    <b v="0"/>
  </r>
  <r>
    <n v="729"/>
    <m/>
    <x v="18"/>
    <m/>
    <s v="INSTALLED BUILDING PRODUCTS LLC"/>
    <n v="0"/>
    <n v="15185"/>
    <n v="0"/>
    <n v="0"/>
    <n v="0"/>
    <n v="0"/>
    <n v="0"/>
    <n v="0"/>
    <n v="15185"/>
    <n v="3.0619474102235931E-5"/>
    <n v="0.99070263021149663"/>
    <b v="0"/>
  </r>
  <r>
    <n v="1052"/>
    <m/>
    <x v="18"/>
    <m/>
    <s v="WOODEN WHEELS SERVICE &amp; REPAIR"/>
    <n v="0"/>
    <n v="0"/>
    <n v="2999.96"/>
    <n v="12135"/>
    <n v="0"/>
    <n v="0"/>
    <n v="0"/>
    <n v="0"/>
    <n v="15134.96"/>
    <n v="3.0518571995941831E-5"/>
    <n v="0.99073314878349261"/>
    <b v="0"/>
  </r>
  <r>
    <n v="2255"/>
    <m/>
    <x v="18"/>
    <m/>
    <s v="BRIAN P EARP"/>
    <n v="0"/>
    <n v="0"/>
    <n v="0"/>
    <n v="0"/>
    <n v="0"/>
    <n v="0"/>
    <n v="0"/>
    <n v="15000"/>
    <n v="15000"/>
    <n v="3.0246434740437204E-5"/>
    <n v="0.99076339521823309"/>
    <b v="0"/>
  </r>
  <r>
    <n v="1108"/>
    <m/>
    <x v="18"/>
    <m/>
    <s v="CONSERVATION CTR FOR ART"/>
    <n v="0"/>
    <n v="0"/>
    <n v="665"/>
    <n v="8410"/>
    <n v="5810"/>
    <n v="0"/>
    <n v="0"/>
    <n v="0"/>
    <n v="14885"/>
    <n v="3.0014545407427183E-5"/>
    <n v="0.9907934097636405"/>
    <b v="0"/>
  </r>
  <r>
    <n v="364"/>
    <m/>
    <x v="18"/>
    <m/>
    <s v="WILCOX BAIT &amp; TACKLE INC"/>
    <n v="2752.45"/>
    <n v="2302.3000000000002"/>
    <n v="2873.35"/>
    <n v="2713.7"/>
    <n v="1523"/>
    <n v="733.5"/>
    <n v="904.75"/>
    <n v="1032"/>
    <n v="14835.05"/>
    <n v="2.9913824779741527E-5"/>
    <n v="0.99082332358842029"/>
    <b v="0"/>
  </r>
  <r>
    <n v="1985"/>
    <m/>
    <x v="18"/>
    <m/>
    <s v="VOHNE LICHE KENNELS INC"/>
    <n v="0"/>
    <n v="0"/>
    <n v="0"/>
    <n v="0"/>
    <n v="0"/>
    <n v="0"/>
    <n v="14800"/>
    <n v="0"/>
    <n v="14800"/>
    <n v="2.984314894389804E-5"/>
    <n v="0.99085316673736423"/>
    <b v="0"/>
  </r>
  <r>
    <n v="1241"/>
    <m/>
    <x v="18"/>
    <m/>
    <s v="BROWN BOX THEATRE PROJECT"/>
    <n v="0"/>
    <n v="0"/>
    <n v="0"/>
    <n v="4250"/>
    <n v="0"/>
    <n v="3500"/>
    <n v="3500"/>
    <n v="3500"/>
    <n v="14750"/>
    <n v="2.9742327494763249E-5"/>
    <n v="0.99088290906485899"/>
    <b v="0"/>
  </r>
  <r>
    <n v="1986"/>
    <m/>
    <x v="18"/>
    <m/>
    <s v="STANLEY SMOKLER SCULPTURE"/>
    <n v="0"/>
    <n v="0"/>
    <n v="0"/>
    <n v="0"/>
    <n v="0"/>
    <n v="0"/>
    <n v="14750"/>
    <n v="0"/>
    <n v="14750"/>
    <n v="2.9742327494763249E-5"/>
    <n v="0.99091265139235374"/>
    <b v="0"/>
  </r>
  <r>
    <n v="1987"/>
    <m/>
    <x v="18"/>
    <m/>
    <s v="TRAFCON INDUSTRIES INC"/>
    <n v="0"/>
    <n v="0"/>
    <n v="0"/>
    <n v="0"/>
    <n v="0"/>
    <n v="0"/>
    <n v="14749.25"/>
    <n v="0"/>
    <n v="14749.25"/>
    <n v="2.9740815173026228E-5"/>
    <n v="0.99094239220752678"/>
    <b v="0"/>
  </r>
  <r>
    <n v="1988"/>
    <m/>
    <x v="18"/>
    <m/>
    <s v="BENJAMIN WEBB SR"/>
    <n v="0"/>
    <n v="0"/>
    <n v="0"/>
    <n v="0"/>
    <n v="0"/>
    <n v="0"/>
    <n v="14725.1"/>
    <n v="0"/>
    <n v="14725.1"/>
    <n v="2.9692118413094125E-5"/>
    <n v="0.99097208432593986"/>
    <b v="0"/>
  </r>
  <r>
    <n v="197"/>
    <m/>
    <x v="18"/>
    <m/>
    <s v="NATURE PLANET INC"/>
    <n v="14684.44"/>
    <n v="0"/>
    <n v="0"/>
    <n v="0"/>
    <n v="0"/>
    <n v="0"/>
    <n v="0"/>
    <n v="0"/>
    <n v="14684.44"/>
    <n v="2.9610130410657712E-5"/>
    <n v="0.99100169445635056"/>
    <b v="0"/>
  </r>
  <r>
    <n v="1232"/>
    <m/>
    <x v="18"/>
    <m/>
    <s v="UNION WHOLESALE COMPANY"/>
    <n v="0"/>
    <n v="0"/>
    <n v="0"/>
    <n v="5670"/>
    <n v="0"/>
    <n v="0"/>
    <n v="8904"/>
    <n v="0"/>
    <n v="14574"/>
    <n v="2.9387435993808787E-5"/>
    <n v="0.99103108189234435"/>
    <b v="0"/>
  </r>
  <r>
    <n v="1253"/>
    <m/>
    <x v="18"/>
    <m/>
    <s v="NOODLEBOX DESIGN LLC"/>
    <n v="0"/>
    <n v="0"/>
    <n v="0"/>
    <n v="2350"/>
    <n v="0"/>
    <n v="5868"/>
    <n v="6288.25"/>
    <n v="0"/>
    <n v="14506.25"/>
    <n v="2.9250822930231144E-5"/>
    <n v="0.99106033271527461"/>
    <b v="0"/>
  </r>
  <r>
    <n v="1684"/>
    <m/>
    <x v="18"/>
    <m/>
    <s v="CORE &amp; MAIN LP"/>
    <n v="0"/>
    <n v="0"/>
    <n v="0"/>
    <n v="0"/>
    <n v="0"/>
    <n v="14450.2"/>
    <n v="0"/>
    <n v="0"/>
    <n v="14450.2"/>
    <n v="2.9137802085751047E-5"/>
    <n v="0.9910894705173604"/>
    <b v="0"/>
  </r>
  <r>
    <n v="1006"/>
    <m/>
    <x v="18"/>
    <m/>
    <s v="OVERHEAD DOOR CO OF DELMAR INC"/>
    <n v="0"/>
    <n v="0"/>
    <n v="10216"/>
    <n v="1411"/>
    <n v="1213"/>
    <n v="0"/>
    <n v="1578"/>
    <n v="0"/>
    <n v="14418"/>
    <n v="2.907287307250824E-5"/>
    <n v="0.99111854339043293"/>
    <b v="0"/>
  </r>
  <r>
    <n v="326"/>
    <m/>
    <x v="18"/>
    <m/>
    <s v="SAF-GARD SAFETY SHOE CO"/>
    <n v="3849.82"/>
    <n v="3289.97"/>
    <n v="1636.55"/>
    <n v="164.99"/>
    <n v="1667.92"/>
    <n v="873.95"/>
    <n v="1545.88"/>
    <n v="1323.94"/>
    <n v="14353.020000000002"/>
    <n v="2.8941845517212671E-5"/>
    <n v="0.99114748523595009"/>
    <b v="0"/>
  </r>
  <r>
    <n v="2256"/>
    <m/>
    <x v="18"/>
    <m/>
    <s v="SEAFORD ICE INC"/>
    <n v="0"/>
    <n v="0"/>
    <n v="0"/>
    <n v="0"/>
    <n v="0"/>
    <n v="0"/>
    <n v="0"/>
    <n v="14333.12"/>
    <n v="14333.12"/>
    <n v="2.8901718580457019E-5"/>
    <n v="0.99117638695453059"/>
    <b v="0"/>
  </r>
  <r>
    <n v="1443"/>
    <m/>
    <x v="18"/>
    <m/>
    <s v="ALL STATES MANAGEMENT CO INC"/>
    <n v="0"/>
    <n v="0"/>
    <n v="0"/>
    <n v="0"/>
    <n v="4835"/>
    <n v="9485"/>
    <n v="0"/>
    <n v="0"/>
    <n v="14320"/>
    <n v="2.887526303220405E-5"/>
    <n v="0.99120526221756278"/>
    <b v="0"/>
  </r>
  <r>
    <n v="768"/>
    <m/>
    <x v="18"/>
    <m/>
    <s v="THE WEBSTAURANT STORE"/>
    <n v="0"/>
    <n v="4682.72"/>
    <n v="9573.36"/>
    <n v="0"/>
    <n v="0"/>
    <n v="0"/>
    <n v="0"/>
    <n v="0"/>
    <n v="14256.080000000002"/>
    <n v="2.8746372891630136E-5"/>
    <n v="0.99123400859045441"/>
    <b v="0"/>
  </r>
  <r>
    <n v="407"/>
    <m/>
    <x v="18"/>
    <m/>
    <s v="SERVICE TIRE TRUCK CENTERS INC"/>
    <n v="1788.95"/>
    <n v="394.95"/>
    <n v="1362.06"/>
    <n v="5483.89"/>
    <n v="580.08000000000004"/>
    <n v="271.5"/>
    <n v="2441.84"/>
    <n v="1833.89"/>
    <n v="14157.16"/>
    <n v="2.8546907736661863E-5"/>
    <n v="0.99126255549819109"/>
    <b v="0"/>
  </r>
  <r>
    <n v="2201"/>
    <m/>
    <x v="18"/>
    <m/>
    <s v="KOOL ICE &amp; SEAFOOD CO INC"/>
    <n v="0"/>
    <n v="0"/>
    <n v="0"/>
    <n v="0"/>
    <n v="0"/>
    <n v="0"/>
    <n v="112.5"/>
    <n v="13794.8"/>
    <n v="13907.3"/>
    <n v="2.8043082791045486E-5"/>
    <n v="0.99129059858098212"/>
    <b v="0"/>
  </r>
  <r>
    <n v="2257"/>
    <m/>
    <x v="18"/>
    <m/>
    <s v="WILKINSON ROOFING &amp; SIDING"/>
    <n v="0"/>
    <n v="0"/>
    <n v="0"/>
    <n v="0"/>
    <n v="0"/>
    <n v="0"/>
    <n v="0"/>
    <n v="13853.94"/>
    <n v="13853.94"/>
    <n v="2.793548614052884E-5"/>
    <n v="0.99131853406712267"/>
    <b v="0"/>
  </r>
  <r>
    <n v="766"/>
    <m/>
    <x v="18"/>
    <m/>
    <s v="OCEAN VIEW PLUMBING &amp; HEAT INC"/>
    <n v="0"/>
    <n v="5098.3599999999997"/>
    <n v="8754.5"/>
    <n v="0"/>
    <n v="0"/>
    <n v="0"/>
    <n v="0"/>
    <n v="0"/>
    <n v="13852.86"/>
    <n v="2.793330839722753E-5"/>
    <n v="0.9913464673755199"/>
    <b v="0"/>
  </r>
  <r>
    <n v="1737"/>
    <m/>
    <x v="18"/>
    <m/>
    <s v="AQUAFLOW PUMP &amp; SUP"/>
    <n v="0"/>
    <n v="0"/>
    <n v="0"/>
    <n v="0"/>
    <n v="0"/>
    <n v="2139.11"/>
    <n v="5623.39"/>
    <n v="6086.91"/>
    <n v="13849.41"/>
    <n v="2.7926351717237227E-5"/>
    <n v="0.99137439372723712"/>
    <b v="0"/>
  </r>
  <r>
    <n v="204"/>
    <m/>
    <x v="18"/>
    <m/>
    <s v="Karen H Belinko Appraisals Llc"/>
    <n v="13765"/>
    <n v="0"/>
    <n v="0"/>
    <n v="0"/>
    <n v="0"/>
    <n v="0"/>
    <n v="0"/>
    <n v="0"/>
    <n v="13765"/>
    <n v="2.7756144946807872E-5"/>
    <n v="0.99140214987218389"/>
    <b v="0"/>
  </r>
  <r>
    <n v="300"/>
    <m/>
    <x v="18"/>
    <m/>
    <s v="HOLLAND MULCH INC"/>
    <n v="5033"/>
    <n v="90"/>
    <n v="5135.5"/>
    <n v="300"/>
    <n v="662"/>
    <n v="147.84"/>
    <n v="2389.46"/>
    <n v="0"/>
    <n v="13757.8"/>
    <n v="2.774162665813246E-5"/>
    <n v="0.99142989149884198"/>
    <b v="0"/>
  </r>
  <r>
    <n v="2258"/>
    <m/>
    <x v="18"/>
    <m/>
    <s v="PATIO SYSTEMS INC"/>
    <n v="0"/>
    <n v="0"/>
    <n v="0"/>
    <n v="0"/>
    <n v="0"/>
    <n v="0"/>
    <n v="0"/>
    <n v="13756.09"/>
    <n v="13756.09"/>
    <n v="2.7738178564572052E-5"/>
    <n v="0.99145762967740658"/>
    <b v="0"/>
  </r>
  <r>
    <n v="365"/>
    <m/>
    <x v="18"/>
    <m/>
    <s v="YEAMON MUSIC INC"/>
    <n v="2750"/>
    <n v="2750"/>
    <n v="2750"/>
    <n v="0"/>
    <n v="0"/>
    <n v="0"/>
    <n v="2750"/>
    <n v="2750"/>
    <n v="13750"/>
    <n v="2.7725898512067435E-5"/>
    <n v="0.99148535557591866"/>
    <b v="0"/>
  </r>
  <r>
    <n v="1011"/>
    <m/>
    <x v="18"/>
    <m/>
    <s v="COGHAN-HAES LLC"/>
    <n v="0"/>
    <n v="0"/>
    <n v="9519"/>
    <n v="0"/>
    <n v="1811"/>
    <n v="0"/>
    <n v="2347"/>
    <n v="0"/>
    <n v="13677"/>
    <n v="2.7578699196330641E-5"/>
    <n v="0.991512934275115"/>
    <b v="0"/>
  </r>
  <r>
    <n v="2259"/>
    <m/>
    <x v="18"/>
    <m/>
    <s v="COLLINS BUSINESS SYSTEMS INC"/>
    <n v="0"/>
    <n v="0"/>
    <n v="0"/>
    <n v="0"/>
    <n v="0"/>
    <n v="0"/>
    <n v="0"/>
    <n v="13661"/>
    <n v="13661"/>
    <n v="2.7546436332607507E-5"/>
    <n v="0.99154048071144762"/>
    <b v="0"/>
  </r>
  <r>
    <n v="1711"/>
    <m/>
    <x v="18"/>
    <m/>
    <s v="JACOBSON HAT CO INC"/>
    <n v="0"/>
    <n v="0"/>
    <n v="0"/>
    <n v="0"/>
    <n v="0"/>
    <n v="4500.6499999999996"/>
    <n v="3782.4"/>
    <n v="5309.69"/>
    <n v="13592.739999999998"/>
    <n v="2.7408794890248688E-5"/>
    <n v="0.9915678895063379"/>
    <b v="0"/>
  </r>
  <r>
    <n v="527"/>
    <m/>
    <x v="18"/>
    <m/>
    <s v="SITEONE LANDSCAPE SUPPLY LLC"/>
    <n v="602.41999999999996"/>
    <n v="264.85000000000002"/>
    <n v="408.2"/>
    <n v="2934.29"/>
    <n v="1709.91"/>
    <n v="1193.75"/>
    <n v="4184.26"/>
    <n v="2274.27"/>
    <n v="13571.95"/>
    <n v="2.7366873331698448E-5"/>
    <n v="0.99159525637966961"/>
    <b v="0"/>
  </r>
  <r>
    <n v="2260"/>
    <m/>
    <x v="18"/>
    <m/>
    <s v="GLOVER FURNITURE AND DESIGN GROUP INC"/>
    <n v="0"/>
    <n v="0"/>
    <n v="0"/>
    <n v="0"/>
    <n v="0"/>
    <n v="0"/>
    <n v="0"/>
    <n v="13531.77"/>
    <n v="13531.77"/>
    <n v="2.7285853215173728E-5"/>
    <n v="0.99162254223288482"/>
    <b v="0"/>
  </r>
  <r>
    <n v="1085"/>
    <m/>
    <x v="18"/>
    <m/>
    <s v="GARDEN STATE DUST CONTROL"/>
    <n v="0"/>
    <n v="0"/>
    <n v="1022.28"/>
    <n v="2680.18"/>
    <n v="2580.1999999999998"/>
    <n v="2087"/>
    <n v="2741"/>
    <n v="2405"/>
    <n v="13515.66"/>
    <n v="2.7253368544262499E-5"/>
    <n v="0.99164979560142907"/>
    <b v="0"/>
  </r>
  <r>
    <n v="1456"/>
    <m/>
    <x v="18"/>
    <m/>
    <s v="AQUA TECH WATER SPECIALTIES LLC"/>
    <n v="0"/>
    <n v="0"/>
    <n v="0"/>
    <n v="0"/>
    <n v="3011"/>
    <n v="1055"/>
    <n v="600"/>
    <n v="8846"/>
    <n v="13512"/>
    <n v="2.7245988414185833E-5"/>
    <n v="0.99167704158984327"/>
    <b v="0"/>
  </r>
  <r>
    <n v="733"/>
    <m/>
    <x v="18"/>
    <m/>
    <s v="ISAAAC DAVIS"/>
    <n v="0"/>
    <n v="13500"/>
    <n v="0"/>
    <n v="0"/>
    <n v="0"/>
    <n v="0"/>
    <n v="0"/>
    <n v="0"/>
    <n v="13500"/>
    <n v="2.7221791266393481E-5"/>
    <n v="0.99170426338110962"/>
    <b v="0"/>
  </r>
  <r>
    <n v="734"/>
    <m/>
    <x v="18"/>
    <m/>
    <s v="THE AMERICAN CHIMNEY GROUP"/>
    <n v="0"/>
    <n v="13500"/>
    <n v="0"/>
    <n v="0"/>
    <n v="0"/>
    <n v="0"/>
    <n v="0"/>
    <n v="0"/>
    <n v="13500"/>
    <n v="2.7221791266393481E-5"/>
    <n v="0.99173148517237597"/>
    <b v="0"/>
  </r>
  <r>
    <n v="2261"/>
    <m/>
    <x v="18"/>
    <m/>
    <s v="4WARD PLANNING INC"/>
    <n v="0"/>
    <n v="0"/>
    <n v="0"/>
    <n v="0"/>
    <n v="0"/>
    <n v="0"/>
    <n v="0"/>
    <n v="13500"/>
    <n v="13500"/>
    <n v="2.7221791266393481E-5"/>
    <n v="0.99175870696364232"/>
    <b v="0"/>
  </r>
  <r>
    <n v="1704"/>
    <m/>
    <x v="18"/>
    <m/>
    <s v="DOODLE DESIGN INC"/>
    <n v="0"/>
    <n v="0"/>
    <n v="0"/>
    <n v="0"/>
    <n v="0"/>
    <n v="5867.12"/>
    <n v="4137.88"/>
    <n v="3473.5"/>
    <n v="13478.5"/>
    <n v="2.7178438043265523E-5"/>
    <n v="0.99178588540168555"/>
    <b v="0"/>
  </r>
  <r>
    <n v="238"/>
    <m/>
    <x v="18"/>
    <m/>
    <s v="KRANSON CLOTHES INC"/>
    <n v="8482"/>
    <n v="4959"/>
    <n v="0"/>
    <n v="0"/>
    <n v="0"/>
    <n v="0"/>
    <n v="0"/>
    <n v="0"/>
    <n v="13441"/>
    <n v="2.710282195641443E-5"/>
    <n v="0.99181298822364194"/>
    <b v="0"/>
  </r>
  <r>
    <n v="1000"/>
    <m/>
    <x v="18"/>
    <m/>
    <s v="DAVID CONNELL"/>
    <n v="0"/>
    <n v="0"/>
    <n v="13385"/>
    <n v="0"/>
    <n v="0"/>
    <n v="0"/>
    <n v="0"/>
    <n v="0"/>
    <n v="13385"/>
    <n v="2.6989901933383464E-5"/>
    <n v="0.99183997812557534"/>
    <b v="0"/>
  </r>
  <r>
    <n v="1715"/>
    <m/>
    <x v="18"/>
    <m/>
    <s v="TRI-STATE BATTERY AND AUTO ELECTRIC INC"/>
    <n v="0"/>
    <n v="0"/>
    <n v="0"/>
    <n v="0"/>
    <n v="0"/>
    <n v="4308.24"/>
    <n v="5181.1099999999997"/>
    <n v="3817.21"/>
    <n v="13306.559999999998"/>
    <n v="2.6831733243980799E-5"/>
    <n v="0.99186680985881936"/>
    <b v="0"/>
  </r>
  <r>
    <n v="1216"/>
    <m/>
    <x v="18"/>
    <m/>
    <s v="BTS ENTERPRISES INC"/>
    <n v="0"/>
    <n v="0"/>
    <n v="0"/>
    <n v="13300"/>
    <n v="0"/>
    <n v="0"/>
    <n v="0"/>
    <n v="0"/>
    <n v="13300"/>
    <n v="2.681850546985432E-5"/>
    <n v="0.99189362836428918"/>
    <b v="0"/>
  </r>
  <r>
    <n v="1989"/>
    <m/>
    <x v="18"/>
    <m/>
    <s v="GARVILLA SERVICES INC"/>
    <n v="0"/>
    <n v="0"/>
    <n v="0"/>
    <n v="0"/>
    <n v="0"/>
    <n v="0"/>
    <n v="13250"/>
    <n v="0"/>
    <n v="13250"/>
    <n v="2.671768402071953E-5"/>
    <n v="0.99192034604830992"/>
    <b v="0"/>
  </r>
  <r>
    <n v="1081"/>
    <m/>
    <x v="18"/>
    <m/>
    <s v="D&amp;C MECHANICAL LLC"/>
    <n v="0"/>
    <n v="0"/>
    <n v="1272.5"/>
    <n v="0"/>
    <n v="8388.94"/>
    <n v="360"/>
    <n v="3088.85"/>
    <n v="0"/>
    <n v="13110.29"/>
    <n v="2.64359687275471E-5"/>
    <n v="0.99194678201703745"/>
    <b v="0"/>
  </r>
  <r>
    <n v="1990"/>
    <m/>
    <x v="18"/>
    <m/>
    <s v="TOWN OF FARMINGTON"/>
    <n v="0"/>
    <n v="0"/>
    <n v="0"/>
    <n v="0"/>
    <n v="0"/>
    <n v="0"/>
    <n v="13000"/>
    <n v="0"/>
    <n v="13000"/>
    <n v="2.6213576775045576E-5"/>
    <n v="0.99197299559381247"/>
    <b v="0"/>
  </r>
  <r>
    <n v="1029"/>
    <m/>
    <x v="18"/>
    <m/>
    <s v="BENJAMIN NEIDITZ"/>
    <n v="0"/>
    <n v="0"/>
    <n v="6122.5"/>
    <n v="6772.5"/>
    <n v="0"/>
    <n v="0"/>
    <n v="0"/>
    <n v="0"/>
    <n v="12895"/>
    <n v="2.6001851731862516E-5"/>
    <n v="0.99199899744554432"/>
    <b v="0"/>
  </r>
  <r>
    <n v="1992"/>
    <m/>
    <x v="18"/>
    <m/>
    <s v="BAYSIDE EXTERIORS LLC"/>
    <n v="0"/>
    <n v="0"/>
    <n v="0"/>
    <n v="0"/>
    <n v="0"/>
    <n v="0"/>
    <n v="12800"/>
    <n v="0"/>
    <n v="12800"/>
    <n v="2.5810290978506411E-5"/>
    <n v="0.9920248077365228"/>
    <b v="0"/>
  </r>
  <r>
    <n v="2006"/>
    <m/>
    <x v="18"/>
    <m/>
    <s v="ANIMAL SPEC &amp; PROVISIONS"/>
    <n v="0"/>
    <n v="0"/>
    <n v="0"/>
    <n v="0"/>
    <n v="0"/>
    <n v="0"/>
    <n v="5394.26"/>
    <n v="7353.57"/>
    <n v="12747.83"/>
    <n v="2.5705093878479171E-5"/>
    <n v="0.99205051283040124"/>
    <b v="0"/>
  </r>
  <r>
    <n v="1458"/>
    <m/>
    <x v="18"/>
    <m/>
    <s v="BSN SPORTS INC"/>
    <n v="0"/>
    <n v="0"/>
    <n v="0"/>
    <n v="0"/>
    <n v="2861.58"/>
    <n v="4607.84"/>
    <n v="258.32"/>
    <n v="4978.97"/>
    <n v="12706.71"/>
    <n v="2.5622178318710719E-5"/>
    <n v="0.99207613500871994"/>
    <b v="0"/>
  </r>
  <r>
    <n v="1423"/>
    <m/>
    <x v="18"/>
    <m/>
    <s v="BRICON ENTERPRISES LLC"/>
    <n v="0"/>
    <n v="0"/>
    <n v="0"/>
    <n v="0"/>
    <n v="12638.02"/>
    <n v="0"/>
    <n v="0"/>
    <n v="0"/>
    <n v="12638.02"/>
    <n v="2.5483669811889347E-5"/>
    <n v="0.99210161867853186"/>
    <b v="0"/>
  </r>
  <r>
    <n v="1424"/>
    <m/>
    <x v="18"/>
    <m/>
    <s v="BRICON SERVICE INC DBA TRIANGLE SERVICE"/>
    <n v="0"/>
    <n v="0"/>
    <n v="0"/>
    <n v="0"/>
    <n v="12638.02"/>
    <n v="0"/>
    <n v="0"/>
    <n v="0"/>
    <n v="12638.02"/>
    <n v="2.5483669811889347E-5"/>
    <n v="0.99212710234834378"/>
    <b v="0"/>
  </r>
  <r>
    <n v="749"/>
    <m/>
    <x v="18"/>
    <m/>
    <s v="BOATHOUSE SPORTS"/>
    <n v="0"/>
    <n v="8985.3700000000008"/>
    <n v="0"/>
    <n v="3649.5"/>
    <n v="0"/>
    <n v="0"/>
    <n v="0"/>
    <n v="0"/>
    <n v="12634.87"/>
    <n v="2.5477318060593854E-5"/>
    <n v="0.99215257966640436"/>
    <b v="0"/>
  </r>
  <r>
    <n v="1039"/>
    <m/>
    <x v="18"/>
    <m/>
    <s v="G M RECORDS INC"/>
    <n v="0"/>
    <n v="0"/>
    <n v="4950"/>
    <n v="1500"/>
    <n v="0"/>
    <n v="4900"/>
    <n v="1250"/>
    <n v="0"/>
    <n v="12600"/>
    <n v="2.5407005181967251E-5"/>
    <n v="0.9921779866715863"/>
    <b v="0"/>
  </r>
  <r>
    <n v="1223"/>
    <m/>
    <x v="18"/>
    <m/>
    <s v="SHIELDS ELECTRIC INC"/>
    <n v="0"/>
    <n v="0"/>
    <n v="0"/>
    <n v="8700"/>
    <n v="3850"/>
    <n v="0"/>
    <n v="0"/>
    <n v="0"/>
    <n v="12550"/>
    <n v="2.5306183732832461E-5"/>
    <n v="0.99220329285531916"/>
    <b v="0"/>
  </r>
  <r>
    <n v="1004"/>
    <m/>
    <x v="18"/>
    <m/>
    <s v="TOWN OF GEORGETOWN"/>
    <n v="0"/>
    <n v="0"/>
    <n v="12500"/>
    <n v="0"/>
    <n v="0"/>
    <n v="0"/>
    <n v="0"/>
    <n v="0"/>
    <n v="12500"/>
    <n v="2.5205362283697667E-5"/>
    <n v="0.99222849821760284"/>
    <b v="0"/>
  </r>
  <r>
    <n v="1277"/>
    <m/>
    <x v="18"/>
    <m/>
    <s v="PRO-LOCK &amp; SAFE LLC"/>
    <n v="0"/>
    <n v="0"/>
    <n v="0"/>
    <n v="1164.45"/>
    <n v="1057.6500000000001"/>
    <n v="3597.7"/>
    <n v="4200.3999999999996"/>
    <n v="2470.5"/>
    <n v="12490.7"/>
    <n v="2.51866094941586E-5"/>
    <n v="0.99225368482709697"/>
    <b v="0"/>
  </r>
  <r>
    <n v="2262"/>
    <m/>
    <x v="18"/>
    <m/>
    <s v="DONALD M MELLINGER"/>
    <n v="0"/>
    <n v="0"/>
    <n v="0"/>
    <n v="0"/>
    <n v="0"/>
    <n v="0"/>
    <n v="0"/>
    <n v="12450"/>
    <n v="12450"/>
    <n v="2.5104540834562877E-5"/>
    <n v="0.99227878936793157"/>
    <b v="0"/>
  </r>
  <r>
    <n v="2119"/>
    <m/>
    <x v="18"/>
    <m/>
    <s v="MILLMANS APPLIANCES"/>
    <n v="0"/>
    <n v="0"/>
    <n v="0"/>
    <n v="0"/>
    <n v="0"/>
    <n v="0"/>
    <n v="509.95"/>
    <n v="11785.76"/>
    <n v="12295.710000000001"/>
    <n v="2.4793426006822742E-5"/>
    <n v="0.99230358279393838"/>
    <b v="0"/>
  </r>
  <r>
    <n v="214"/>
    <m/>
    <x v="18"/>
    <m/>
    <s v="PIERCE FENCE CO INC"/>
    <n v="12155"/>
    <n v="0"/>
    <n v="0"/>
    <n v="0"/>
    <n v="0"/>
    <n v="0"/>
    <n v="0"/>
    <n v="0"/>
    <n v="12155"/>
    <n v="2.4509694284667615E-5"/>
    <n v="0.99232809248822307"/>
    <b v="0"/>
  </r>
  <r>
    <n v="822"/>
    <m/>
    <x v="18"/>
    <m/>
    <s v="AMSTEL MECHANICAL CONTR INC"/>
    <n v="0"/>
    <n v="1311.5"/>
    <n v="7456"/>
    <n v="1968"/>
    <n v="1350"/>
    <n v="0"/>
    <n v="0"/>
    <n v="0"/>
    <n v="12085.5"/>
    <n v="2.4369552470370254E-5"/>
    <n v="0.99235246204069338"/>
    <b v="0"/>
  </r>
  <r>
    <n v="215"/>
    <m/>
    <x v="18"/>
    <m/>
    <s v="PARTNERSHIP INC"/>
    <n v="12000"/>
    <n v="0"/>
    <n v="0"/>
    <n v="0"/>
    <n v="0"/>
    <n v="0"/>
    <n v="0"/>
    <n v="0"/>
    <n v="12000"/>
    <n v="2.4197147792349762E-5"/>
    <n v="0.99237665918848572"/>
    <b v="0"/>
  </r>
  <r>
    <n v="930"/>
    <m/>
    <x v="18"/>
    <m/>
    <s v="LIST REFRIG HEATING &amp; A C"/>
    <n v="0"/>
    <n v="125"/>
    <n v="0"/>
    <n v="1236.1600000000001"/>
    <n v="1780.4"/>
    <n v="2119.0500000000002"/>
    <n v="4355.8999999999996"/>
    <n v="2241.39"/>
    <n v="11857.9"/>
    <n v="2.3910613233908687E-5"/>
    <n v="0.99240056980171965"/>
    <b v="0"/>
  </r>
  <r>
    <n v="1720"/>
    <m/>
    <x v="18"/>
    <m/>
    <s v="MONTANA CONSERVATION CORPS INC"/>
    <n v="0"/>
    <n v="0"/>
    <n v="0"/>
    <n v="0"/>
    <n v="0"/>
    <n v="4020"/>
    <n v="7731"/>
    <n v="0"/>
    <n v="11751"/>
    <n v="2.3695056975658504E-5"/>
    <n v="0.99242426485869528"/>
    <b v="0"/>
  </r>
  <r>
    <n v="815"/>
    <m/>
    <x v="18"/>
    <m/>
    <s v="ALS AFFORDABLE TREE SERVICE"/>
    <n v="0"/>
    <n v="1500"/>
    <n v="2600"/>
    <n v="0"/>
    <n v="3500"/>
    <n v="700"/>
    <n v="0"/>
    <n v="3400"/>
    <n v="11700"/>
    <n v="2.3592219097541017E-5"/>
    <n v="0.99244785707779282"/>
    <b v="0"/>
  </r>
  <r>
    <n v="1688"/>
    <m/>
    <x v="18"/>
    <m/>
    <s v="WILDERNESS CANOE TRIPS INC"/>
    <n v="0"/>
    <n v="0"/>
    <n v="0"/>
    <n v="0"/>
    <n v="0"/>
    <n v="11685"/>
    <n v="0"/>
    <n v="0"/>
    <n v="11685"/>
    <n v="2.356197266280058E-5"/>
    <n v="0.99247141905045566"/>
    <b v="0"/>
  </r>
  <r>
    <n v="217"/>
    <m/>
    <x v="18"/>
    <m/>
    <s v="SHENANDOAH HABITAT SERVICES LLC"/>
    <n v="11645"/>
    <n v="0"/>
    <n v="0"/>
    <n v="0"/>
    <n v="0"/>
    <n v="0"/>
    <n v="0"/>
    <n v="0"/>
    <n v="11645"/>
    <n v="2.3481315503492748E-5"/>
    <n v="0.99249490036595911"/>
    <b v="0"/>
  </r>
  <r>
    <n v="614"/>
    <m/>
    <x v="18"/>
    <m/>
    <s v="CLEAN DELAWARE LLC"/>
    <n v="275"/>
    <n v="3957.04"/>
    <n v="1846.82"/>
    <n v="1072"/>
    <n v="1709"/>
    <n v="1700"/>
    <n v="289"/>
    <n v="773"/>
    <n v="11621.86"/>
    <n v="2.343465533683317E-5"/>
    <n v="0.99251833502129594"/>
    <b v="0"/>
  </r>
  <r>
    <n v="1689"/>
    <m/>
    <x v="18"/>
    <m/>
    <s v="US RADAR INC"/>
    <n v="0"/>
    <n v="0"/>
    <n v="0"/>
    <n v="0"/>
    <n v="0"/>
    <n v="11600"/>
    <n v="0"/>
    <n v="0"/>
    <n v="11600"/>
    <n v="2.3390576199271437E-5"/>
    <n v="0.99254172559749521"/>
    <b v="0"/>
  </r>
  <r>
    <n v="1446"/>
    <m/>
    <x v="18"/>
    <m/>
    <s v="VALUATION CONSULTING PARTNERS"/>
    <n v="0"/>
    <n v="0"/>
    <n v="0"/>
    <n v="0"/>
    <n v="4350"/>
    <n v="3200"/>
    <n v="4000"/>
    <n v="0"/>
    <n v="11550"/>
    <n v="2.3289754750136646E-5"/>
    <n v="0.99256501535224539"/>
    <b v="0"/>
  </r>
  <r>
    <n v="2263"/>
    <m/>
    <x v="18"/>
    <m/>
    <s v="DELAWARE NATURE SOCIETY INC"/>
    <n v="0"/>
    <n v="0"/>
    <n v="0"/>
    <n v="0"/>
    <n v="0"/>
    <n v="0"/>
    <n v="0"/>
    <n v="11500"/>
    <n v="11500"/>
    <n v="2.3188933301001856E-5"/>
    <n v="0.99258820428554639"/>
    <b v="0"/>
  </r>
  <r>
    <n v="1342"/>
    <m/>
    <x v="18"/>
    <m/>
    <s v="ARUGIE ENTERPRISES CORPORATION"/>
    <n v="0"/>
    <n v="0"/>
    <n v="0"/>
    <n v="280"/>
    <n v="0"/>
    <n v="0"/>
    <n v="850"/>
    <n v="10347.5"/>
    <n v="11477.5"/>
    <n v="2.3143563648891201E-5"/>
    <n v="0.99261134784919525"/>
    <b v="0"/>
  </r>
  <r>
    <n v="2264"/>
    <m/>
    <x v="18"/>
    <m/>
    <s v="PHILIP ROSENAU CO INC"/>
    <n v="0"/>
    <n v="0"/>
    <n v="0"/>
    <n v="0"/>
    <n v="0"/>
    <n v="0"/>
    <n v="0"/>
    <n v="11444.41"/>
    <n v="11444.41"/>
    <n v="2.3076840013853795E-5"/>
    <n v="0.99263442468920915"/>
    <b v="0"/>
  </r>
  <r>
    <n v="1135"/>
    <m/>
    <x v="18"/>
    <m/>
    <s v="MEGEE PLUMBING AND HEATING CO INC"/>
    <n v="0"/>
    <n v="0"/>
    <n v="358.08"/>
    <n v="9571.01"/>
    <n v="1381.26"/>
    <n v="122.07"/>
    <n v="0"/>
    <n v="0"/>
    <n v="11432.42"/>
    <n v="2.3052663030351273E-5"/>
    <n v="0.99265747735223953"/>
    <b v="0"/>
  </r>
  <r>
    <n v="1426"/>
    <m/>
    <x v="18"/>
    <m/>
    <s v="GB SHADES LLC"/>
    <n v="0"/>
    <n v="0"/>
    <n v="0"/>
    <n v="0"/>
    <n v="11355"/>
    <n v="0"/>
    <n v="0"/>
    <n v="0"/>
    <n v="11355"/>
    <n v="2.2896551098510961E-5"/>
    <n v="0.99268037390333808"/>
    <b v="0"/>
  </r>
  <r>
    <n v="463"/>
    <m/>
    <x v="18"/>
    <m/>
    <s v="JOLYN CLOTHING COMPANY LLC"/>
    <n v="1106.2"/>
    <n v="5326"/>
    <n v="4906.2"/>
    <n v="0"/>
    <n v="0"/>
    <n v="0"/>
    <n v="0"/>
    <n v="0"/>
    <n v="11338.4"/>
    <n v="2.2863078377398211E-5"/>
    <n v="0.99270323698171548"/>
    <b v="0"/>
  </r>
  <r>
    <n v="926"/>
    <m/>
    <x v="18"/>
    <m/>
    <s v="APPLE ELECTRIC INC"/>
    <n v="0"/>
    <n v="150"/>
    <n v="3990"/>
    <n v="0"/>
    <n v="185"/>
    <n v="0"/>
    <n v="2803"/>
    <n v="4197"/>
    <n v="11325"/>
    <n v="2.2836058229030087E-5"/>
    <n v="0.99272607303994453"/>
    <b v="0"/>
  </r>
  <r>
    <n v="751"/>
    <m/>
    <x v="18"/>
    <m/>
    <s v="SUSSEX COUNTY LIFESAVING ASSOCIATION"/>
    <n v="0"/>
    <n v="8830"/>
    <n v="1185"/>
    <n v="0"/>
    <n v="0"/>
    <n v="1190"/>
    <n v="0"/>
    <n v="0"/>
    <n v="11205"/>
    <n v="2.2594086751106591E-5"/>
    <n v="0.99274866712669563"/>
    <b v="0"/>
  </r>
  <r>
    <n v="739"/>
    <m/>
    <x v="18"/>
    <m/>
    <s v="CONTINENTAL BATTERIES"/>
    <n v="0"/>
    <n v="11191.7"/>
    <n v="0"/>
    <n v="0"/>
    <n v="0"/>
    <n v="0"/>
    <n v="0"/>
    <n v="0"/>
    <n v="11191.7"/>
    <n v="2.2567268245636738E-5"/>
    <n v="0.9927712343949413"/>
    <b v="0"/>
  </r>
  <r>
    <n v="1065"/>
    <m/>
    <x v="18"/>
    <m/>
    <s v="MATTHEW STEIN"/>
    <n v="0"/>
    <n v="0"/>
    <n v="2173"/>
    <n v="9010"/>
    <n v="0"/>
    <n v="0"/>
    <n v="0"/>
    <n v="0"/>
    <n v="11183"/>
    <n v="2.2549725313487284E-5"/>
    <n v="0.99279378412025476"/>
    <b v="0"/>
  </r>
  <r>
    <n v="598"/>
    <m/>
    <x v="18"/>
    <m/>
    <s v="TESS INC"/>
    <n v="368.62"/>
    <n v="8307.9500000000007"/>
    <n v="0"/>
    <n v="0"/>
    <n v="2465"/>
    <n v="0"/>
    <n v="0"/>
    <n v="0"/>
    <n v="11141.570000000002"/>
    <n v="2.2466184660734198E-5"/>
    <n v="0.99281625030491549"/>
    <b v="0"/>
  </r>
  <r>
    <n v="395"/>
    <m/>
    <x v="18"/>
    <m/>
    <s v="SOUTHERN DEL PUBLISHING INC"/>
    <n v="2005"/>
    <n v="1950"/>
    <n v="1670"/>
    <n v="1385"/>
    <n v="0"/>
    <n v="1719"/>
    <n v="1173"/>
    <n v="1159"/>
    <n v="11061"/>
    <n v="2.2303720977598393E-5"/>
    <n v="0.99283855402589305"/>
    <b v="0"/>
  </r>
  <r>
    <n v="1690"/>
    <m/>
    <x v="18"/>
    <m/>
    <s v="ADAMS KEMP ASSOC INC"/>
    <n v="0"/>
    <n v="0"/>
    <n v="0"/>
    <n v="0"/>
    <n v="0"/>
    <n v="11050"/>
    <n v="0"/>
    <n v="0"/>
    <n v="11050"/>
    <n v="2.2281540258788738E-5"/>
    <n v="0.99286083556615179"/>
    <b v="0"/>
  </r>
  <r>
    <n v="1436"/>
    <m/>
    <x v="18"/>
    <m/>
    <s v="MCKENZIES HOUSE OF COLOR"/>
    <n v="0"/>
    <n v="0"/>
    <n v="0"/>
    <n v="0"/>
    <n v="6820"/>
    <n v="3114"/>
    <n v="1078"/>
    <n v="0"/>
    <n v="11012"/>
    <n v="2.2204915957446297E-5"/>
    <n v="0.99288304048210918"/>
    <b v="0"/>
  </r>
  <r>
    <n v="1691"/>
    <m/>
    <x v="18"/>
    <m/>
    <s v="JEFF BARTSCH INC"/>
    <n v="0"/>
    <n v="0"/>
    <n v="0"/>
    <n v="0"/>
    <n v="0"/>
    <n v="11000"/>
    <n v="0"/>
    <n v="0"/>
    <n v="11000"/>
    <n v="2.2180718809653948E-5"/>
    <n v="0.99290522120091884"/>
    <b v="0"/>
  </r>
  <r>
    <n v="1993"/>
    <m/>
    <x v="18"/>
    <m/>
    <s v="APEX ENGINEERING INC"/>
    <n v="0"/>
    <n v="0"/>
    <n v="0"/>
    <n v="0"/>
    <n v="0"/>
    <n v="0"/>
    <n v="11000"/>
    <n v="0"/>
    <n v="11000"/>
    <n v="2.2180718809653948E-5"/>
    <n v="0.9929274019197285"/>
    <b v="0"/>
  </r>
  <r>
    <n v="2265"/>
    <m/>
    <x v="18"/>
    <m/>
    <s v="C K CONSTRUCTION INC"/>
    <n v="0"/>
    <n v="0"/>
    <n v="0"/>
    <n v="0"/>
    <n v="0"/>
    <n v="0"/>
    <n v="0"/>
    <n v="11000"/>
    <n v="11000"/>
    <n v="2.2180718809653948E-5"/>
    <n v="0.99294958263853816"/>
    <b v="0"/>
  </r>
  <r>
    <n v="2266"/>
    <m/>
    <x v="18"/>
    <m/>
    <s v="TOWN OF KENTON"/>
    <n v="0"/>
    <n v="0"/>
    <n v="0"/>
    <n v="0"/>
    <n v="0"/>
    <n v="0"/>
    <n v="0"/>
    <n v="11000"/>
    <n v="11000"/>
    <n v="2.2180718809653948E-5"/>
    <n v="0.99297176335734783"/>
    <b v="0"/>
  </r>
  <r>
    <n v="1282"/>
    <m/>
    <x v="18"/>
    <m/>
    <s v="PAUL'S PLASTERING"/>
    <n v="0"/>
    <n v="0"/>
    <n v="0"/>
    <n v="995"/>
    <n v="0"/>
    <n v="5035"/>
    <n v="0"/>
    <n v="4950"/>
    <n v="10980"/>
    <n v="2.2140390230000031E-5"/>
    <n v="0.99299390374757779"/>
    <b v="0"/>
  </r>
  <r>
    <n v="793"/>
    <m/>
    <x v="18"/>
    <m/>
    <s v="DSHS COMMUNICATION/PETTY CASH"/>
    <n v="0"/>
    <n v="2721.1"/>
    <n v="1837.2"/>
    <n v="2472.59"/>
    <n v="494.9"/>
    <n v="1208.55"/>
    <n v="1471.97"/>
    <n v="763.6"/>
    <n v="10969.91"/>
    <n v="2.212004446156463E-5"/>
    <n v="0.99301602379203935"/>
    <b v="0"/>
  </r>
  <r>
    <n v="1729"/>
    <m/>
    <x v="18"/>
    <m/>
    <s v="TOYOTA MATERIAL HANDLING NORTHEAST INC"/>
    <n v="0"/>
    <n v="0"/>
    <n v="0"/>
    <n v="0"/>
    <n v="0"/>
    <n v="2961.28"/>
    <n v="2203.2199999999998"/>
    <n v="5788.22"/>
    <n v="10952.720000000001"/>
    <n v="2.2085382047352094E-5"/>
    <n v="0.99303810917408675"/>
    <b v="0"/>
  </r>
  <r>
    <n v="290"/>
    <m/>
    <x v="18"/>
    <m/>
    <s v="DAISEYS WELL DRILLING"/>
    <n v="5597.5"/>
    <n v="2674"/>
    <n v="0"/>
    <n v="0"/>
    <n v="850"/>
    <n v="1060"/>
    <n v="700"/>
    <n v="0"/>
    <n v="10881.5"/>
    <n v="2.1941771975204493E-5"/>
    <n v="0.99306005094606198"/>
    <b v="0"/>
  </r>
  <r>
    <n v="675"/>
    <m/>
    <x v="18"/>
    <m/>
    <s v="DNREC WASTE &amp; HAZARDOUS SUBSTANCES"/>
    <n v="75"/>
    <n v="75"/>
    <n v="75"/>
    <n v="75"/>
    <n v="75"/>
    <n v="75"/>
    <n v="75"/>
    <n v="10352.629999999999"/>
    <n v="10877.63"/>
    <n v="2.1933968395041462E-5"/>
    <n v="0.99308198491445698"/>
    <b v="0"/>
  </r>
  <r>
    <n v="1217"/>
    <m/>
    <x v="18"/>
    <m/>
    <s v="GAYLORD BROS"/>
    <n v="0"/>
    <n v="0"/>
    <n v="0"/>
    <n v="10875"/>
    <n v="0"/>
    <n v="0"/>
    <n v="0"/>
    <n v="0"/>
    <n v="10875"/>
    <n v="2.1928665186816972E-5"/>
    <n v="0.99310391357964378"/>
    <b v="0"/>
  </r>
  <r>
    <n v="1994"/>
    <m/>
    <x v="18"/>
    <m/>
    <s v="CUTTING EDGE OF DELAWARE"/>
    <n v="0"/>
    <n v="0"/>
    <n v="0"/>
    <n v="0"/>
    <n v="0"/>
    <n v="0"/>
    <n v="10850"/>
    <n v="0"/>
    <n v="10850"/>
    <n v="2.1878254462249577E-5"/>
    <n v="0.99312579183410599"/>
    <b v="0"/>
  </r>
  <r>
    <n v="358"/>
    <m/>
    <x v="18"/>
    <m/>
    <s v="CUSTOM FABERKIN INC"/>
    <n v="2930.98"/>
    <n v="0"/>
    <n v="1449.74"/>
    <n v="1954.45"/>
    <n v="4302.21"/>
    <n v="128.49"/>
    <n v="0"/>
    <n v="0"/>
    <n v="10765.87"/>
    <n v="2.1708612291935381E-5"/>
    <n v="0.99314750044639788"/>
    <b v="0"/>
  </r>
  <r>
    <n v="1249"/>
    <m/>
    <x v="18"/>
    <m/>
    <s v="4 OCEAN LLC"/>
    <n v="0"/>
    <n v="0"/>
    <n v="0"/>
    <n v="3030.91"/>
    <n v="1852.05"/>
    <n v="5859.89"/>
    <n v="0"/>
    <n v="0"/>
    <n v="10742.85"/>
    <n v="2.1662194096753722E-5"/>
    <n v="0.9931691626404946"/>
    <b v="0"/>
  </r>
  <r>
    <n v="1995"/>
    <m/>
    <x v="18"/>
    <m/>
    <s v="GREEN GRAZER GOATS"/>
    <n v="0"/>
    <n v="0"/>
    <n v="0"/>
    <n v="0"/>
    <n v="0"/>
    <n v="0"/>
    <n v="10724"/>
    <n v="0"/>
    <n v="10724"/>
    <n v="2.1624184410429904E-5"/>
    <n v="0.99319078682490503"/>
    <b v="0"/>
  </r>
  <r>
    <n v="357"/>
    <m/>
    <x v="18"/>
    <m/>
    <s v="RED TAIL RESTORATION &amp; LAND MGEMENT LLC"/>
    <n v="2979.26"/>
    <n v="5271"/>
    <n v="2455.3200000000002"/>
    <n v="0"/>
    <n v="0"/>
    <n v="0"/>
    <n v="0"/>
    <n v="0"/>
    <n v="10705.58"/>
    <n v="2.1587041788568647E-5"/>
    <n v="0.99321237386669359"/>
    <b v="0"/>
  </r>
  <r>
    <n v="466"/>
    <m/>
    <x v="18"/>
    <m/>
    <s v="ARCADIA PUBLISHING"/>
    <n v="1056.9000000000001"/>
    <n v="0"/>
    <n v="2020.2"/>
    <n v="0"/>
    <n v="2306.92"/>
    <n v="1113.06"/>
    <n v="178.12"/>
    <n v="4003.93"/>
    <n v="10679.13"/>
    <n v="2.153370724197634E-5"/>
    <n v="0.99323390757393559"/>
    <b v="0"/>
  </r>
  <r>
    <n v="1708"/>
    <m/>
    <x v="18"/>
    <m/>
    <s v="CORNERS LIMITED"/>
    <n v="0"/>
    <n v="0"/>
    <n v="0"/>
    <n v="0"/>
    <n v="0"/>
    <n v="4950"/>
    <n v="0"/>
    <n v="5700"/>
    <n v="10650"/>
    <n v="2.1474968665710413E-5"/>
    <n v="0.99325538254260126"/>
    <b v="0"/>
  </r>
  <r>
    <n v="366"/>
    <m/>
    <x v="18"/>
    <m/>
    <s v="EUROFINS ENVIRONMENT TESTING NE LLC"/>
    <n v="2740"/>
    <n v="0"/>
    <n v="7834.82"/>
    <n v="0"/>
    <n v="0"/>
    <n v="0"/>
    <n v="0"/>
    <n v="0"/>
    <n v="10574.82"/>
    <n v="2.132337353479134E-5"/>
    <n v="0.99327670591613604"/>
    <b v="0"/>
  </r>
  <r>
    <n v="2267"/>
    <m/>
    <x v="18"/>
    <m/>
    <s v="JC CONTRACTORS LLC"/>
    <n v="0"/>
    <n v="0"/>
    <n v="0"/>
    <n v="0"/>
    <n v="0"/>
    <n v="0"/>
    <n v="0"/>
    <n v="10500"/>
    <n v="10500"/>
    <n v="2.1172504318306042E-5"/>
    <n v="0.99329787842045436"/>
    <b v="0"/>
  </r>
  <r>
    <n v="1432"/>
    <m/>
    <x v="18"/>
    <m/>
    <s v="NORTH EAST PARTS GROUP"/>
    <n v="0"/>
    <n v="0"/>
    <n v="0"/>
    <n v="0"/>
    <n v="7569.08"/>
    <n v="2929.55"/>
    <n v="0"/>
    <n v="0"/>
    <n v="10498.630000000001"/>
    <n v="2.116974181059975E-5"/>
    <n v="0.99331904816226491"/>
    <b v="0"/>
  </r>
  <r>
    <n v="351"/>
    <m/>
    <x v="18"/>
    <m/>
    <s v="FISHER AUTO PARTS INC"/>
    <n v="3094.48"/>
    <n v="315.73"/>
    <n v="143.37"/>
    <n v="267.77999999999997"/>
    <n v="1754.02"/>
    <n v="1420.94"/>
    <n v="1139.6099999999999"/>
    <n v="2271.9"/>
    <n v="10407.83"/>
    <n v="2.0986650058970969E-5"/>
    <n v="0.99334003481232391"/>
    <b v="0"/>
  </r>
  <r>
    <n v="1427"/>
    <m/>
    <x v="18"/>
    <m/>
    <s v="WATERPARK CONSTRUCTION INC"/>
    <n v="0"/>
    <n v="0"/>
    <n v="0"/>
    <n v="0"/>
    <n v="10395"/>
    <n v="0"/>
    <n v="0"/>
    <n v="0"/>
    <n v="10395"/>
    <n v="2.0960779275122983E-5"/>
    <n v="0.99336099559159907"/>
    <b v="0"/>
  </r>
  <r>
    <n v="655"/>
    <m/>
    <x v="18"/>
    <m/>
    <s v="MCCLUNG LOGAN EQUIP CO"/>
    <n v="144.72999999999999"/>
    <n v="0"/>
    <n v="0"/>
    <n v="4393.83"/>
    <n v="4393.83"/>
    <n v="858.04"/>
    <n v="0"/>
    <n v="490.37"/>
    <n v="10280.800000000001"/>
    <n v="2.073050308529912E-5"/>
    <n v="0.99338172609468434"/>
    <b v="0"/>
  </r>
  <r>
    <n v="1218"/>
    <m/>
    <x v="18"/>
    <m/>
    <s v="MORSE HOME IMPROVEMENT LLC"/>
    <n v="0"/>
    <n v="0"/>
    <n v="0"/>
    <n v="10275"/>
    <n v="0"/>
    <n v="0"/>
    <n v="0"/>
    <n v="0"/>
    <n v="10275"/>
    <n v="2.0718807797199483E-5"/>
    <n v="0.99340244490248153"/>
    <b v="0"/>
  </r>
  <r>
    <n v="2021"/>
    <m/>
    <x v="18"/>
    <m/>
    <s v="CUSTOM IRON SHOP INC"/>
    <n v="0"/>
    <n v="0"/>
    <n v="0"/>
    <n v="0"/>
    <n v="0"/>
    <n v="0"/>
    <n v="3850"/>
    <n v="6412"/>
    <n v="10262"/>
    <n v="2.0692594220424437E-5"/>
    <n v="0.99342313749670197"/>
    <b v="0"/>
  </r>
  <r>
    <n v="856"/>
    <m/>
    <x v="18"/>
    <m/>
    <s v="WILMINGTON GLASS CO"/>
    <n v="0"/>
    <n v="672"/>
    <n v="520"/>
    <n v="0"/>
    <n v="5460"/>
    <n v="361"/>
    <n v="0"/>
    <n v="3246.25"/>
    <n v="10259.25"/>
    <n v="2.0687049040722025E-5"/>
    <n v="0.99344382454574265"/>
    <b v="0"/>
  </r>
  <r>
    <n v="425"/>
    <m/>
    <x v="18"/>
    <m/>
    <s v="HICKS HAY LLC"/>
    <n v="1514.46"/>
    <n v="3577.98"/>
    <n v="3087.56"/>
    <n v="2061.23"/>
    <n v="0"/>
    <n v="0"/>
    <n v="0"/>
    <n v="0"/>
    <n v="10241.23"/>
    <n v="2.0650712990453845E-5"/>
    <n v="0.99346447525873305"/>
    <b v="0"/>
  </r>
  <r>
    <n v="886"/>
    <m/>
    <x v="18"/>
    <m/>
    <s v="ZW USA INC"/>
    <n v="0"/>
    <n v="432.94"/>
    <n v="1487.83"/>
    <n v="2807.68"/>
    <n v="1716.49"/>
    <n v="1327.06"/>
    <n v="1612.68"/>
    <n v="836.13"/>
    <n v="10220.81"/>
    <n v="2.0609537510627196E-5"/>
    <n v="0.99348508479624364"/>
    <b v="0"/>
  </r>
  <r>
    <n v="1433"/>
    <m/>
    <x v="18"/>
    <m/>
    <s v="FIRST CLASS HEATING &amp; AC INC"/>
    <n v="0"/>
    <n v="0"/>
    <n v="0"/>
    <n v="0"/>
    <n v="7435"/>
    <n v="2687"/>
    <n v="0"/>
    <n v="0"/>
    <n v="10122"/>
    <n v="2.0410294162847024E-5"/>
    <n v="0.99350549509040653"/>
    <b v="0"/>
  </r>
  <r>
    <n v="375"/>
    <m/>
    <x v="18"/>
    <m/>
    <s v="SOUTHERN STATES COOP INC"/>
    <n v="2438.17"/>
    <n v="1259.83"/>
    <n v="1488.53"/>
    <n v="1817.33"/>
    <n v="1021.8"/>
    <n v="1165.9100000000001"/>
    <n v="874.67"/>
    <n v="0"/>
    <n v="10066.24"/>
    <n v="2.0297858082771906E-5"/>
    <n v="0.99352579294848931"/>
    <b v="0"/>
  </r>
  <r>
    <n v="2138"/>
    <m/>
    <x v="18"/>
    <m/>
    <s v="XPEDX"/>
    <n v="0"/>
    <n v="0"/>
    <n v="0"/>
    <n v="0"/>
    <n v="0"/>
    <n v="0"/>
    <n v="396.09"/>
    <n v="9660.0499999999993"/>
    <n v="10056.14"/>
    <n v="2.0277492150046677E-5"/>
    <n v="0.99354607044063936"/>
    <b v="0"/>
  </r>
  <r>
    <n v="779"/>
    <m/>
    <x v="18"/>
    <m/>
    <s v="TBS SERVICES INC"/>
    <n v="0"/>
    <n v="3842.8"/>
    <n v="6192.1"/>
    <n v="0"/>
    <n v="0"/>
    <n v="0"/>
    <n v="0"/>
    <n v="0"/>
    <n v="10034.900000000001"/>
    <n v="2.0234663198454222E-5"/>
    <n v="0.99356630510383781"/>
    <b v="0"/>
  </r>
  <r>
    <n v="742"/>
    <m/>
    <x v="18"/>
    <m/>
    <s v="DNREC ENVIRONMENTAL CRIMES UNIT"/>
    <n v="0"/>
    <n v="10000"/>
    <n v="0"/>
    <n v="0"/>
    <n v="0"/>
    <n v="0"/>
    <n v="0"/>
    <n v="0"/>
    <n v="10000"/>
    <n v="2.0164289826958134E-5"/>
    <n v="0.9935864693936648"/>
    <b v="0"/>
  </r>
  <r>
    <n v="743"/>
    <m/>
    <x v="18"/>
    <m/>
    <s v="POLYTECH ADULT EDUCATION"/>
    <n v="0"/>
    <n v="10000"/>
    <n v="0"/>
    <n v="0"/>
    <n v="0"/>
    <n v="0"/>
    <n v="0"/>
    <n v="0"/>
    <n v="10000"/>
    <n v="2.0164289826958134E-5"/>
    <n v="0.99360663368349178"/>
    <b v="0"/>
  </r>
  <r>
    <n v="1219"/>
    <m/>
    <x v="18"/>
    <m/>
    <s v="GRAYDIE WELDING LLC"/>
    <n v="0"/>
    <n v="0"/>
    <n v="0"/>
    <n v="10000"/>
    <n v="0"/>
    <n v="0"/>
    <n v="0"/>
    <n v="0"/>
    <n v="10000"/>
    <n v="2.0164289826958134E-5"/>
    <n v="0.99362679797331876"/>
    <b v="0"/>
  </r>
  <r>
    <n v="2268"/>
    <m/>
    <x v="18"/>
    <m/>
    <s v="PARK N POOL CORP"/>
    <n v="0"/>
    <n v="0"/>
    <n v="0"/>
    <n v="0"/>
    <n v="0"/>
    <n v="0"/>
    <n v="0"/>
    <n v="9947.65"/>
    <n v="9947.65"/>
    <n v="2.0058729769714009E-5"/>
    <n v="0.9936468567030885"/>
    <b v="0"/>
  </r>
  <r>
    <n v="1252"/>
    <m/>
    <x v="18"/>
    <m/>
    <s v="FOULK LAWN &amp; EQUIP"/>
    <n v="0"/>
    <n v="0"/>
    <n v="0"/>
    <n v="2357.8000000000002"/>
    <n v="0"/>
    <n v="3252.15"/>
    <n v="1934.55"/>
    <n v="2383.4499999999998"/>
    <n v="9927.9500000000007"/>
    <n v="2.0019006118754903E-5"/>
    <n v="0.99366687570920731"/>
    <b v="0"/>
  </r>
  <r>
    <n v="1009"/>
    <m/>
    <x v="18"/>
    <m/>
    <s v="SELMA INC"/>
    <n v="0"/>
    <n v="0"/>
    <n v="9900"/>
    <n v="0"/>
    <n v="0"/>
    <n v="0"/>
    <n v="0"/>
    <n v="0"/>
    <n v="9900"/>
    <n v="1.9962646928688553E-5"/>
    <n v="0.99368683835613603"/>
    <b v="0"/>
  </r>
  <r>
    <n v="1077"/>
    <m/>
    <x v="18"/>
    <m/>
    <s v="FRANK KIELB ENTERTAINMENT INC"/>
    <n v="0"/>
    <n v="0"/>
    <n v="1500"/>
    <n v="2400"/>
    <n v="0"/>
    <n v="0"/>
    <n v="1000"/>
    <n v="5000"/>
    <n v="9900"/>
    <n v="1.9962646928688553E-5"/>
    <n v="0.99370680100306474"/>
    <b v="0"/>
  </r>
  <r>
    <n v="423"/>
    <m/>
    <x v="18"/>
    <m/>
    <s v="EVANS FARM LLC"/>
    <n v="1525"/>
    <n v="0"/>
    <n v="1500"/>
    <n v="1740"/>
    <n v="0"/>
    <n v="1690"/>
    <n v="1690"/>
    <n v="1690"/>
    <n v="9835"/>
    <n v="1.9831579044813326E-5"/>
    <n v="0.99372663258210958"/>
    <b v="0"/>
  </r>
  <r>
    <n v="1220"/>
    <m/>
    <x v="18"/>
    <m/>
    <s v="DAVID NIESCIOR"/>
    <n v="0"/>
    <n v="0"/>
    <n v="0"/>
    <n v="9825"/>
    <n v="0"/>
    <n v="0"/>
    <n v="0"/>
    <n v="0"/>
    <n v="9825"/>
    <n v="1.9811414754986368E-5"/>
    <n v="0.99374644399686451"/>
    <b v="0"/>
  </r>
  <r>
    <n v="1693"/>
    <m/>
    <x v="18"/>
    <m/>
    <s v="ROBERT E DAVIS III"/>
    <n v="0"/>
    <n v="0"/>
    <n v="0"/>
    <n v="0"/>
    <n v="0"/>
    <n v="9800"/>
    <n v="0"/>
    <n v="0"/>
    <n v="9800"/>
    <n v="1.9761004030418973E-5"/>
    <n v="0.99376620500089496"/>
    <b v="0"/>
  </r>
  <r>
    <n v="1694"/>
    <m/>
    <x v="18"/>
    <m/>
    <s v="NO FAULT LLC"/>
    <n v="0"/>
    <n v="0"/>
    <n v="0"/>
    <n v="0"/>
    <n v="0"/>
    <n v="9720"/>
    <n v="0"/>
    <n v="0"/>
    <n v="9720"/>
    <n v="1.9599689711803308E-5"/>
    <n v="0.99378580469060673"/>
    <b v="0"/>
  </r>
  <r>
    <n v="1175"/>
    <m/>
    <x v="18"/>
    <m/>
    <s v="EASTERN SHORE ENERGY INC"/>
    <n v="0"/>
    <n v="0"/>
    <n v="100"/>
    <n v="5274"/>
    <n v="4332"/>
    <n v="0"/>
    <n v="0"/>
    <n v="0"/>
    <n v="9706"/>
    <n v="1.9571459706045565E-5"/>
    <n v="0.99380537615031272"/>
    <b v="0"/>
  </r>
  <r>
    <n v="745"/>
    <m/>
    <x v="18"/>
    <m/>
    <s v="VILLAGE OF ARDEN"/>
    <n v="0"/>
    <n v="9665"/>
    <n v="0"/>
    <n v="0"/>
    <n v="0"/>
    <n v="0"/>
    <n v="0"/>
    <n v="0"/>
    <n v="9665"/>
    <n v="1.9488786117755036E-5"/>
    <n v="0.99382486493643052"/>
    <b v="0"/>
  </r>
  <r>
    <n v="441"/>
    <m/>
    <x v="18"/>
    <m/>
    <s v="SHORE ANSWER INC"/>
    <n v="1289.58"/>
    <n v="1329.48"/>
    <n v="1365.18"/>
    <n v="1569.68"/>
    <n v="817.09"/>
    <n v="978.7"/>
    <n v="1154.68"/>
    <n v="1145.23"/>
    <n v="9649.619999999999"/>
    <n v="1.9457773440001173E-5"/>
    <n v="0.99384432270987055"/>
    <b v="0"/>
  </r>
  <r>
    <n v="2269"/>
    <m/>
    <x v="18"/>
    <m/>
    <s v="ATT SPORTS INC"/>
    <n v="0"/>
    <n v="0"/>
    <n v="0"/>
    <n v="0"/>
    <n v="0"/>
    <n v="0"/>
    <n v="0"/>
    <n v="9594"/>
    <n v="9594"/>
    <n v="1.9345619659983636E-5"/>
    <n v="0.99386366832953055"/>
    <b v="0"/>
  </r>
  <r>
    <n v="828"/>
    <m/>
    <x v="18"/>
    <m/>
    <s v="CAROLINA FLYING DISC INC"/>
    <n v="0"/>
    <n v="1108.76"/>
    <n v="0"/>
    <n v="8460"/>
    <n v="0"/>
    <n v="0"/>
    <n v="0"/>
    <n v="0"/>
    <n v="9568.76"/>
    <n v="1.9294724992460392E-5"/>
    <n v="0.99388296305452306"/>
    <b v="0"/>
  </r>
  <r>
    <n v="651"/>
    <m/>
    <x v="18"/>
    <m/>
    <s v="MARTEL INC"/>
    <n v="150"/>
    <n v="3446.68"/>
    <n v="0"/>
    <n v="1032.1099999999999"/>
    <n v="634.25"/>
    <n v="999.25"/>
    <n v="2053.6"/>
    <n v="1248"/>
    <n v="9563.89"/>
    <n v="1.9284904983314663E-5"/>
    <n v="0.99390224795950632"/>
    <b v="0"/>
  </r>
  <r>
    <n v="783"/>
    <m/>
    <x v="18"/>
    <m/>
    <s v="MATTHEW JOSEPH OUIMET"/>
    <n v="0"/>
    <n v="3200"/>
    <n v="1600"/>
    <n v="1000"/>
    <n v="1000"/>
    <n v="1000"/>
    <n v="850"/>
    <n v="850"/>
    <n v="9500"/>
    <n v="1.9156075335610228E-5"/>
    <n v="0.99392140403484197"/>
    <b v="0"/>
  </r>
  <r>
    <n v="1012"/>
    <m/>
    <x v="18"/>
    <m/>
    <s v="VEOLIA WATER DELAWARE INC"/>
    <n v="0"/>
    <n v="0"/>
    <n v="9492.68"/>
    <n v="0"/>
    <n v="0"/>
    <n v="0"/>
    <n v="0"/>
    <n v="0"/>
    <n v="9492.68"/>
    <n v="1.9141315075456897E-5"/>
    <n v="0.99394054534991738"/>
    <b v="0"/>
  </r>
  <r>
    <n v="1221"/>
    <m/>
    <x v="18"/>
    <m/>
    <s v="VERTICAL CONSULTANTS LLC"/>
    <n v="0"/>
    <n v="0"/>
    <n v="0"/>
    <n v="9450"/>
    <n v="0"/>
    <n v="0"/>
    <n v="0"/>
    <n v="0"/>
    <n v="9450"/>
    <n v="1.9055253886475438E-5"/>
    <n v="0.99395960060380384"/>
    <b v="0"/>
  </r>
  <r>
    <n v="662"/>
    <m/>
    <x v="18"/>
    <m/>
    <s v="BRASURES PEST CONTROL INC"/>
    <n v="110"/>
    <n v="208"/>
    <n v="208"/>
    <n v="208"/>
    <n v="8671.9599999999991"/>
    <n v="0"/>
    <n v="0"/>
    <n v="0"/>
    <n v="9405.9599999999991"/>
    <n v="1.8966450354077511E-5"/>
    <n v="0.99397856705415788"/>
    <b v="0"/>
  </r>
  <r>
    <n v="860"/>
    <m/>
    <x v="18"/>
    <m/>
    <s v="SOMERSET WELL DRILLING CO INC"/>
    <n v="0"/>
    <n v="615"/>
    <n v="0"/>
    <n v="8786.94"/>
    <n v="0"/>
    <n v="0"/>
    <n v="0"/>
    <n v="0"/>
    <n v="9401.94"/>
    <n v="1.8958344309567077E-5"/>
    <n v="0.99399752539846742"/>
    <b v="0"/>
  </r>
  <r>
    <n v="683"/>
    <m/>
    <x v="18"/>
    <m/>
    <s v="MSC INDUSTRIAL SUPPLY CO INC"/>
    <n v="26.09"/>
    <n v="0"/>
    <n v="0"/>
    <n v="0"/>
    <n v="453.56"/>
    <n v="830.56"/>
    <n v="205.4"/>
    <n v="7865.42"/>
    <n v="9381.0300000000007"/>
    <n v="1.8916180779538908E-5"/>
    <n v="0.99401644157924696"/>
    <b v="0"/>
  </r>
  <r>
    <n v="1058"/>
    <m/>
    <x v="18"/>
    <m/>
    <s v="DIAMOND STATE DOOR LLC"/>
    <n v="0"/>
    <n v="0"/>
    <n v="2727"/>
    <n v="0"/>
    <n v="1075"/>
    <n v="0"/>
    <n v="3687.5"/>
    <n v="1800"/>
    <n v="9289.5"/>
    <n v="1.8731617034752761E-5"/>
    <n v="0.99403517319628176"/>
    <b v="0"/>
  </r>
  <r>
    <n v="449"/>
    <m/>
    <x v="18"/>
    <m/>
    <s v="ARENA SIGNS"/>
    <n v="1220"/>
    <n v="1570"/>
    <n v="225"/>
    <n v="1410"/>
    <n v="4378"/>
    <n v="375"/>
    <n v="0"/>
    <n v="0"/>
    <n v="9178"/>
    <n v="1.8506785203182177E-5"/>
    <n v="0.99405367998148497"/>
    <b v="0"/>
  </r>
  <r>
    <n v="748"/>
    <m/>
    <x v="18"/>
    <m/>
    <s v="PACH2 GROUP LLC"/>
    <n v="0"/>
    <n v="9177.7000000000007"/>
    <n v="0"/>
    <n v="0"/>
    <n v="0"/>
    <n v="0"/>
    <n v="0"/>
    <n v="0"/>
    <n v="9177.7000000000007"/>
    <n v="1.850618027448737E-5"/>
    <n v="0.99407218616175941"/>
    <b v="0"/>
  </r>
  <r>
    <n v="418"/>
    <m/>
    <x v="18"/>
    <m/>
    <s v="VANDEMARK &amp; LYNCH INC"/>
    <n v="1624"/>
    <n v="3000"/>
    <n v="0"/>
    <n v="0"/>
    <n v="0"/>
    <n v="0"/>
    <n v="0"/>
    <n v="4500"/>
    <n v="9124"/>
    <n v="1.8397898038116601E-5"/>
    <n v="0.99409058405979756"/>
    <b v="0"/>
  </r>
  <r>
    <n v="495"/>
    <m/>
    <x v="18"/>
    <m/>
    <s v="H SCHRIER &amp; CO INC"/>
    <n v="832"/>
    <n v="2465.1999999999998"/>
    <n v="0"/>
    <n v="940.6"/>
    <n v="1319.79"/>
    <n v="1132.82"/>
    <n v="977.26"/>
    <n v="1401.2"/>
    <n v="9068.8700000000008"/>
    <n v="1.8286732308300585E-5"/>
    <n v="0.99410887079210586"/>
    <b v="0"/>
  </r>
  <r>
    <n v="232"/>
    <m/>
    <x v="18"/>
    <m/>
    <s v="S&amp;L OUTFITTERS LLC"/>
    <n v="9046.94"/>
    <n v="0"/>
    <n v="0"/>
    <n v="0"/>
    <n v="0"/>
    <n v="0"/>
    <n v="0"/>
    <n v="0"/>
    <n v="9046.94"/>
    <n v="1.8242512020710064E-5"/>
    <n v="0.99412711330412662"/>
    <b v="0"/>
  </r>
  <r>
    <n v="750"/>
    <m/>
    <x v="18"/>
    <m/>
    <s v="HP INC"/>
    <n v="0"/>
    <n v="8855.36"/>
    <n v="0"/>
    <n v="0"/>
    <n v="0"/>
    <n v="164.68"/>
    <n v="0"/>
    <n v="0"/>
    <n v="9020.0400000000009"/>
    <n v="1.8188270081075549E-5"/>
    <n v="0.99414530157420766"/>
    <b v="0"/>
  </r>
  <r>
    <n v="1457"/>
    <m/>
    <x v="18"/>
    <m/>
    <s v="NATIONAL ASSOCIATION OF STATE PARK DIREC"/>
    <n v="0"/>
    <n v="0"/>
    <n v="0"/>
    <n v="0"/>
    <n v="3000"/>
    <n v="0"/>
    <n v="3000"/>
    <n v="3000"/>
    <n v="9000"/>
    <n v="1.8147860844262323E-5"/>
    <n v="0.99416344943505197"/>
    <b v="0"/>
  </r>
  <r>
    <n v="1695"/>
    <m/>
    <x v="18"/>
    <m/>
    <s v="AMERICA LEARNS LLC"/>
    <n v="0"/>
    <n v="0"/>
    <n v="0"/>
    <n v="0"/>
    <n v="0"/>
    <n v="9000"/>
    <n v="0"/>
    <n v="0"/>
    <n v="9000"/>
    <n v="1.8147860844262323E-5"/>
    <n v="0.99418159729589628"/>
    <b v="0"/>
  </r>
  <r>
    <n v="1696"/>
    <m/>
    <x v="18"/>
    <m/>
    <s v="TOWN OF FRANKFORD"/>
    <n v="0"/>
    <n v="0"/>
    <n v="0"/>
    <n v="0"/>
    <n v="0"/>
    <n v="8982"/>
    <n v="0"/>
    <n v="0"/>
    <n v="8982"/>
    <n v="1.8111565122573798E-5"/>
    <n v="0.99419970886101883"/>
    <b v="0"/>
  </r>
  <r>
    <n v="234"/>
    <m/>
    <x v="18"/>
    <m/>
    <s v="BACKYARD  PARADISE  LANDSCAPING  AND PON"/>
    <n v="8935"/>
    <n v="0"/>
    <n v="0"/>
    <n v="0"/>
    <n v="0"/>
    <n v="0"/>
    <n v="0"/>
    <n v="0"/>
    <n v="8935"/>
    <n v="1.8016792960387092E-5"/>
    <n v="0.99421772565397926"/>
    <b v="0"/>
  </r>
  <r>
    <n v="1022"/>
    <m/>
    <x v="18"/>
    <m/>
    <s v="QUILLENS RENT ALL INC"/>
    <n v="0"/>
    <n v="0"/>
    <n v="7233.11"/>
    <n v="1445.33"/>
    <n v="221.38"/>
    <n v="0"/>
    <n v="0"/>
    <n v="0"/>
    <n v="8899.8199999999979"/>
    <n v="1.7945854988775852E-5"/>
    <n v="0.99423567150896808"/>
    <b v="0"/>
  </r>
  <r>
    <n v="824"/>
    <m/>
    <x v="18"/>
    <m/>
    <s v="PTN WORKPRO HOLDINGS LLC"/>
    <n v="0"/>
    <n v="1275"/>
    <n v="953"/>
    <n v="725"/>
    <n v="860"/>
    <n v="1872"/>
    <n v="2036"/>
    <n v="1154"/>
    <n v="8875"/>
    <n v="1.7895807221425344E-5"/>
    <n v="0.99425356731618952"/>
    <b v="0"/>
  </r>
  <r>
    <n v="2270"/>
    <m/>
    <x v="18"/>
    <m/>
    <s v="CLEAR CHANNEL COMMUNICATIONS"/>
    <n v="0"/>
    <n v="0"/>
    <n v="0"/>
    <n v="0"/>
    <n v="0"/>
    <n v="0"/>
    <n v="0"/>
    <n v="8851.2000000000007"/>
    <n v="8851.2000000000007"/>
    <n v="1.7847816211637185E-5"/>
    <n v="0.99427141513240114"/>
    <b v="0"/>
  </r>
  <r>
    <n v="1999"/>
    <m/>
    <x v="18"/>
    <m/>
    <s v="COUNTERPARTS LLC"/>
    <n v="0"/>
    <n v="0"/>
    <n v="0"/>
    <n v="0"/>
    <n v="0"/>
    <n v="0"/>
    <n v="8846.14"/>
    <n v="0"/>
    <n v="8846.14"/>
    <n v="1.7837613080984741E-5"/>
    <n v="0.99428925274548208"/>
    <b v="0"/>
  </r>
  <r>
    <n v="1719"/>
    <m/>
    <x v="18"/>
    <m/>
    <s v="RICHARD ROTHROCK"/>
    <n v="0"/>
    <n v="0"/>
    <n v="0"/>
    <n v="0"/>
    <n v="0"/>
    <n v="4045"/>
    <n v="0"/>
    <n v="4800"/>
    <n v="8845"/>
    <n v="1.783531435194447E-5"/>
    <n v="0.99430708805983403"/>
    <b v="0"/>
  </r>
  <r>
    <n v="1430"/>
    <m/>
    <x v="18"/>
    <m/>
    <s v="WILKINS WILDLIFE &amp; BEDBUG 911"/>
    <n v="0"/>
    <n v="0"/>
    <n v="0"/>
    <n v="0"/>
    <n v="8834.9599999999991"/>
    <n v="0"/>
    <n v="0"/>
    <n v="0"/>
    <n v="8834.9599999999991"/>
    <n v="1.7815069404958202E-5"/>
    <n v="0.99432490312923894"/>
    <b v="0"/>
  </r>
  <r>
    <n v="1015"/>
    <m/>
    <x v="18"/>
    <m/>
    <s v="WARIHAY FARMS AND HARVESTING"/>
    <n v="0"/>
    <n v="0"/>
    <n v="8775.76"/>
    <n v="0"/>
    <n v="0"/>
    <n v="0"/>
    <n v="0"/>
    <n v="0"/>
    <n v="8775.76"/>
    <n v="1.7695696809182612E-5"/>
    <n v="0.99434259882604814"/>
    <b v="0"/>
  </r>
  <r>
    <n v="770"/>
    <m/>
    <x v="18"/>
    <m/>
    <s v="SS HANDCRAFTED ART LLC"/>
    <n v="0"/>
    <n v="4571.8599999999997"/>
    <n v="2194.5100000000002"/>
    <n v="1983.08"/>
    <n v="0"/>
    <n v="0"/>
    <n v="0"/>
    <n v="0"/>
    <n v="8749.4500000000007"/>
    <n v="1.7642644562647886E-5"/>
    <n v="0.99436024147061075"/>
    <b v="0"/>
  </r>
  <r>
    <n v="1057"/>
    <m/>
    <x v="18"/>
    <m/>
    <s v="MASTENS ELECTRIC LLC"/>
    <n v="0"/>
    <n v="0"/>
    <n v="2825"/>
    <n v="0"/>
    <n v="5839"/>
    <n v="0"/>
    <n v="0"/>
    <n v="0"/>
    <n v="8664"/>
    <n v="1.7470340706076528E-5"/>
    <n v="0.99437771181131684"/>
    <b v="0"/>
  </r>
  <r>
    <n v="380"/>
    <m/>
    <x v="18"/>
    <m/>
    <s v="CHARLES W SMITH III"/>
    <n v="2300"/>
    <n v="1500"/>
    <n v="1850"/>
    <n v="500"/>
    <n v="1000"/>
    <n v="0"/>
    <n v="1500"/>
    <n v="0"/>
    <n v="8650"/>
    <n v="1.7442110700318788E-5"/>
    <n v="0.99439515392201716"/>
    <b v="0"/>
  </r>
  <r>
    <n v="752"/>
    <m/>
    <x v="18"/>
    <m/>
    <s v="CAYCE STEEL COMPANY"/>
    <n v="0"/>
    <n v="8575"/>
    <n v="0"/>
    <n v="0"/>
    <n v="0"/>
    <n v="0"/>
    <n v="0"/>
    <n v="0"/>
    <n v="8575"/>
    <n v="1.7290878526616599E-5"/>
    <n v="0.9944124448005438"/>
    <b v="0"/>
  </r>
  <r>
    <n v="1016"/>
    <m/>
    <x v="18"/>
    <m/>
    <s v="4IMPRINT INC"/>
    <n v="0"/>
    <n v="0"/>
    <n v="8571.8700000000008"/>
    <n v="0"/>
    <n v="0"/>
    <n v="0"/>
    <n v="0"/>
    <n v="0"/>
    <n v="8571.8700000000008"/>
    <n v="1.7284567103900765E-5"/>
    <n v="0.99442972936764773"/>
    <b v="0"/>
  </r>
  <r>
    <n v="237"/>
    <m/>
    <x v="18"/>
    <m/>
    <s v="KABOOM"/>
    <n v="8500"/>
    <n v="0"/>
    <n v="0"/>
    <n v="0"/>
    <n v="0"/>
    <n v="0"/>
    <n v="0"/>
    <n v="0"/>
    <n v="8500"/>
    <n v="1.7139646352914414E-5"/>
    <n v="0.99444686901400059"/>
    <b v="0"/>
  </r>
  <r>
    <n v="2271"/>
    <m/>
    <x v="18"/>
    <m/>
    <s v="APEX REALTY ADVISORY LLC"/>
    <n v="0"/>
    <n v="0"/>
    <n v="0"/>
    <n v="0"/>
    <n v="0"/>
    <n v="0"/>
    <n v="0"/>
    <n v="8500"/>
    <n v="8500"/>
    <n v="1.7139646352914414E-5"/>
    <n v="0.99446400866035345"/>
    <b v="0"/>
  </r>
  <r>
    <n v="478"/>
    <m/>
    <x v="18"/>
    <m/>
    <s v="THE BUG COMPANY INC"/>
    <n v="979.86"/>
    <n v="1162"/>
    <n v="1229.9100000000001"/>
    <n v="794.36"/>
    <n v="762.95"/>
    <n v="1247.8499999999999"/>
    <n v="944.99"/>
    <n v="1375.77"/>
    <n v="8497.69"/>
    <n v="1.7134988401964389E-5"/>
    <n v="0.99448114364875539"/>
    <b v="0"/>
  </r>
  <r>
    <n v="241"/>
    <m/>
    <x v="18"/>
    <m/>
    <s v="MILLSBORO CARPET MART INC"/>
    <n v="8432.02"/>
    <n v="0"/>
    <n v="0"/>
    <n v="0"/>
    <n v="0"/>
    <n v="0"/>
    <n v="0"/>
    <n v="0"/>
    <n v="8432.02"/>
    <n v="1.7002569510670754E-5"/>
    <n v="0.99449814621826604"/>
    <b v="0"/>
  </r>
  <r>
    <n v="382"/>
    <m/>
    <x v="18"/>
    <m/>
    <s v="TX Child Support SDU"/>
    <n v="2284.59"/>
    <n v="5095.6400000000003"/>
    <n v="1038.45"/>
    <n v="0"/>
    <n v="0"/>
    <n v="0"/>
    <n v="0"/>
    <n v="0"/>
    <n v="8418.68"/>
    <n v="1.6975670348041591E-5"/>
    <n v="0.99451512188861413"/>
    <b v="0"/>
  </r>
  <r>
    <n v="803"/>
    <m/>
    <x v="18"/>
    <m/>
    <s v="JENNIFER C PASE"/>
    <n v="0"/>
    <n v="1977"/>
    <n v="3437"/>
    <n v="1833"/>
    <n v="360"/>
    <n v="810"/>
    <n v="0"/>
    <n v="0"/>
    <n v="8417"/>
    <n v="1.6972282747350662E-5"/>
    <n v="0.99453209417136146"/>
    <b v="0"/>
  </r>
  <r>
    <n v="1697"/>
    <m/>
    <x v="18"/>
    <m/>
    <s v="ROOF MENDERS INC"/>
    <n v="0"/>
    <n v="0"/>
    <n v="0"/>
    <n v="0"/>
    <n v="0"/>
    <n v="8400"/>
    <n v="0"/>
    <n v="0"/>
    <n v="8400"/>
    <n v="1.6938003454644834E-5"/>
    <n v="0.99454903217481605"/>
    <b v="0"/>
  </r>
  <r>
    <n v="1727"/>
    <m/>
    <x v="18"/>
    <m/>
    <s v="MASTER LOCATERS INC"/>
    <n v="0"/>
    <n v="0"/>
    <n v="0"/>
    <n v="0"/>
    <n v="0"/>
    <n v="3100"/>
    <n v="2400"/>
    <n v="2900"/>
    <n v="8400"/>
    <n v="1.6938003454644834E-5"/>
    <n v="0.99456597017827064"/>
    <b v="0"/>
  </r>
  <r>
    <n v="1478"/>
    <m/>
    <x v="18"/>
    <m/>
    <s v="HICKS BROTHERS LLC"/>
    <n v="0"/>
    <n v="0"/>
    <n v="0"/>
    <n v="0"/>
    <n v="1288.45"/>
    <n v="2779"/>
    <n v="2322.1999999999998"/>
    <n v="1942.75"/>
    <n v="8332.4"/>
    <n v="1.6801692855414596E-5"/>
    <n v="0.99458277187112609"/>
    <b v="0"/>
  </r>
  <r>
    <n v="1115"/>
    <m/>
    <x v="18"/>
    <m/>
    <s v="CAREY'S DIESEL INC"/>
    <n v="0"/>
    <n v="0"/>
    <n v="621.89"/>
    <n v="0"/>
    <n v="0"/>
    <n v="0"/>
    <n v="7675.74"/>
    <n v="0"/>
    <n v="8297.6299999999992"/>
    <n v="1.6731581619686261E-5"/>
    <n v="0.99459950345274573"/>
    <b v="0"/>
  </r>
  <r>
    <n v="1017"/>
    <m/>
    <x v="18"/>
    <m/>
    <s v="DRIVEWAY DOCTORS"/>
    <n v="0"/>
    <n v="0"/>
    <n v="8260"/>
    <n v="0"/>
    <n v="0"/>
    <n v="0"/>
    <n v="0"/>
    <n v="0"/>
    <n v="8260"/>
    <n v="1.6655703397067418E-5"/>
    <n v="0.99461615915614277"/>
    <b v="0"/>
  </r>
  <r>
    <n v="489"/>
    <m/>
    <x v="18"/>
    <m/>
    <s v="PROTECHS LLC"/>
    <n v="875.5"/>
    <n v="1726.5"/>
    <n v="102"/>
    <n v="655.95"/>
    <n v="3165.99"/>
    <n v="0"/>
    <n v="581.54999999999995"/>
    <n v="1117.0999999999999"/>
    <n v="8224.59"/>
    <n v="1.658430164679016E-5"/>
    <n v="0.99463274345778951"/>
    <b v="0"/>
  </r>
  <r>
    <n v="1431"/>
    <m/>
    <x v="18"/>
    <m/>
    <s v="SYSTECH DESIGN INC"/>
    <n v="0"/>
    <n v="0"/>
    <n v="0"/>
    <n v="0"/>
    <n v="8133.9"/>
    <n v="0"/>
    <n v="0"/>
    <n v="0"/>
    <n v="8133.9"/>
    <n v="1.6401431702349478E-5"/>
    <n v="0.99464914488949185"/>
    <b v="0"/>
  </r>
  <r>
    <n v="2000"/>
    <m/>
    <x v="18"/>
    <m/>
    <s v="PIPE PROS JETTING &amp; PLUMBING LLC"/>
    <n v="0"/>
    <n v="0"/>
    <n v="0"/>
    <n v="0"/>
    <n v="0"/>
    <n v="0"/>
    <n v="8115"/>
    <n v="0"/>
    <n v="8115"/>
    <n v="1.6363321194576526E-5"/>
    <n v="0.99466550821068644"/>
    <b v="0"/>
  </r>
  <r>
    <n v="356"/>
    <m/>
    <x v="18"/>
    <m/>
    <s v="WRISTBANDS MEDTECH USA INC"/>
    <n v="2992.8"/>
    <n v="2754"/>
    <n v="1119.42"/>
    <n v="1243.8"/>
    <n v="0"/>
    <n v="0"/>
    <n v="0"/>
    <n v="0"/>
    <n v="8110.02"/>
    <n v="1.6353279378242702E-5"/>
    <n v="0.99468186149006466"/>
    <b v="0"/>
  </r>
  <r>
    <n v="1698"/>
    <m/>
    <x v="18"/>
    <m/>
    <s v="MARK A RILEY"/>
    <n v="0"/>
    <n v="0"/>
    <n v="0"/>
    <n v="0"/>
    <n v="0"/>
    <n v="8050"/>
    <n v="0"/>
    <n v="0"/>
    <n v="8050"/>
    <n v="1.6232253310701299E-5"/>
    <n v="0.99469809374337537"/>
    <b v="0"/>
  </r>
  <r>
    <n v="2272"/>
    <m/>
    <x v="18"/>
    <m/>
    <s v="MARLINGS INC"/>
    <n v="0"/>
    <n v="0"/>
    <n v="0"/>
    <n v="0"/>
    <n v="0"/>
    <n v="0"/>
    <n v="0"/>
    <n v="8048.47"/>
    <n v="8048.47"/>
    <n v="1.6229168174357774E-5"/>
    <n v="0.99471432291154971"/>
    <b v="0"/>
  </r>
  <r>
    <n v="460"/>
    <m/>
    <x v="18"/>
    <m/>
    <s v="DIAMOND STATE TIRE INC"/>
    <n v="1133"/>
    <n v="0"/>
    <n v="632"/>
    <n v="1045.98"/>
    <n v="2259.1999999999998"/>
    <n v="1093.2"/>
    <n v="983.6"/>
    <n v="880.1"/>
    <n v="8027.0800000000008"/>
    <n v="1.6186036758417911E-5"/>
    <n v="0.99473050894830817"/>
    <b v="0"/>
  </r>
  <r>
    <n v="790"/>
    <m/>
    <x v="18"/>
    <m/>
    <s v="THE PRESTWICK GROUP INC"/>
    <n v="0"/>
    <n v="2918.6"/>
    <n v="0"/>
    <n v="0"/>
    <n v="5099"/>
    <n v="0"/>
    <n v="0"/>
    <n v="0"/>
    <n v="8017.6"/>
    <n v="1.6166921011661957E-5"/>
    <n v="0.99474667586931986"/>
    <b v="0"/>
  </r>
  <r>
    <n v="1699"/>
    <m/>
    <x v="18"/>
    <m/>
    <s v="TOWN OF SOUTH BETHANY"/>
    <n v="0"/>
    <n v="0"/>
    <n v="0"/>
    <n v="0"/>
    <n v="0"/>
    <n v="8000"/>
    <n v="0"/>
    <n v="0"/>
    <n v="8000"/>
    <n v="1.6131431861566509E-5"/>
    <n v="0.99476280730118138"/>
    <b v="0"/>
  </r>
  <r>
    <n v="2001"/>
    <m/>
    <x v="18"/>
    <m/>
    <s v="CAPITOL BOILER WORKS INC"/>
    <n v="0"/>
    <n v="0"/>
    <n v="0"/>
    <n v="0"/>
    <n v="0"/>
    <n v="0"/>
    <n v="7975"/>
    <n v="0"/>
    <n v="7975"/>
    <n v="1.6081021136999114E-5"/>
    <n v="0.99477888832231842"/>
    <b v="0"/>
  </r>
  <r>
    <n v="246"/>
    <m/>
    <x v="18"/>
    <m/>
    <s v="ZENITH GP LLC"/>
    <n v="7958"/>
    <n v="0"/>
    <n v="0"/>
    <n v="0"/>
    <n v="0"/>
    <n v="0"/>
    <n v="0"/>
    <n v="0"/>
    <n v="7958"/>
    <n v="1.6046741844293282E-5"/>
    <n v="0.99479493506416272"/>
    <b v="0"/>
  </r>
  <r>
    <n v="1019"/>
    <m/>
    <x v="18"/>
    <m/>
    <s v="CARTER MACHINERY COMPANY INC"/>
    <n v="0"/>
    <n v="0"/>
    <n v="7894.5"/>
    <n v="0"/>
    <n v="0"/>
    <n v="0"/>
    <n v="0"/>
    <n v="0"/>
    <n v="7894.5"/>
    <n v="1.5918698603892101E-5"/>
    <n v="0.99481085376276657"/>
    <b v="0"/>
  </r>
  <r>
    <n v="1700"/>
    <m/>
    <x v="18"/>
    <m/>
    <s v="NEXT DAY BLINDS CORPORATION"/>
    <n v="0"/>
    <n v="0"/>
    <n v="0"/>
    <n v="0"/>
    <n v="0"/>
    <n v="7878"/>
    <n v="0"/>
    <n v="0"/>
    <n v="7878"/>
    <n v="1.5885427525677618E-5"/>
    <n v="0.9948267391902923"/>
    <b v="0"/>
  </r>
  <r>
    <n v="1765"/>
    <m/>
    <x v="18"/>
    <m/>
    <s v="ADAMS PARTS LLC"/>
    <n v="0"/>
    <n v="0"/>
    <n v="0"/>
    <n v="0"/>
    <n v="0"/>
    <n v="1086.8800000000001"/>
    <n v="3952.01"/>
    <n v="2835.51"/>
    <n v="7874.4000000000005"/>
    <n v="1.5878168381339914E-5"/>
    <n v="0.99484261735867363"/>
    <b v="0"/>
  </r>
  <r>
    <n v="249"/>
    <m/>
    <x v="18"/>
    <m/>
    <s v="HOWMEDICA OSTEONICS CORP DBA STRYKER SAL"/>
    <n v="7873.78"/>
    <n v="0"/>
    <n v="0"/>
    <n v="0"/>
    <n v="0"/>
    <n v="0"/>
    <n v="0"/>
    <n v="0"/>
    <n v="7873.78"/>
    <n v="1.5876918195370643E-5"/>
    <n v="0.99485849427686901"/>
    <b v="0"/>
  </r>
  <r>
    <n v="794"/>
    <m/>
    <x v="18"/>
    <m/>
    <s v="TEAM LIFE INC"/>
    <n v="0"/>
    <n v="2527"/>
    <n v="725"/>
    <n v="2886"/>
    <n v="0"/>
    <n v="1303"/>
    <n v="384"/>
    <n v="0"/>
    <n v="7825"/>
    <n v="1.577855678959474E-5"/>
    <n v="0.99487427283365859"/>
    <b v="0"/>
  </r>
  <r>
    <n v="281"/>
    <m/>
    <x v="18"/>
    <m/>
    <s v="MARITIME DELAWARE LLC"/>
    <n v="6059.25"/>
    <n v="0"/>
    <n v="0"/>
    <n v="0"/>
    <n v="1747.9"/>
    <n v="0"/>
    <n v="0"/>
    <n v="0"/>
    <n v="7807.15"/>
    <n v="1.574256353225362E-5"/>
    <n v="0.9948900153971908"/>
    <b v="0"/>
  </r>
  <r>
    <n v="440"/>
    <m/>
    <x v="18"/>
    <m/>
    <s v="MARVEL'S PORTABLE WELDING INC"/>
    <n v="1298"/>
    <n v="6495.28"/>
    <n v="0"/>
    <n v="0"/>
    <n v="0"/>
    <n v="0"/>
    <n v="0"/>
    <n v="0"/>
    <n v="7793.28"/>
    <n v="1.571459566226363E-5"/>
    <n v="0.99490572999285309"/>
    <b v="0"/>
  </r>
  <r>
    <n v="2273"/>
    <m/>
    <x v="18"/>
    <m/>
    <s v="JIM WARRINGTON CONTRACTOR INC"/>
    <n v="0"/>
    <n v="0"/>
    <n v="0"/>
    <n v="0"/>
    <n v="0"/>
    <n v="0"/>
    <n v="0"/>
    <n v="7784.8"/>
    <n v="7784.8"/>
    <n v="1.5697496344490369E-5"/>
    <n v="0.99492142748919754"/>
    <b v="0"/>
  </r>
  <r>
    <n v="405"/>
    <m/>
    <x v="18"/>
    <m/>
    <s v="R &amp; R ELECTRIC INC"/>
    <n v="1798"/>
    <n v="403"/>
    <n v="0"/>
    <n v="0"/>
    <n v="1710"/>
    <n v="0"/>
    <n v="105.91"/>
    <n v="3715.3"/>
    <n v="7732.21"/>
    <n v="1.5591452344290396E-5"/>
    <n v="0.99493701894154185"/>
    <b v="0"/>
  </r>
  <r>
    <n v="341"/>
    <m/>
    <x v="18"/>
    <m/>
    <s v="VINCENT FACCHIANO"/>
    <n v="3373.31"/>
    <n v="525"/>
    <n v="1959"/>
    <n v="786.97"/>
    <n v="0"/>
    <n v="1053"/>
    <n v="0"/>
    <n v="0"/>
    <n v="7697.28"/>
    <n v="1.5521018479924831E-5"/>
    <n v="0.99495253996002175"/>
    <b v="0"/>
  </r>
  <r>
    <n v="1021"/>
    <m/>
    <x v="18"/>
    <m/>
    <s v="PARK WAREHOUSE LLC"/>
    <n v="0"/>
    <n v="0"/>
    <n v="7670.4"/>
    <n v="0"/>
    <n v="0"/>
    <n v="0"/>
    <n v="0"/>
    <n v="0"/>
    <n v="7670.4"/>
    <n v="1.5466816868869968E-5"/>
    <n v="0.99496800677689068"/>
    <b v="0"/>
  </r>
  <r>
    <n v="825"/>
    <m/>
    <x v="18"/>
    <m/>
    <s v="TOWN OF BLADES"/>
    <n v="0"/>
    <n v="1236.52"/>
    <n v="3671.54"/>
    <n v="2727"/>
    <n v="0"/>
    <n v="0"/>
    <n v="0"/>
    <n v="0"/>
    <n v="7635.0599999999995"/>
    <n v="1.5395556268621498E-5"/>
    <n v="0.99498340233315929"/>
    <b v="0"/>
  </r>
  <r>
    <n v="2051"/>
    <m/>
    <x v="18"/>
    <m/>
    <s v="MERIT MECHANICAL CO INC"/>
    <n v="0"/>
    <n v="0"/>
    <n v="0"/>
    <n v="0"/>
    <n v="0"/>
    <n v="0"/>
    <n v="1988.16"/>
    <n v="5614.18"/>
    <n v="7602.34"/>
    <n v="1.5329578712307691E-5"/>
    <n v="0.9949987319118716"/>
    <b v="0"/>
  </r>
  <r>
    <n v="1722"/>
    <m/>
    <x v="18"/>
    <m/>
    <s v="ALVIN WALKER DBA ALL CLEAN"/>
    <n v="0"/>
    <n v="0"/>
    <n v="0"/>
    <n v="0"/>
    <n v="0"/>
    <n v="3798"/>
    <n v="0"/>
    <n v="3798"/>
    <n v="7596"/>
    <n v="1.5316794552557399E-5"/>
    <n v="0.99501404870642418"/>
    <b v="0"/>
  </r>
  <r>
    <n v="434"/>
    <m/>
    <x v="18"/>
    <m/>
    <s v="GEORGE J FALTER COMPANY"/>
    <n v="1433.76"/>
    <n v="1668.61"/>
    <n v="1719.25"/>
    <n v="457.29"/>
    <n v="361.07"/>
    <n v="704.65"/>
    <n v="857.19"/>
    <n v="358.79"/>
    <n v="7560.61"/>
    <n v="1.5245433130859794E-5"/>
    <n v="0.99502929413955499"/>
    <b v="0"/>
  </r>
  <r>
    <n v="255"/>
    <m/>
    <x v="18"/>
    <m/>
    <s v="DELAWARE BLUE COATS LLC"/>
    <n v="7500"/>
    <n v="0"/>
    <n v="0"/>
    <n v="0"/>
    <n v="0"/>
    <n v="0"/>
    <n v="0"/>
    <n v="0"/>
    <n v="7500"/>
    <n v="1.5123217370218602E-5"/>
    <n v="0.99504441735692517"/>
    <b v="0"/>
  </r>
  <r>
    <n v="1076"/>
    <m/>
    <x v="18"/>
    <m/>
    <s v="MICHAEL FOLLIN"/>
    <n v="0"/>
    <n v="0"/>
    <n v="1500"/>
    <n v="1200"/>
    <n v="1200"/>
    <n v="1200"/>
    <n v="1200"/>
    <n v="1200"/>
    <n v="7500"/>
    <n v="1.5123217370218602E-5"/>
    <n v="0.99505954057429535"/>
    <b v="0"/>
  </r>
  <r>
    <n v="1255"/>
    <m/>
    <x v="18"/>
    <m/>
    <s v="WESTERN INDUSTRIES NORTH INC"/>
    <n v="0"/>
    <n v="0"/>
    <n v="0"/>
    <n v="2055.5"/>
    <n v="4446"/>
    <n v="970.5"/>
    <n v="0"/>
    <n v="0"/>
    <n v="7472"/>
    <n v="1.5066757358703119E-5"/>
    <n v="0.99507460733165409"/>
    <b v="0"/>
  </r>
  <r>
    <n v="457"/>
    <m/>
    <x v="18"/>
    <m/>
    <s v="BIG JS IRRIGATION LLC"/>
    <n v="1175"/>
    <n v="1025"/>
    <n v="500"/>
    <n v="1207.5"/>
    <n v="3555"/>
    <n v="0"/>
    <n v="0"/>
    <n v="0"/>
    <n v="7462.5"/>
    <n v="1.5047601283367508E-5"/>
    <n v="0.99508965493293744"/>
    <b v="0"/>
  </r>
  <r>
    <n v="2012"/>
    <m/>
    <x v="18"/>
    <m/>
    <s v="C S WEBB DAUGHTER &amp; SON INC"/>
    <n v="0"/>
    <n v="0"/>
    <n v="0"/>
    <n v="0"/>
    <n v="0"/>
    <n v="0"/>
    <n v="4780"/>
    <n v="2675"/>
    <n v="7455"/>
    <n v="1.5032478065997289E-5"/>
    <n v="0.99510468741100344"/>
    <b v="0"/>
  </r>
  <r>
    <n v="381"/>
    <m/>
    <x v="18"/>
    <m/>
    <s v="KARSPAR INC"/>
    <n v="2284.6"/>
    <n v="124.32"/>
    <n v="1910.64"/>
    <n v="1607.28"/>
    <n v="1488.56"/>
    <n v="0"/>
    <n v="0"/>
    <n v="0"/>
    <n v="7415.4"/>
    <n v="1.4952627478282534E-5"/>
    <n v="0.99511964003848175"/>
    <b v="0"/>
  </r>
  <r>
    <n v="757"/>
    <m/>
    <x v="18"/>
    <m/>
    <s v="KAPPE ASSOC INC"/>
    <n v="0"/>
    <n v="7370"/>
    <n v="0"/>
    <n v="0"/>
    <n v="0"/>
    <n v="0"/>
    <n v="0"/>
    <n v="0"/>
    <n v="7370"/>
    <n v="1.4861081602468146E-5"/>
    <n v="0.99513450112008417"/>
    <b v="0"/>
  </r>
  <r>
    <n v="1064"/>
    <m/>
    <x v="18"/>
    <m/>
    <s v="QUICK REFERENCE PUBLISHING INC"/>
    <n v="0"/>
    <n v="0"/>
    <n v="2434"/>
    <n v="2830"/>
    <n v="2106"/>
    <n v="0"/>
    <n v="0"/>
    <n v="0"/>
    <n v="7370"/>
    <n v="1.4861081602468146E-5"/>
    <n v="0.99514936220168659"/>
    <b v="0"/>
  </r>
  <r>
    <n v="262"/>
    <m/>
    <x v="18"/>
    <m/>
    <s v="VILLAGE OF ARDENTOWN"/>
    <n v="7355"/>
    <n v="0"/>
    <n v="0"/>
    <n v="0"/>
    <n v="0"/>
    <n v="0"/>
    <n v="0"/>
    <n v="0"/>
    <n v="7355"/>
    <n v="1.4830835167727709E-5"/>
    <n v="0.99516419303685433"/>
    <b v="0"/>
  </r>
  <r>
    <n v="1434"/>
    <m/>
    <x v="18"/>
    <m/>
    <s v="ADLER DISPLAY STUDIO INC"/>
    <n v="0"/>
    <n v="0"/>
    <n v="0"/>
    <n v="0"/>
    <n v="7340"/>
    <n v="0"/>
    <n v="0"/>
    <n v="0"/>
    <n v="7340"/>
    <n v="1.4800588732987272E-5"/>
    <n v="0.99517899362558726"/>
    <b v="0"/>
  </r>
  <r>
    <n v="1435"/>
    <m/>
    <x v="18"/>
    <m/>
    <s v="DOURON INC"/>
    <n v="0"/>
    <n v="0"/>
    <n v="0"/>
    <n v="0"/>
    <n v="6975.9"/>
    <n v="352.35"/>
    <n v="0"/>
    <n v="0"/>
    <n v="7328.25"/>
    <n v="1.4776895692440595E-5"/>
    <n v="0.99519377052127966"/>
    <b v="0"/>
  </r>
  <r>
    <n v="1774"/>
    <m/>
    <x v="18"/>
    <m/>
    <s v="CONTRACTORS MATERIAL"/>
    <n v="0"/>
    <n v="0"/>
    <n v="0"/>
    <n v="0"/>
    <n v="0"/>
    <n v="944.95"/>
    <n v="398.68"/>
    <n v="5874.2"/>
    <n v="7217.83"/>
    <n v="1.4554241604171323E-5"/>
    <n v="0.99520832476288379"/>
    <b v="0"/>
  </r>
  <r>
    <n v="759"/>
    <m/>
    <x v="18"/>
    <m/>
    <s v="Liz Symborski"/>
    <n v="0"/>
    <n v="7200"/>
    <n v="0"/>
    <n v="0"/>
    <n v="0"/>
    <n v="0"/>
    <n v="0"/>
    <n v="0"/>
    <n v="7200"/>
    <n v="1.4518288675409857E-5"/>
    <n v="0.99522284305155917"/>
    <b v="0"/>
  </r>
  <r>
    <n v="1031"/>
    <m/>
    <x v="18"/>
    <m/>
    <s v="THE PIC20 GROUP LLC"/>
    <n v="0"/>
    <n v="0"/>
    <n v="5994"/>
    <n v="0"/>
    <n v="1152"/>
    <n v="0"/>
    <n v="0"/>
    <n v="0"/>
    <n v="7146"/>
    <n v="1.4409401510344284E-5"/>
    <n v="0.99523725245306949"/>
    <b v="0"/>
  </r>
  <r>
    <n v="2274"/>
    <m/>
    <x v="18"/>
    <m/>
    <s v="JEFFREY HATCH SR"/>
    <n v="0"/>
    <n v="0"/>
    <n v="0"/>
    <n v="0"/>
    <n v="0"/>
    <n v="0"/>
    <n v="0"/>
    <n v="7135.09"/>
    <n v="7135.09"/>
    <n v="1.4387402270143072E-5"/>
    <n v="0.9952516398553396"/>
    <b v="0"/>
  </r>
  <r>
    <n v="1023"/>
    <m/>
    <x v="18"/>
    <m/>
    <s v="MARK NEWRUCK DBA MOUNTAIN GRAPHICS"/>
    <n v="0"/>
    <n v="0"/>
    <n v="7129.38"/>
    <n v="0"/>
    <n v="0"/>
    <n v="0"/>
    <n v="0"/>
    <n v="0"/>
    <n v="7129.38"/>
    <n v="1.4375888460651878E-5"/>
    <n v="0.99526601574380025"/>
    <b v="0"/>
  </r>
  <r>
    <n v="2044"/>
    <m/>
    <x v="18"/>
    <m/>
    <s v="TAYLOR STUDIOS INC"/>
    <n v="0"/>
    <n v="0"/>
    <n v="0"/>
    <n v="0"/>
    <n v="0"/>
    <n v="0"/>
    <n v="2200"/>
    <n v="4900"/>
    <n v="7100"/>
    <n v="1.4316645777140275E-5"/>
    <n v="0.99528033238957736"/>
    <b v="0"/>
  </r>
  <r>
    <n v="393"/>
    <m/>
    <x v="18"/>
    <m/>
    <s v="D SHINN INC"/>
    <n v="2029"/>
    <n v="0"/>
    <n v="0"/>
    <n v="0"/>
    <n v="3360"/>
    <n v="0"/>
    <n v="1650"/>
    <n v="0"/>
    <n v="7039"/>
    <n v="1.4193643609195832E-5"/>
    <n v="0.99529452603318658"/>
    <b v="0"/>
  </r>
  <r>
    <n v="347"/>
    <m/>
    <x v="18"/>
    <m/>
    <s v="MCKESSON MEDICAL-SURGICAL GOV SOLUTIONS"/>
    <n v="3224.58"/>
    <n v="0"/>
    <n v="0"/>
    <n v="27.75"/>
    <n v="3642.69"/>
    <n v="120.75"/>
    <n v="0"/>
    <n v="0"/>
    <n v="7015.77"/>
    <n v="1.4146801963927808E-5"/>
    <n v="0.99530867283515045"/>
    <b v="0"/>
  </r>
  <r>
    <n v="639"/>
    <m/>
    <x v="18"/>
    <m/>
    <s v="COLONY POOL SERV"/>
    <n v="175"/>
    <n v="0"/>
    <n v="665.5"/>
    <n v="788"/>
    <n v="755.25"/>
    <n v="860.5"/>
    <n v="1548.5"/>
    <n v="2182.4"/>
    <n v="6975.15"/>
    <n v="1.4064894618650703E-5"/>
    <n v="0.99532273772976909"/>
    <b v="0"/>
  </r>
  <r>
    <n v="1225"/>
    <m/>
    <x v="18"/>
    <m/>
    <s v="SEAN CONSIDINE"/>
    <n v="0"/>
    <n v="0"/>
    <n v="0"/>
    <n v="6950"/>
    <n v="0"/>
    <n v="0"/>
    <n v="0"/>
    <n v="0"/>
    <n v="6950"/>
    <n v="1.4014181429735903E-5"/>
    <n v="0.99533675191119886"/>
    <b v="0"/>
  </r>
  <r>
    <n v="324"/>
    <m/>
    <x v="18"/>
    <m/>
    <s v="KENDALL ELECTRIC INC"/>
    <n v="3953.13"/>
    <n v="2906.58"/>
    <n v="39.61"/>
    <n v="50.42"/>
    <n v="0"/>
    <n v="0"/>
    <n v="0"/>
    <n v="0"/>
    <n v="6949.74"/>
    <n v="1.4013657158200403E-5"/>
    <n v="0.99535076556835711"/>
    <b v="0"/>
  </r>
  <r>
    <n v="635"/>
    <m/>
    <x v="18"/>
    <m/>
    <s v="MONRO MUFFLER BRAKE INC"/>
    <n v="189.99"/>
    <n v="0"/>
    <n v="0"/>
    <n v="472.12"/>
    <n v="1905.82"/>
    <n v="2823.67"/>
    <n v="1109.23"/>
    <n v="440.99"/>
    <n v="6941.82"/>
    <n v="1.3997687040657452E-5"/>
    <n v="0.9953647632553978"/>
    <b v="0"/>
  </r>
  <r>
    <n v="1540"/>
    <m/>
    <x v="18"/>
    <m/>
    <s v="CAPITOL CLEANERS &amp; LAUNDERERS"/>
    <n v="0"/>
    <n v="0"/>
    <n v="0"/>
    <n v="0"/>
    <n v="327.35000000000002"/>
    <n v="1873.72"/>
    <n v="2456.5700000000002"/>
    <n v="2223.54"/>
    <n v="6881.18"/>
    <n v="1.3875410787146778E-5"/>
    <n v="0.99537863866618492"/>
    <b v="0"/>
  </r>
  <r>
    <n v="1161"/>
    <m/>
    <x v="18"/>
    <m/>
    <s v="COASTAL POINT"/>
    <n v="0"/>
    <n v="0"/>
    <n v="185"/>
    <n v="1688"/>
    <n v="1505"/>
    <n v="1475"/>
    <n v="1983"/>
    <n v="0"/>
    <n v="6836"/>
    <n v="1.3784308525708581E-5"/>
    <n v="0.99539242297471064"/>
    <b v="0"/>
  </r>
  <r>
    <n v="2035"/>
    <m/>
    <x v="18"/>
    <m/>
    <s v="SMITH PAINTING INC"/>
    <n v="0"/>
    <n v="0"/>
    <n v="0"/>
    <n v="0"/>
    <n v="0"/>
    <n v="0"/>
    <n v="2700"/>
    <n v="4125"/>
    <n v="6825"/>
    <n v="1.3762127806898927E-5"/>
    <n v="0.99540618510251755"/>
    <b v="0"/>
  </r>
  <r>
    <n v="1026"/>
    <m/>
    <x v="18"/>
    <m/>
    <s v="VOGL BROS"/>
    <n v="0"/>
    <n v="0"/>
    <n v="6800"/>
    <n v="0"/>
    <n v="0"/>
    <n v="0"/>
    <n v="0"/>
    <n v="0"/>
    <n v="6800"/>
    <n v="1.3711717082331532E-5"/>
    <n v="0.99541989681959986"/>
    <b v="0"/>
  </r>
  <r>
    <n v="858"/>
    <m/>
    <x v="18"/>
    <m/>
    <s v="POPDOT LLC"/>
    <n v="0"/>
    <n v="646"/>
    <n v="197"/>
    <n v="0"/>
    <n v="0"/>
    <n v="0"/>
    <n v="5900"/>
    <n v="0"/>
    <n v="6743"/>
    <n v="1.3596780630317871E-5"/>
    <n v="0.99543349360023015"/>
    <b v="0"/>
  </r>
  <r>
    <n v="765"/>
    <m/>
    <x v="18"/>
    <m/>
    <s v="LLOYDS STONEWORKS"/>
    <n v="0"/>
    <n v="5240"/>
    <n v="1500"/>
    <n v="0"/>
    <n v="0"/>
    <n v="0"/>
    <n v="0"/>
    <n v="0"/>
    <n v="6740"/>
    <n v="1.3590731343369782E-5"/>
    <n v="0.99544708433157347"/>
    <b v="0"/>
  </r>
  <r>
    <n v="270"/>
    <m/>
    <x v="18"/>
    <m/>
    <s v="CURTIS G TESTERMAN INC"/>
    <n v="6737"/>
    <n v="0"/>
    <n v="0"/>
    <n v="0"/>
    <n v="0"/>
    <n v="0"/>
    <n v="0"/>
    <n v="0"/>
    <n v="6737"/>
    <n v="1.3584682056421696E-5"/>
    <n v="0.99546066901362984"/>
    <b v="0"/>
  </r>
  <r>
    <n v="452"/>
    <m/>
    <x v="18"/>
    <m/>
    <s v="LOWERCASE LLC"/>
    <n v="1200"/>
    <n v="1100"/>
    <n v="1100"/>
    <n v="1100"/>
    <n v="2200"/>
    <n v="0"/>
    <n v="0"/>
    <n v="0"/>
    <n v="6700"/>
    <n v="1.351007418406195E-5"/>
    <n v="0.99547417908781388"/>
    <b v="0"/>
  </r>
  <r>
    <n v="1173"/>
    <m/>
    <x v="18"/>
    <m/>
    <s v="CHESAPEAKE SUPPLY &amp; EQUIPMENT"/>
    <n v="0"/>
    <n v="0"/>
    <n v="111.4"/>
    <n v="0"/>
    <n v="0"/>
    <n v="0"/>
    <n v="6586.68"/>
    <n v="0"/>
    <n v="6698.08"/>
    <n v="1.3506202640415174E-5"/>
    <n v="0.99548768529045428"/>
    <b v="0"/>
  </r>
  <r>
    <n v="302"/>
    <m/>
    <x v="18"/>
    <m/>
    <s v="HITCHENS TIRE SERVICE INC"/>
    <n v="5012"/>
    <n v="0"/>
    <n v="1685"/>
    <n v="0"/>
    <n v="0"/>
    <n v="0"/>
    <n v="0"/>
    <n v="0"/>
    <n v="6697"/>
    <n v="1.3504024897113862E-5"/>
    <n v="0.99550118931535136"/>
    <b v="0"/>
  </r>
  <r>
    <n v="2275"/>
    <m/>
    <x v="18"/>
    <m/>
    <s v="DELAWARE COUNTY SUPPLY COMPANY INC"/>
    <n v="0"/>
    <n v="0"/>
    <n v="0"/>
    <n v="0"/>
    <n v="0"/>
    <n v="0"/>
    <n v="0"/>
    <n v="6682"/>
    <n v="6682"/>
    <n v="1.3473778462373425E-5"/>
    <n v="0.99551466309381376"/>
    <b v="0"/>
  </r>
  <r>
    <n v="471"/>
    <m/>
    <x v="18"/>
    <m/>
    <s v="DTC MUSIC LLC"/>
    <n v="1000"/>
    <n v="2600"/>
    <n v="2000"/>
    <n v="250"/>
    <n v="0"/>
    <n v="800"/>
    <n v="0"/>
    <n v="0"/>
    <n v="6650"/>
    <n v="1.340925273492716E-5"/>
    <n v="0.99552807234654872"/>
    <b v="0"/>
  </r>
  <r>
    <n v="272"/>
    <m/>
    <x v="18"/>
    <m/>
    <s v="JAMES SCALIA PLUMBING &amp; HEATING"/>
    <n v="6600"/>
    <n v="0"/>
    <n v="0"/>
    <n v="0"/>
    <n v="0"/>
    <n v="0"/>
    <n v="0"/>
    <n v="0"/>
    <n v="6600"/>
    <n v="1.3308431285792368E-5"/>
    <n v="0.99554138077783449"/>
    <b v="0"/>
  </r>
  <r>
    <n v="2060"/>
    <m/>
    <x v="18"/>
    <m/>
    <s v="ILLINOIS RAILWAY MUSEUM INC"/>
    <n v="0"/>
    <n v="0"/>
    <n v="0"/>
    <n v="0"/>
    <n v="0"/>
    <n v="0"/>
    <n v="1585"/>
    <n v="4999"/>
    <n v="6584"/>
    <n v="1.3276168422069236E-5"/>
    <n v="0.99555465694625656"/>
    <b v="0"/>
  </r>
  <r>
    <n v="401"/>
    <m/>
    <x v="18"/>
    <m/>
    <s v="CC PRODUCTS LLC"/>
    <n v="1893.6"/>
    <n v="0"/>
    <n v="0"/>
    <n v="0"/>
    <n v="0"/>
    <n v="0"/>
    <n v="777.1"/>
    <n v="3909.84"/>
    <n v="6580.54"/>
    <n v="1.3269191577789109E-5"/>
    <n v="0.99556792613783429"/>
    <b v="0"/>
  </r>
  <r>
    <n v="477"/>
    <m/>
    <x v="18"/>
    <m/>
    <s v="CHORDUROY ENT LLC"/>
    <n v="1000"/>
    <n v="1000"/>
    <n v="700"/>
    <n v="700"/>
    <n v="0"/>
    <n v="1350"/>
    <n v="500"/>
    <n v="1300"/>
    <n v="6550"/>
    <n v="1.3207609836657578E-5"/>
    <n v="0.99558113374767099"/>
    <b v="0"/>
  </r>
  <r>
    <n v="2276"/>
    <m/>
    <x v="18"/>
    <m/>
    <s v="OAT FOUNDRY LLC"/>
    <n v="0"/>
    <n v="0"/>
    <n v="0"/>
    <n v="0"/>
    <n v="0"/>
    <n v="0"/>
    <n v="0"/>
    <n v="6550"/>
    <n v="6550"/>
    <n v="1.3207609836657578E-5"/>
    <n v="0.99559434135750768"/>
    <b v="0"/>
  </r>
  <r>
    <n v="811"/>
    <m/>
    <x v="18"/>
    <m/>
    <s v="PEARL POOL PLASTERING LLC"/>
    <n v="0"/>
    <n v="1700"/>
    <n v="0"/>
    <n v="0"/>
    <n v="0"/>
    <n v="4814.6000000000004"/>
    <n v="0"/>
    <n v="0"/>
    <n v="6514.6"/>
    <n v="1.3136228250670147E-5"/>
    <n v="0.9956074775857584"/>
    <b v="0"/>
  </r>
  <r>
    <n v="807"/>
    <m/>
    <x v="18"/>
    <m/>
    <s v="BRUCE INDUSTRIAL COMPANY"/>
    <n v="0"/>
    <n v="1819"/>
    <n v="0"/>
    <n v="0"/>
    <n v="1783.18"/>
    <n v="0"/>
    <n v="2802.78"/>
    <n v="0"/>
    <n v="6404.9600000000009"/>
    <n v="1.291514697700738E-5"/>
    <n v="0.99562039273273539"/>
    <b v="0"/>
  </r>
  <r>
    <n v="454"/>
    <m/>
    <x v="18"/>
    <m/>
    <s v="MARK S HALLER"/>
    <n v="1200"/>
    <n v="1200"/>
    <n v="1200"/>
    <n v="700"/>
    <n v="100"/>
    <n v="0"/>
    <n v="1000"/>
    <n v="1000"/>
    <n v="6400"/>
    <n v="1.2905145489253206E-5"/>
    <n v="0.99563329787822463"/>
    <b v="0"/>
  </r>
  <r>
    <n v="1701"/>
    <m/>
    <x v="18"/>
    <m/>
    <s v="DUFFIELD ASSOCIATES INC"/>
    <n v="0"/>
    <n v="0"/>
    <n v="0"/>
    <n v="0"/>
    <n v="0"/>
    <n v="6400"/>
    <n v="0"/>
    <n v="0"/>
    <n v="6400"/>
    <n v="1.2905145489253206E-5"/>
    <n v="0.99564620302371387"/>
    <b v="0"/>
  </r>
  <r>
    <n v="417"/>
    <m/>
    <x v="18"/>
    <m/>
    <s v="PENCO CORP"/>
    <n v="1644.28"/>
    <n v="179.04"/>
    <n v="325.36"/>
    <n v="131.58000000000001"/>
    <n v="0"/>
    <n v="4015.72"/>
    <n v="16.87"/>
    <n v="0"/>
    <n v="6312.8499999999995"/>
    <n v="1.2729413703411265E-5"/>
    <n v="0.99565893243741732"/>
    <b v="0"/>
  </r>
  <r>
    <n v="1028"/>
    <m/>
    <x v="18"/>
    <m/>
    <s v="DAVID L BANKS"/>
    <n v="0"/>
    <n v="0"/>
    <n v="6300"/>
    <n v="0"/>
    <n v="0"/>
    <n v="0"/>
    <n v="0"/>
    <n v="0"/>
    <n v="6300"/>
    <n v="1.2703502590983625E-5"/>
    <n v="0.99567163594000829"/>
    <b v="0"/>
  </r>
  <r>
    <n v="1762"/>
    <m/>
    <x v="18"/>
    <m/>
    <s v="DREAM QUEST LTD"/>
    <n v="0"/>
    <n v="0"/>
    <n v="0"/>
    <n v="0"/>
    <n v="0"/>
    <n v="1350"/>
    <n v="288"/>
    <n v="4658"/>
    <n v="6296"/>
    <n v="1.2695436875052842E-5"/>
    <n v="0.99568433137688339"/>
    <b v="0"/>
  </r>
  <r>
    <n v="1229"/>
    <m/>
    <x v="18"/>
    <m/>
    <s v="ECO PLASTIC PRODUCTS OF DELAWARE"/>
    <n v="0"/>
    <n v="0"/>
    <n v="0"/>
    <n v="6273.75"/>
    <n v="0"/>
    <n v="0"/>
    <n v="0"/>
    <n v="0"/>
    <n v="6273.75"/>
    <n v="1.2650571330187861E-5"/>
    <n v="0.99569698194821354"/>
    <b v="0"/>
  </r>
  <r>
    <n v="1083"/>
    <m/>
    <x v="18"/>
    <m/>
    <s v="THE COLONIAL WILLIAMSBURG"/>
    <n v="0"/>
    <n v="0"/>
    <n v="1137.04"/>
    <n v="5111.78"/>
    <n v="0"/>
    <n v="0"/>
    <n v="0"/>
    <n v="0"/>
    <n v="6248.82"/>
    <n v="1.2600301755649252E-5"/>
    <n v="0.99570958224996919"/>
    <b v="0"/>
  </r>
  <r>
    <n v="1702"/>
    <m/>
    <x v="18"/>
    <m/>
    <s v="GUARDIAN ENVIRONMENTAL SERVICES CO INC"/>
    <n v="0"/>
    <n v="0"/>
    <n v="0"/>
    <n v="0"/>
    <n v="0"/>
    <n v="6212.26"/>
    <n v="0"/>
    <n v="0"/>
    <n v="6212.26"/>
    <n v="1.2526581112041894E-5"/>
    <n v="0.99572210883108125"/>
    <b v="0"/>
  </r>
  <r>
    <n v="1230"/>
    <m/>
    <x v="18"/>
    <m/>
    <s v="OXFORD NANOPORE TECHNOLOGIES INC"/>
    <n v="0"/>
    <n v="0"/>
    <n v="0"/>
    <n v="6176"/>
    <n v="0"/>
    <n v="0"/>
    <n v="0"/>
    <n v="0"/>
    <n v="6176"/>
    <n v="1.2453465397129344E-5"/>
    <n v="0.99573456229647839"/>
    <b v="0"/>
  </r>
  <r>
    <n v="392"/>
    <m/>
    <x v="18"/>
    <m/>
    <s v="OPERADELAWARE INC"/>
    <n v="2050"/>
    <n v="1250"/>
    <n v="1600"/>
    <n v="1250"/>
    <n v="0"/>
    <n v="0"/>
    <n v="0"/>
    <n v="0"/>
    <n v="6150"/>
    <n v="1.2401038243579253E-5"/>
    <n v="0.99574696333472201"/>
    <b v="0"/>
  </r>
  <r>
    <n v="416"/>
    <m/>
    <x v="18"/>
    <m/>
    <s v="BIG HOUSE PHILLY LLC"/>
    <n v="1650"/>
    <n v="1500"/>
    <n v="1500"/>
    <n v="0"/>
    <n v="0"/>
    <n v="1500"/>
    <n v="0"/>
    <n v="0"/>
    <n v="6150"/>
    <n v="1.2401038243579253E-5"/>
    <n v="0.99575936437296564"/>
    <b v="0"/>
  </r>
  <r>
    <n v="315"/>
    <m/>
    <x v="18"/>
    <m/>
    <s v="NATIONAL CENTER FOR SAFETY INITIATIVES L"/>
    <n v="4327"/>
    <n v="1794.5"/>
    <n v="0"/>
    <n v="0"/>
    <n v="0"/>
    <n v="0"/>
    <n v="0"/>
    <n v="0"/>
    <n v="6121.5"/>
    <n v="1.2343570017572423E-5"/>
    <n v="0.9957717079429832"/>
    <b v="0"/>
  </r>
  <r>
    <n v="1438"/>
    <m/>
    <x v="18"/>
    <m/>
    <s v="SPLASHTACULAR LLC"/>
    <n v="0"/>
    <n v="0"/>
    <n v="0"/>
    <n v="0"/>
    <n v="6110"/>
    <n v="0"/>
    <n v="0"/>
    <n v="0"/>
    <n v="6110"/>
    <n v="1.2320381084271421E-5"/>
    <n v="0.99578402832406743"/>
    <b v="0"/>
  </r>
  <r>
    <n v="1703"/>
    <m/>
    <x v="18"/>
    <m/>
    <s v="BULLDOG MFG LLC"/>
    <n v="0"/>
    <n v="0"/>
    <n v="0"/>
    <n v="0"/>
    <n v="0"/>
    <n v="6094.5"/>
    <n v="0"/>
    <n v="0"/>
    <n v="6094.5"/>
    <n v="1.2289126435039635E-5"/>
    <n v="0.99579631745050246"/>
    <b v="0"/>
  </r>
  <r>
    <n v="2007"/>
    <m/>
    <x v="18"/>
    <m/>
    <s v="LEWES PIGS LLC"/>
    <n v="0"/>
    <n v="0"/>
    <n v="0"/>
    <n v="0"/>
    <n v="0"/>
    <n v="0"/>
    <n v="5360"/>
    <n v="732.49"/>
    <n v="6092.49"/>
    <n v="1.2285073412784417E-5"/>
    <n v="0.99580860252391523"/>
    <b v="0"/>
  </r>
  <r>
    <n v="1598"/>
    <m/>
    <x v="18"/>
    <m/>
    <s v="SHANNAHAN WATER COMPANY LLC"/>
    <n v="0"/>
    <n v="0"/>
    <n v="0"/>
    <n v="0"/>
    <n v="149"/>
    <n v="316.16000000000003"/>
    <n v="5600"/>
    <n v="0"/>
    <n v="6065.16"/>
    <n v="1.222996440868734E-5"/>
    <n v="0.99582083248832387"/>
    <b v="0"/>
  </r>
  <r>
    <n v="656"/>
    <m/>
    <x v="18"/>
    <m/>
    <s v="EASTERN SHORE COFFEE"/>
    <n v="132.30000000000001"/>
    <n v="0"/>
    <n v="0"/>
    <n v="0"/>
    <n v="79.95"/>
    <n v="502.97"/>
    <n v="1904.45"/>
    <n v="3443.23"/>
    <n v="6062.9"/>
    <n v="1.2225407279186446E-5"/>
    <n v="0.99583305789560306"/>
    <b v="0"/>
  </r>
  <r>
    <n v="1030"/>
    <m/>
    <x v="18"/>
    <m/>
    <s v="NORTHERN TIER LLC"/>
    <n v="0"/>
    <n v="0"/>
    <n v="6050"/>
    <n v="0"/>
    <n v="0"/>
    <n v="0"/>
    <n v="0"/>
    <n v="0"/>
    <n v="6050"/>
    <n v="1.2199395345309671E-5"/>
    <n v="0.99584525729094842"/>
    <b v="0"/>
  </r>
  <r>
    <n v="597"/>
    <m/>
    <x v="18"/>
    <m/>
    <s v="EAST COAST PLUMBING SERVICE"/>
    <n v="396"/>
    <n v="2279"/>
    <n v="0"/>
    <n v="3011"/>
    <n v="0"/>
    <n v="0"/>
    <n v="324"/>
    <n v="0"/>
    <n v="6010"/>
    <n v="1.2118738186001839E-5"/>
    <n v="0.99585737602913438"/>
    <b v="0"/>
  </r>
  <r>
    <n v="787"/>
    <m/>
    <x v="18"/>
    <m/>
    <s v="REBECCA LOVIN"/>
    <n v="0"/>
    <n v="3000"/>
    <n v="3000"/>
    <n v="0"/>
    <n v="0"/>
    <n v="0"/>
    <n v="0"/>
    <n v="0"/>
    <n v="6000"/>
    <n v="1.2098573896174881E-5"/>
    <n v="0.99586947460303055"/>
    <b v="0"/>
  </r>
  <r>
    <n v="2277"/>
    <m/>
    <x v="18"/>
    <m/>
    <s v="DELAWARE 87ERS LLC"/>
    <n v="0"/>
    <n v="0"/>
    <n v="0"/>
    <n v="0"/>
    <n v="0"/>
    <n v="0"/>
    <n v="0"/>
    <n v="6000"/>
    <n v="6000"/>
    <n v="1.2098573896174881E-5"/>
    <n v="0.99588157317692672"/>
    <b v="0"/>
  </r>
  <r>
    <n v="1145"/>
    <m/>
    <x v="18"/>
    <m/>
    <s v="BENZ HYDRAULICS INC"/>
    <n v="0"/>
    <n v="0"/>
    <n v="289.75"/>
    <n v="814.6"/>
    <n v="278.92"/>
    <n v="409.44"/>
    <n v="2281.52"/>
    <n v="1925.72"/>
    <n v="5999.95"/>
    <n v="1.2098473074725745E-5"/>
    <n v="0.99589367165000142"/>
    <b v="0"/>
  </r>
  <r>
    <n v="2003"/>
    <m/>
    <x v="18"/>
    <m/>
    <s v="SHI INTERNATIONAL CORP"/>
    <n v="0"/>
    <n v="0"/>
    <n v="0"/>
    <n v="0"/>
    <n v="0"/>
    <n v="0"/>
    <n v="5968.47"/>
    <n v="0"/>
    <n v="5968.47"/>
    <n v="1.2034995890350482E-5"/>
    <n v="0.99590570664589173"/>
    <b v="0"/>
  </r>
  <r>
    <n v="2052"/>
    <m/>
    <x v="18"/>
    <m/>
    <s v="DHSS GOVERNOR BACON"/>
    <n v="0"/>
    <n v="0"/>
    <n v="0"/>
    <n v="0"/>
    <n v="0"/>
    <n v="0"/>
    <n v="1977.54"/>
    <n v="3984.28"/>
    <n v="5961.82"/>
    <n v="1.2021586637615554E-5"/>
    <n v="0.99591772823252933"/>
    <b v="0"/>
  </r>
  <r>
    <n v="461"/>
    <m/>
    <x v="18"/>
    <m/>
    <s v="CARLOS MIR"/>
    <n v="1125"/>
    <n v="1125"/>
    <n v="1400"/>
    <n v="700"/>
    <n v="0"/>
    <n v="600"/>
    <n v="250"/>
    <n v="750"/>
    <n v="5950"/>
    <n v="1.1997752447040091E-5"/>
    <n v="0.99592972598497642"/>
    <b v="0"/>
  </r>
  <r>
    <n v="1728"/>
    <m/>
    <x v="18"/>
    <m/>
    <s v="THE PARK RANGER INSTITUTE"/>
    <n v="0"/>
    <n v="0"/>
    <n v="0"/>
    <n v="0"/>
    <n v="0"/>
    <n v="3000"/>
    <n v="1175"/>
    <n v="1775"/>
    <n v="5950"/>
    <n v="1.1997752447040091E-5"/>
    <n v="0.99594172373742351"/>
    <b v="0"/>
  </r>
  <r>
    <n v="1267"/>
    <m/>
    <x v="18"/>
    <m/>
    <s v="FISHER AND SON COMPANY INC"/>
    <n v="0"/>
    <n v="0"/>
    <n v="0"/>
    <n v="1714.26"/>
    <n v="0"/>
    <n v="0"/>
    <n v="0"/>
    <n v="4229.5200000000004"/>
    <n v="5943.7800000000007"/>
    <n v="1.1985210258767724E-5"/>
    <n v="0.99595370894768231"/>
    <b v="0"/>
  </r>
  <r>
    <n v="1032"/>
    <m/>
    <x v="18"/>
    <m/>
    <s v="DOWNES HARDWOOD LLC"/>
    <n v="0"/>
    <n v="0"/>
    <n v="5923.25"/>
    <n v="0"/>
    <n v="0"/>
    <n v="0"/>
    <n v="0"/>
    <n v="0"/>
    <n v="5923.25"/>
    <n v="1.1943812971752977E-5"/>
    <n v="0.99596565276065407"/>
    <b v="0"/>
  </r>
  <r>
    <n v="1033"/>
    <m/>
    <x v="18"/>
    <m/>
    <s v="B&amp;S FARMS INC"/>
    <n v="0"/>
    <n v="0"/>
    <n v="5920"/>
    <n v="0"/>
    <n v="0"/>
    <n v="0"/>
    <n v="0"/>
    <n v="0"/>
    <n v="5920"/>
    <n v="1.1937259577559216E-5"/>
    <n v="0.99597759002023167"/>
    <b v="0"/>
  </r>
  <r>
    <n v="1231"/>
    <m/>
    <x v="18"/>
    <m/>
    <s v="K&amp;C CONSTRUCTION &amp; LANDSCAPING LLC"/>
    <n v="0"/>
    <n v="0"/>
    <n v="0"/>
    <n v="5900"/>
    <n v="0"/>
    <n v="0"/>
    <n v="0"/>
    <n v="0"/>
    <n v="5900"/>
    <n v="1.18969309979053E-5"/>
    <n v="0.99598948695122957"/>
    <b v="0"/>
  </r>
  <r>
    <n v="2004"/>
    <m/>
    <x v="18"/>
    <m/>
    <s v="COASTAL WOOD INDUSTRIES"/>
    <n v="0"/>
    <n v="0"/>
    <n v="0"/>
    <n v="0"/>
    <n v="0"/>
    <n v="0"/>
    <n v="5879.4"/>
    <n v="0"/>
    <n v="5879.4"/>
    <n v="1.1855392560861765E-5"/>
    <n v="0.99600134234379045"/>
    <b v="0"/>
  </r>
  <r>
    <n v="286"/>
    <m/>
    <x v="18"/>
    <m/>
    <s v="RAPUANO IRON LLC"/>
    <n v="5875"/>
    <n v="0"/>
    <n v="0"/>
    <n v="0"/>
    <n v="0"/>
    <n v="0"/>
    <n v="0"/>
    <n v="0"/>
    <n v="5875"/>
    <n v="1.1846520273337904E-5"/>
    <n v="0.99601318886406376"/>
    <b v="0"/>
  </r>
  <r>
    <n v="1474"/>
    <m/>
    <x v="18"/>
    <m/>
    <s v="AMER ARBORIST SUP"/>
    <n v="0"/>
    <n v="0"/>
    <n v="0"/>
    <n v="0"/>
    <n v="1352.32"/>
    <n v="2529.34"/>
    <n v="741.82"/>
    <n v="1235.73"/>
    <n v="5859.2099999999991"/>
    <n v="1.1814680859701136E-5"/>
    <n v="0.99602500354492352"/>
    <b v="0"/>
  </r>
  <r>
    <n v="2005"/>
    <m/>
    <x v="18"/>
    <m/>
    <s v="GALLS LLC"/>
    <n v="0"/>
    <n v="0"/>
    <n v="0"/>
    <n v="0"/>
    <n v="0"/>
    <n v="0"/>
    <n v="5842.75"/>
    <n v="10"/>
    <n v="5852.75"/>
    <n v="1.1801654728472922E-5"/>
    <n v="0.99603680519965199"/>
    <b v="0"/>
  </r>
  <r>
    <n v="337"/>
    <m/>
    <x v="18"/>
    <m/>
    <s v="RED SUN CUSTOM APPAREL INC"/>
    <n v="3458.97"/>
    <n v="2386.65"/>
    <n v="0"/>
    <n v="0"/>
    <n v="0"/>
    <n v="0"/>
    <n v="0"/>
    <n v="0"/>
    <n v="5845.62"/>
    <n v="1.1787277589826301E-5"/>
    <n v="0.99604859247724187"/>
    <b v="0"/>
  </r>
  <r>
    <n v="287"/>
    <m/>
    <x v="18"/>
    <m/>
    <s v="MES I ACQUISITION INC"/>
    <n v="5836"/>
    <n v="0"/>
    <n v="0"/>
    <n v="0"/>
    <n v="0"/>
    <n v="0"/>
    <n v="0"/>
    <n v="0"/>
    <n v="5836"/>
    <n v="1.1767879543012767E-5"/>
    <n v="0.99606036035678491"/>
    <b v="0"/>
  </r>
  <r>
    <n v="785"/>
    <m/>
    <x v="18"/>
    <m/>
    <s v="CHILDRENS BEACH HOUSE INC"/>
    <n v="0"/>
    <n v="3036"/>
    <n v="2711"/>
    <n v="0"/>
    <n v="0"/>
    <n v="0"/>
    <n v="0"/>
    <n v="0"/>
    <n v="5747"/>
    <n v="1.158841736355284E-5"/>
    <n v="0.99607194877414851"/>
    <b v="0"/>
  </r>
  <r>
    <n v="2278"/>
    <m/>
    <x v="18"/>
    <m/>
    <s v="GREEN FLUSH TECHNOLOGIES LLC"/>
    <n v="0"/>
    <n v="0"/>
    <n v="0"/>
    <n v="0"/>
    <n v="0"/>
    <n v="0"/>
    <n v="0"/>
    <n v="5737"/>
    <n v="5737"/>
    <n v="1.1568253073725882E-5"/>
    <n v="0.9960835170272222"/>
    <b v="0"/>
  </r>
  <r>
    <n v="763"/>
    <m/>
    <x v="18"/>
    <m/>
    <s v="SWEETWATER HOLDINGS LLC"/>
    <n v="0"/>
    <n v="5698.99"/>
    <n v="0"/>
    <n v="0"/>
    <n v="0"/>
    <n v="0"/>
    <n v="0"/>
    <n v="0"/>
    <n v="5698.99"/>
    <n v="1.1491608608093613E-5"/>
    <n v="0.99609500863583034"/>
    <b v="0"/>
  </r>
  <r>
    <n v="288"/>
    <m/>
    <x v="18"/>
    <m/>
    <s v="DIRECTIONAL DRILLING PARTNERS DBA BOREIT"/>
    <n v="5680"/>
    <n v="0"/>
    <n v="0"/>
    <n v="0"/>
    <n v="0"/>
    <n v="0"/>
    <n v="0"/>
    <n v="0"/>
    <n v="5680"/>
    <n v="1.145331662171222E-5"/>
    <n v="0.996106461952452"/>
    <b v="0"/>
  </r>
  <r>
    <n v="616"/>
    <m/>
    <x v="18"/>
    <m/>
    <s v="JSJ GROUP INCORPORATED"/>
    <n v="275"/>
    <n v="0"/>
    <n v="5390"/>
    <n v="0"/>
    <n v="0"/>
    <n v="0"/>
    <n v="0"/>
    <n v="0"/>
    <n v="5665"/>
    <n v="1.1423070186971783E-5"/>
    <n v="0.99611788502263898"/>
    <b v="0"/>
  </r>
  <r>
    <n v="1439"/>
    <m/>
    <x v="18"/>
    <m/>
    <s v="R&amp;B RESTORATION CARPENTRY INC"/>
    <n v="0"/>
    <n v="0"/>
    <n v="0"/>
    <n v="0"/>
    <n v="5640"/>
    <n v="0"/>
    <n v="0"/>
    <n v="0"/>
    <n v="5640"/>
    <n v="1.1372659462404388E-5"/>
    <n v="0.99612925768210137"/>
    <b v="0"/>
  </r>
  <r>
    <n v="1440"/>
    <m/>
    <x v="18"/>
    <m/>
    <s v="THE STATION GALLERY"/>
    <n v="0"/>
    <n v="0"/>
    <n v="0"/>
    <n v="0"/>
    <n v="5616.85"/>
    <n v="0"/>
    <n v="0"/>
    <n v="0"/>
    <n v="5616.85"/>
    <n v="1.1325979131454981E-5"/>
    <n v="0.99614058366123281"/>
    <b v="0"/>
  </r>
  <r>
    <n v="343"/>
    <m/>
    <x v="18"/>
    <m/>
    <s v="THE HOME CITY ICE COMPANY"/>
    <n v="3333.8"/>
    <n v="1926.8"/>
    <n v="355.2"/>
    <n v="0"/>
    <n v="0"/>
    <n v="0"/>
    <n v="0"/>
    <n v="0"/>
    <n v="5615.8"/>
    <n v="1.132386188102315E-5"/>
    <n v="0.99615190752311389"/>
    <b v="0"/>
  </r>
  <r>
    <n v="1278"/>
    <m/>
    <x v="18"/>
    <m/>
    <s v="JOSEPH ULRICH"/>
    <n v="0"/>
    <n v="0"/>
    <n v="0"/>
    <n v="1127.92"/>
    <n v="4486.84"/>
    <n v="0"/>
    <n v="0"/>
    <n v="0"/>
    <n v="5614.76"/>
    <n v="1.1321764794881146E-5"/>
    <n v="0.99616322928790879"/>
    <b v="0"/>
  </r>
  <r>
    <n v="1441"/>
    <m/>
    <x v="18"/>
    <m/>
    <s v="WALKER'S MARINE INC"/>
    <n v="0"/>
    <n v="0"/>
    <n v="0"/>
    <n v="0"/>
    <n v="5600"/>
    <n v="0"/>
    <n v="0"/>
    <n v="0"/>
    <n v="5600"/>
    <n v="1.1292002303096556E-5"/>
    <n v="0.99617452129021189"/>
    <b v="0"/>
  </r>
  <r>
    <n v="1732"/>
    <m/>
    <x v="18"/>
    <m/>
    <s v="GEO-SCI CONSULTANTS LLC"/>
    <n v="0"/>
    <n v="0"/>
    <n v="0"/>
    <n v="0"/>
    <n v="0"/>
    <n v="2800"/>
    <n v="2800"/>
    <n v="0"/>
    <n v="5600"/>
    <n v="1.1292002303096556E-5"/>
    <n v="0.99618581329251499"/>
    <b v="0"/>
  </r>
  <r>
    <n v="2079"/>
    <m/>
    <x v="18"/>
    <m/>
    <s v="GREGG &amp; SONS MECHANICAL"/>
    <n v="0"/>
    <n v="0"/>
    <n v="0"/>
    <n v="0"/>
    <n v="0"/>
    <n v="0"/>
    <n v="1100.08"/>
    <n v="4487.34"/>
    <n v="5587.42"/>
    <n v="1.1266635626494242E-5"/>
    <n v="0.99619707992814144"/>
    <b v="0"/>
  </r>
  <r>
    <n v="291"/>
    <m/>
    <x v="18"/>
    <m/>
    <s v="PAGE FOAM CUSHIONED PRODUCTS COMPANY INC"/>
    <n v="5577.4"/>
    <n v="0"/>
    <n v="0"/>
    <n v="0"/>
    <n v="0"/>
    <n v="0"/>
    <n v="0"/>
    <n v="0"/>
    <n v="5577.4"/>
    <n v="1.1246431008087629E-5"/>
    <n v="0.99620832635914958"/>
    <b v="0"/>
  </r>
  <r>
    <n v="537"/>
    <m/>
    <x v="18"/>
    <m/>
    <s v="MCROBERTS SALES CO INC"/>
    <n v="592.5"/>
    <n v="0"/>
    <n v="0"/>
    <n v="1285.5"/>
    <n v="1373"/>
    <n v="0"/>
    <n v="0"/>
    <n v="2310.65"/>
    <n v="5561.65"/>
    <n v="1.1214672251610171E-5"/>
    <n v="0.9962195410314012"/>
    <b v="0"/>
  </r>
  <r>
    <n v="764"/>
    <m/>
    <x v="18"/>
    <m/>
    <s v="BORDENTOWN DRIVER TRAINING"/>
    <n v="0"/>
    <n v="5545"/>
    <n v="0"/>
    <n v="0"/>
    <n v="0"/>
    <n v="0"/>
    <n v="0"/>
    <n v="0"/>
    <n v="5545"/>
    <n v="1.1181098709048285E-5"/>
    <n v="0.99623072213011021"/>
    <b v="0"/>
  </r>
  <r>
    <n v="547"/>
    <m/>
    <x v="18"/>
    <m/>
    <s v="HORNEY INDUSTRIAL ELECTRONICS"/>
    <n v="538.79999999999995"/>
    <n v="538.79999999999995"/>
    <n v="1002.52"/>
    <n v="538.79999999999995"/>
    <n v="610.66"/>
    <n v="1208.3599999999999"/>
    <n v="538.79999999999995"/>
    <n v="538.79999999999995"/>
    <n v="5515.54"/>
    <n v="1.1121694711218068E-5"/>
    <n v="0.99624184382482139"/>
    <b v="0"/>
  </r>
  <r>
    <n v="1268"/>
    <m/>
    <x v="18"/>
    <m/>
    <s v="STEVEN LEWERS &amp; ASSOCIATES"/>
    <n v="0"/>
    <n v="0"/>
    <n v="0"/>
    <n v="1680"/>
    <n v="236.06"/>
    <n v="1737"/>
    <n v="1341.72"/>
    <n v="519.02"/>
    <n v="5513.7999999999993"/>
    <n v="1.1118186124788175E-5"/>
    <n v="0.99625296201094615"/>
    <b v="0"/>
  </r>
  <r>
    <n v="859"/>
    <m/>
    <x v="18"/>
    <m/>
    <s v="HAJOCA CORP"/>
    <n v="0"/>
    <n v="635.09"/>
    <n v="76.599999999999994"/>
    <n v="0"/>
    <n v="0"/>
    <n v="409.76"/>
    <n v="2926.9"/>
    <n v="1454.77"/>
    <n v="5503.1200000000008"/>
    <n v="1.1096650663252986E-5"/>
    <n v="0.99626405866160939"/>
    <b v="0"/>
  </r>
  <r>
    <n v="538"/>
    <m/>
    <x v="18"/>
    <m/>
    <s v="ACR III DBA DOVER PUBLICATIONS"/>
    <n v="581.76"/>
    <n v="1345.76"/>
    <n v="2405.7600000000002"/>
    <n v="1136.76"/>
    <n v="0"/>
    <n v="0"/>
    <n v="0"/>
    <n v="0"/>
    <n v="5470.0400000000009"/>
    <n v="1.1029947192505409E-5"/>
    <n v="0.99627508860880187"/>
    <b v="0"/>
  </r>
  <r>
    <n v="442"/>
    <m/>
    <x v="18"/>
    <m/>
    <s v="TUPP SIGNS"/>
    <n v="1285"/>
    <n v="0"/>
    <n v="0"/>
    <n v="0"/>
    <n v="0"/>
    <n v="0"/>
    <n v="4171"/>
    <n v="0"/>
    <n v="5456"/>
    <n v="1.1001636529588358E-5"/>
    <n v="0.99628609024533143"/>
    <b v="0"/>
  </r>
  <r>
    <n v="446"/>
    <m/>
    <x v="18"/>
    <m/>
    <s v="CULVER ALAN RAUSCH SR"/>
    <n v="1250"/>
    <n v="850"/>
    <n v="1050"/>
    <n v="400"/>
    <n v="200"/>
    <n v="800"/>
    <n v="0"/>
    <n v="900"/>
    <n v="5450"/>
    <n v="1.0989537955692184E-5"/>
    <n v="0.99629707978328708"/>
    <b v="0"/>
  </r>
  <r>
    <n v="1713"/>
    <m/>
    <x v="18"/>
    <m/>
    <s v="THE CUTTING EDGE OF DELAWARE INC"/>
    <n v="0"/>
    <n v="0"/>
    <n v="0"/>
    <n v="0"/>
    <n v="0"/>
    <n v="4430"/>
    <n v="0"/>
    <n v="965"/>
    <n v="5395"/>
    <n v="1.0878634361643914E-5"/>
    <n v="0.99630795841764874"/>
    <b v="0"/>
  </r>
  <r>
    <n v="645"/>
    <m/>
    <x v="18"/>
    <m/>
    <s v="GENUINE PART COMPANY - NAPA"/>
    <n v="157.36000000000001"/>
    <n v="0"/>
    <n v="1126.52"/>
    <n v="650.79"/>
    <n v="894.76"/>
    <n v="1044.77"/>
    <n v="609.78"/>
    <n v="895.96"/>
    <n v="5379.9400000000005"/>
    <n v="1.0848266941164516E-5"/>
    <n v="0.99631880668458994"/>
    <b v="0"/>
  </r>
  <r>
    <n v="874"/>
    <m/>
    <x v="18"/>
    <m/>
    <s v="WASTE MANAGEMENT OF DELAWARE"/>
    <n v="0"/>
    <n v="518.45000000000005"/>
    <n v="0"/>
    <n v="0"/>
    <n v="0"/>
    <n v="4815.58"/>
    <n v="0"/>
    <n v="0"/>
    <n v="5334.03"/>
    <n v="1.075569268656895E-5"/>
    <n v="0.99632956237727655"/>
    <b v="0"/>
  </r>
  <r>
    <n v="504"/>
    <m/>
    <x v="18"/>
    <m/>
    <s v="JEFFREY L FERRARA DBA SPOKEY SPEAKY"/>
    <n v="800"/>
    <n v="800"/>
    <n v="800"/>
    <n v="900"/>
    <n v="0"/>
    <n v="825"/>
    <n v="800"/>
    <n v="400"/>
    <n v="5325"/>
    <n v="1.0737484332855206E-5"/>
    <n v="0.99634029986160944"/>
    <b v="0"/>
  </r>
  <r>
    <n v="782"/>
    <m/>
    <x v="18"/>
    <m/>
    <s v="MARINE RESCUE PRODUCTS INC"/>
    <n v="0"/>
    <n v="3314"/>
    <n v="0"/>
    <n v="0"/>
    <n v="2010.85"/>
    <n v="0"/>
    <n v="0"/>
    <n v="0"/>
    <n v="5324.85"/>
    <n v="1.0737181868507803E-5"/>
    <n v="0.99635103704347794"/>
    <b v="0"/>
  </r>
  <r>
    <n v="776"/>
    <m/>
    <x v="18"/>
    <m/>
    <s v="BOULEVARD AUTO SALES INC"/>
    <n v="0"/>
    <n v="4088.86"/>
    <n v="0"/>
    <n v="588.34"/>
    <n v="639.87"/>
    <n v="0"/>
    <n v="0"/>
    <n v="0"/>
    <n v="5317.07"/>
    <n v="1.0721494051022428E-5"/>
    <n v="0.99636175853752895"/>
    <b v="0"/>
  </r>
  <r>
    <n v="1233"/>
    <m/>
    <x v="18"/>
    <m/>
    <s v="KIRSTEN HAMMERSTROM"/>
    <n v="0"/>
    <n v="0"/>
    <n v="0"/>
    <n v="5316.98"/>
    <n v="0"/>
    <n v="0"/>
    <n v="0"/>
    <n v="0"/>
    <n v="5316.98"/>
    <n v="1.0721312572413986E-5"/>
    <n v="0.99637247985010136"/>
    <b v="0"/>
  </r>
  <r>
    <n v="419"/>
    <m/>
    <x v="18"/>
    <m/>
    <s v="MASTERPIECES PUZZLE COMPANY INC"/>
    <n v="1618.75"/>
    <n v="3676.95"/>
    <n v="0"/>
    <n v="0"/>
    <n v="0"/>
    <n v="0"/>
    <n v="0"/>
    <n v="0"/>
    <n v="5295.7"/>
    <n v="1.067840296366222E-5"/>
    <n v="0.996383158253065"/>
    <b v="0"/>
  </r>
  <r>
    <n v="2008"/>
    <m/>
    <x v="18"/>
    <m/>
    <s v="POWELL DRILLING AND SERVICES INCORPORATE"/>
    <n v="0"/>
    <n v="0"/>
    <n v="0"/>
    <n v="0"/>
    <n v="0"/>
    <n v="0"/>
    <n v="5280"/>
    <n v="0"/>
    <n v="5280"/>
    <n v="1.0646745028633895E-5"/>
    <n v="0.9963938049980936"/>
    <b v="0"/>
  </r>
  <r>
    <n v="2009"/>
    <m/>
    <x v="18"/>
    <m/>
    <s v="EARTH ANCHORING SUPPLIERS LLC"/>
    <n v="0"/>
    <n v="0"/>
    <n v="0"/>
    <n v="0"/>
    <n v="0"/>
    <n v="0"/>
    <n v="5264.1"/>
    <n v="0"/>
    <n v="5264.1"/>
    <n v="1.0614683807809032E-5"/>
    <n v="0.99640441968190141"/>
    <b v="0"/>
  </r>
  <r>
    <n v="487"/>
    <m/>
    <x v="18"/>
    <m/>
    <s v="VPS ENTERTAINMENT LLC"/>
    <n v="900"/>
    <n v="900"/>
    <n v="900"/>
    <n v="900"/>
    <n v="0"/>
    <n v="900"/>
    <n v="0"/>
    <n v="750"/>
    <n v="5250"/>
    <n v="1.0586252159153021E-5"/>
    <n v="0.99641500593406052"/>
    <b v="0"/>
  </r>
  <r>
    <n v="2279"/>
    <m/>
    <x v="18"/>
    <m/>
    <s v="CLARK ASSOCIATES INC"/>
    <n v="0"/>
    <n v="0"/>
    <n v="0"/>
    <n v="0"/>
    <n v="0"/>
    <n v="0"/>
    <n v="0"/>
    <n v="5184.3599999999997"/>
    <n v="5184.3599999999997"/>
    <n v="1.0453893760728866E-5"/>
    <n v="0.99642545982782127"/>
    <b v="0"/>
  </r>
  <r>
    <n v="1275"/>
    <m/>
    <x v="18"/>
    <m/>
    <s v="WBOC/FOX 21"/>
    <n v="0"/>
    <n v="0"/>
    <n v="0"/>
    <n v="1250"/>
    <n v="3900"/>
    <n v="0"/>
    <n v="0"/>
    <n v="0"/>
    <n v="5150"/>
    <n v="1.0384609260883439E-5"/>
    <n v="0.99643584443708211"/>
    <b v="0"/>
  </r>
  <r>
    <n v="1463"/>
    <m/>
    <x v="18"/>
    <m/>
    <s v="MICHAEL JOHN CACKOWSKI"/>
    <n v="0"/>
    <n v="0"/>
    <n v="0"/>
    <n v="0"/>
    <n v="1845"/>
    <n v="3280"/>
    <n v="0"/>
    <n v="0"/>
    <n v="5125"/>
    <n v="1.0334198536316044E-5"/>
    <n v="0.99644617863561846"/>
    <b v="0"/>
  </r>
  <r>
    <n v="2280"/>
    <m/>
    <x v="18"/>
    <m/>
    <s v="BLUEGRASS MATERIALS COMPANY LLC"/>
    <n v="0"/>
    <n v="0"/>
    <n v="0"/>
    <n v="0"/>
    <n v="0"/>
    <n v="0"/>
    <n v="0"/>
    <n v="5105.99"/>
    <n v="5105.99"/>
    <n v="1.0295866221354996E-5"/>
    <n v="0.99645647450183983"/>
    <b v="0"/>
  </r>
  <r>
    <n v="427"/>
    <m/>
    <x v="18"/>
    <m/>
    <s v="WILLIAM JOSEPH LOUDEN"/>
    <n v="1500"/>
    <n v="1120"/>
    <n v="1140"/>
    <n v="600"/>
    <n v="0"/>
    <n v="720"/>
    <n v="0"/>
    <n v="0"/>
    <n v="5080"/>
    <n v="1.0243459232094733E-5"/>
    <n v="0.99646671796107189"/>
    <b v="0"/>
  </r>
  <r>
    <n v="806"/>
    <m/>
    <x v="18"/>
    <m/>
    <s v="B &amp; G AUTO BODY INC"/>
    <n v="0"/>
    <n v="1856.2"/>
    <n v="0"/>
    <n v="0"/>
    <n v="0"/>
    <n v="3207.38"/>
    <n v="0"/>
    <n v="0"/>
    <n v="5063.58"/>
    <n v="1.0210349468198868E-5"/>
    <n v="0.99647692831054013"/>
    <b v="0"/>
  </r>
  <r>
    <n v="1459"/>
    <m/>
    <x v="18"/>
    <m/>
    <s v="WELLSPRING FARMS INC"/>
    <n v="0"/>
    <n v="0"/>
    <n v="0"/>
    <n v="0"/>
    <n v="2500"/>
    <n v="2560"/>
    <n v="0"/>
    <n v="0"/>
    <n v="5060"/>
    <n v="1.0203130652440817E-5"/>
    <n v="0.99648713144119261"/>
    <b v="0"/>
  </r>
  <r>
    <n v="802"/>
    <m/>
    <x v="18"/>
    <m/>
    <s v="TOWN OF BOWERS BEACH"/>
    <n v="0"/>
    <n v="1978.77"/>
    <n v="0"/>
    <n v="0"/>
    <n v="3033"/>
    <n v="0"/>
    <n v="0"/>
    <n v="0"/>
    <n v="5011.7700000000004"/>
    <n v="1.0105878282605398E-5"/>
    <n v="0.99649723731947526"/>
    <b v="0"/>
  </r>
  <r>
    <n v="784"/>
    <m/>
    <x v="18"/>
    <m/>
    <s v="MCKESSON MEDICAL-SURGICAL MINNESOTA SUPP"/>
    <n v="0"/>
    <n v="3169.75"/>
    <n v="1841.64"/>
    <n v="0"/>
    <n v="0"/>
    <n v="0"/>
    <n v="0"/>
    <n v="0"/>
    <n v="5011.3900000000003"/>
    <n v="1.0105112039591974E-5"/>
    <n v="0.99650734243151484"/>
    <b v="0"/>
  </r>
  <r>
    <n v="648"/>
    <m/>
    <x v="18"/>
    <m/>
    <s v="PHILIP CABABE"/>
    <n v="153.05000000000001"/>
    <n v="2788.15"/>
    <n v="661.27"/>
    <n v="277.81"/>
    <n v="210"/>
    <n v="479.16"/>
    <n v="0"/>
    <n v="435.6"/>
    <n v="5005.0400000000009"/>
    <n v="1.0092307715551856E-5"/>
    <n v="0.99651743473923038"/>
    <b v="0"/>
  </r>
  <r>
    <n v="303"/>
    <m/>
    <x v="18"/>
    <m/>
    <s v="STRAUSS EXCAVATION LLC"/>
    <n v="5000"/>
    <n v="0"/>
    <n v="0"/>
    <n v="0"/>
    <n v="0"/>
    <n v="0"/>
    <n v="0"/>
    <n v="0"/>
    <n v="5000"/>
    <n v="1.0082144913479067E-5"/>
    <n v="0.99652751688414387"/>
    <b v="0"/>
  </r>
  <r>
    <n v="2010"/>
    <m/>
    <x v="18"/>
    <m/>
    <s v="FURLOW ASSOC INC"/>
    <n v="0"/>
    <n v="0"/>
    <n v="0"/>
    <n v="0"/>
    <n v="0"/>
    <n v="0"/>
    <n v="5000"/>
    <n v="0"/>
    <n v="5000"/>
    <n v="1.0082144913479067E-5"/>
    <n v="0.99653759902905736"/>
    <b v="0"/>
  </r>
  <r>
    <n v="2281"/>
    <m/>
    <x v="18"/>
    <m/>
    <s v="WWI 100TH ANNIVERSARY MOBILE MUSEUM"/>
    <n v="0"/>
    <n v="0"/>
    <n v="0"/>
    <n v="0"/>
    <n v="0"/>
    <n v="0"/>
    <n v="0"/>
    <n v="5000"/>
    <n v="5000"/>
    <n v="1.0082144913479067E-5"/>
    <n v="0.99654768117397086"/>
    <b v="0"/>
  </r>
  <r>
    <n v="2282"/>
    <m/>
    <x v="18"/>
    <m/>
    <s v="J T PAINTING AND CONTRACTORS"/>
    <n v="0"/>
    <n v="0"/>
    <n v="0"/>
    <n v="0"/>
    <n v="0"/>
    <n v="0"/>
    <n v="0"/>
    <n v="4995"/>
    <n v="4995"/>
    <n v="1.0072062768565588E-5"/>
    <n v="0.99655775323673945"/>
    <b v="0"/>
  </r>
  <r>
    <n v="1706"/>
    <m/>
    <x v="18"/>
    <m/>
    <s v="BRANDYWINE MANAGEMENT"/>
    <n v="0"/>
    <n v="0"/>
    <n v="0"/>
    <n v="0"/>
    <n v="0"/>
    <n v="4990"/>
    <n v="0"/>
    <n v="0"/>
    <n v="4990"/>
    <n v="1.0061980623652109E-5"/>
    <n v="0.99656781521736315"/>
    <b v="0"/>
  </r>
  <r>
    <n v="2283"/>
    <m/>
    <x v="18"/>
    <m/>
    <s v="DIAMOND STATE ENGINEERING"/>
    <n v="0"/>
    <n v="0"/>
    <n v="0"/>
    <n v="0"/>
    <n v="0"/>
    <n v="0"/>
    <n v="0"/>
    <n v="4990"/>
    <n v="4990"/>
    <n v="1.0061980623652109E-5"/>
    <n v="0.99657787719798685"/>
    <b v="0"/>
  </r>
  <r>
    <n v="2284"/>
    <m/>
    <x v="18"/>
    <m/>
    <s v="CARL DEPUTY &amp; SON BUILDERS LLC"/>
    <n v="0"/>
    <n v="0"/>
    <n v="0"/>
    <n v="0"/>
    <n v="0"/>
    <n v="0"/>
    <n v="0"/>
    <n v="4990"/>
    <n v="4990"/>
    <n v="1.0061980623652109E-5"/>
    <n v="0.99658793917861055"/>
    <b v="0"/>
  </r>
  <r>
    <n v="1274"/>
    <m/>
    <x v="18"/>
    <m/>
    <s v="CHRISTIAN CAMPBELL"/>
    <n v="0"/>
    <n v="0"/>
    <n v="0"/>
    <n v="1347"/>
    <n v="3642.36"/>
    <n v="0"/>
    <n v="0"/>
    <n v="0"/>
    <n v="4989.3600000000006"/>
    <n v="1.0060690109103184E-5"/>
    <n v="0.99659799986871966"/>
    <b v="0"/>
  </r>
  <r>
    <n v="2011"/>
    <m/>
    <x v="18"/>
    <m/>
    <s v="LONG FENCE CO INC"/>
    <n v="0"/>
    <n v="0"/>
    <n v="0"/>
    <n v="0"/>
    <n v="0"/>
    <n v="0"/>
    <n v="4988"/>
    <n v="0"/>
    <n v="4988"/>
    <n v="1.0057947765686718E-5"/>
    <n v="0.99660805781648532"/>
    <b v="0"/>
  </r>
  <r>
    <n v="458"/>
    <m/>
    <x v="18"/>
    <m/>
    <s v="FAIRWINDS FARM &amp; STABLES INC"/>
    <n v="1170"/>
    <n v="1170"/>
    <n v="1170"/>
    <n v="0"/>
    <n v="0"/>
    <n v="0"/>
    <n v="736"/>
    <n v="736"/>
    <n v="4982"/>
    <n v="1.0045849191790543E-5"/>
    <n v="0.99661810366567716"/>
    <b v="0"/>
  </r>
  <r>
    <n v="1707"/>
    <m/>
    <x v="18"/>
    <m/>
    <s v="SEAGULL FENCE AND CONCRETE LLC"/>
    <n v="0"/>
    <n v="0"/>
    <n v="0"/>
    <n v="0"/>
    <n v="0"/>
    <n v="4980"/>
    <n v="0"/>
    <n v="0"/>
    <n v="4980"/>
    <n v="1.0041816333825151E-5"/>
    <n v="0.99662814548201095"/>
    <b v="0"/>
  </r>
  <r>
    <n v="2285"/>
    <m/>
    <x v="18"/>
    <m/>
    <s v="COMCAST SPOTLIGHT"/>
    <n v="0"/>
    <n v="0"/>
    <n v="0"/>
    <n v="0"/>
    <n v="0"/>
    <n v="0"/>
    <n v="0"/>
    <n v="4968"/>
    <n v="4968"/>
    <n v="1.0017619186032802E-5"/>
    <n v="0.99663816310119702"/>
    <b v="0"/>
  </r>
  <r>
    <n v="502"/>
    <m/>
    <x v="18"/>
    <m/>
    <s v="NUTRICYCLE SYSTEMS LLC"/>
    <n v="800"/>
    <n v="800"/>
    <n v="870"/>
    <n v="0"/>
    <n v="0"/>
    <n v="800"/>
    <n v="890"/>
    <n v="800"/>
    <n v="4960"/>
    <n v="1.0001487754171235E-5"/>
    <n v="0.99664816458895122"/>
    <b v="0"/>
  </r>
  <r>
    <n v="1250"/>
    <m/>
    <x v="18"/>
    <m/>
    <s v="HOFFMANS EXTERMINATING CO INC"/>
    <n v="0"/>
    <n v="0"/>
    <n v="0"/>
    <n v="2849.5"/>
    <n v="2100"/>
    <n v="0"/>
    <n v="0"/>
    <n v="0"/>
    <n v="4949.5"/>
    <n v="9.9803152498529297E-6"/>
    <n v="0.99665814490420113"/>
    <b v="0"/>
  </r>
  <r>
    <n v="1371"/>
    <m/>
    <x v="18"/>
    <m/>
    <s v="DE DIVISION OF REVENUE"/>
    <n v="0"/>
    <n v="0"/>
    <n v="0"/>
    <n v="141.93"/>
    <n v="0"/>
    <n v="233.89"/>
    <n v="188.02"/>
    <n v="4384.18"/>
    <n v="4948.0200000000004"/>
    <n v="9.9773309349585405E-6"/>
    <n v="0.99666812223513612"/>
    <b v="0"/>
  </r>
  <r>
    <n v="1790"/>
    <m/>
    <x v="18"/>
    <m/>
    <s v="DAMON TVARYANAS"/>
    <n v="0"/>
    <n v="0"/>
    <n v="0"/>
    <n v="0"/>
    <n v="0"/>
    <n v="740"/>
    <n v="4190"/>
    <n v="0"/>
    <n v="4930"/>
    <n v="9.9409948846903605E-6"/>
    <n v="0.99667806323002084"/>
    <b v="0"/>
  </r>
  <r>
    <n v="2286"/>
    <m/>
    <x v="18"/>
    <m/>
    <s v="HOME DEPOT"/>
    <n v="0"/>
    <n v="0"/>
    <n v="0"/>
    <n v="0"/>
    <n v="0"/>
    <n v="0"/>
    <n v="0"/>
    <n v="4888.3"/>
    <n v="4888.3"/>
    <n v="9.8569097961119455E-6"/>
    <n v="0.996687920139817"/>
    <b v="0"/>
  </r>
  <r>
    <n v="506"/>
    <m/>
    <x v="18"/>
    <m/>
    <s v="WIDGEON ENTERPRISES INC."/>
    <n v="778.11"/>
    <n v="448"/>
    <n v="1571.5"/>
    <n v="403"/>
    <n v="335"/>
    <n v="966"/>
    <n v="385.5"/>
    <n v="0"/>
    <n v="4887.1100000000006"/>
    <n v="9.8545102456225388E-6"/>
    <n v="0.9966977746500626"/>
    <b v="0"/>
  </r>
  <r>
    <n v="1442"/>
    <m/>
    <x v="18"/>
    <m/>
    <s v="ALBAN TRACTOR LLC"/>
    <n v="0"/>
    <n v="0"/>
    <n v="0"/>
    <n v="0"/>
    <n v="4872.34"/>
    <n v="0"/>
    <n v="0"/>
    <n v="0"/>
    <n v="4872.34"/>
    <n v="9.8247275895481194E-6"/>
    <n v="0.99670759937765219"/>
    <b v="0"/>
  </r>
  <r>
    <n v="408"/>
    <m/>
    <x v="18"/>
    <m/>
    <s v="UNITED STATES LIFESAVING ASSOCIATION"/>
    <n v="1775"/>
    <n v="0"/>
    <n v="0"/>
    <n v="0"/>
    <n v="30"/>
    <n v="1730"/>
    <n v="0"/>
    <n v="1320"/>
    <n v="4855"/>
    <n v="9.7897627109881752E-6"/>
    <n v="0.99671738914036323"/>
    <b v="0"/>
  </r>
  <r>
    <n v="539"/>
    <m/>
    <x v="18"/>
    <m/>
    <s v="AZTEC COPIES LLC"/>
    <n v="580"/>
    <n v="2160"/>
    <n v="505"/>
    <n v="320"/>
    <n v="1268.6400000000001"/>
    <n v="0"/>
    <n v="0"/>
    <n v="0"/>
    <n v="4833.6400000000003"/>
    <n v="9.7466917879177926E-6"/>
    <n v="0.99672713583215111"/>
    <b v="0"/>
  </r>
  <r>
    <n v="1466"/>
    <m/>
    <x v="18"/>
    <m/>
    <s v="CYPRESS CONSTRUCTION LLC"/>
    <n v="0"/>
    <n v="0"/>
    <n v="0"/>
    <n v="0"/>
    <n v="1578"/>
    <n v="3250"/>
    <n v="0"/>
    <n v="0"/>
    <n v="4828"/>
    <n v="9.7353191284553875E-6"/>
    <n v="0.99673687115127951"/>
    <b v="0"/>
  </r>
  <r>
    <n v="377"/>
    <m/>
    <x v="18"/>
    <m/>
    <s v="KLIMA, PETERS &amp; DALY, PA"/>
    <n v="2340.08"/>
    <n v="2486.31"/>
    <n v="0"/>
    <n v="0"/>
    <n v="0"/>
    <n v="0"/>
    <n v="0"/>
    <n v="0"/>
    <n v="4826.3899999999994"/>
    <n v="9.7320726777932466E-6"/>
    <n v="0.99674660322395736"/>
    <b v="0"/>
  </r>
  <r>
    <n v="586"/>
    <m/>
    <x v="18"/>
    <m/>
    <s v="SCORE SEED LLC"/>
    <n v="407.94"/>
    <n v="4400"/>
    <n v="0"/>
    <n v="0"/>
    <n v="0"/>
    <n v="0"/>
    <n v="0"/>
    <n v="0"/>
    <n v="4807.9399999999996"/>
    <n v="9.6948695630625084E-6"/>
    <n v="0.9967562980935204"/>
    <b v="0"/>
  </r>
  <r>
    <n v="307"/>
    <m/>
    <x v="18"/>
    <m/>
    <s v="B &amp; O TRAILER SALES LLC"/>
    <n v="4780"/>
    <n v="0"/>
    <n v="0"/>
    <n v="0"/>
    <n v="0"/>
    <n v="0"/>
    <n v="0"/>
    <n v="0"/>
    <n v="4780"/>
    <n v="9.6385305372859882E-6"/>
    <n v="0.99676593662405766"/>
    <b v="0"/>
  </r>
  <r>
    <n v="1766"/>
    <m/>
    <x v="18"/>
    <m/>
    <s v="THOMPSON &amp; SONS CONTRACTING INC"/>
    <n v="0"/>
    <n v="0"/>
    <n v="0"/>
    <n v="0"/>
    <n v="0"/>
    <n v="1080"/>
    <n v="0"/>
    <n v="3674.85"/>
    <n v="4754.8500000000004"/>
    <n v="9.5878173483711899E-6"/>
    <n v="0.99677552444140605"/>
    <b v="0"/>
  </r>
  <r>
    <n v="541"/>
    <m/>
    <x v="18"/>
    <m/>
    <s v="BAYHEALTH MEDICAL CENTER INC"/>
    <n v="578"/>
    <n v="920"/>
    <n v="0"/>
    <n v="0"/>
    <n v="0"/>
    <n v="0"/>
    <n v="2092.75"/>
    <n v="1145.5"/>
    <n v="4736.25"/>
    <n v="9.5503117692930468E-6"/>
    <n v="0.99678507475317535"/>
    <b v="0"/>
  </r>
  <r>
    <n v="532"/>
    <m/>
    <x v="18"/>
    <m/>
    <s v="AMERICAN NATIONAL RED CROSS"/>
    <n v="600"/>
    <n v="735"/>
    <n v="0"/>
    <n v="0"/>
    <n v="3400"/>
    <n v="0"/>
    <n v="0"/>
    <n v="0"/>
    <n v="4735"/>
    <n v="9.5477912330646771E-6"/>
    <n v="0.99679462254440843"/>
    <b v="0"/>
  </r>
  <r>
    <n v="2013"/>
    <m/>
    <x v="18"/>
    <m/>
    <s v="MONAGHAN FENCE CO"/>
    <n v="0"/>
    <n v="0"/>
    <n v="0"/>
    <n v="0"/>
    <n v="0"/>
    <n v="0"/>
    <n v="4695"/>
    <n v="0"/>
    <n v="4695"/>
    <n v="9.4671340737568449E-6"/>
    <n v="0.99680408967848222"/>
    <b v="0"/>
  </r>
  <r>
    <n v="1235"/>
    <m/>
    <x v="18"/>
    <m/>
    <s v="ALL ABOUT GUTTERS INC"/>
    <n v="0"/>
    <n v="0"/>
    <n v="0"/>
    <n v="4665"/>
    <n v="0"/>
    <n v="0"/>
    <n v="0"/>
    <n v="0"/>
    <n v="4665"/>
    <n v="9.4066412042759691E-6"/>
    <n v="0.99681349631968652"/>
    <b v="0"/>
  </r>
  <r>
    <n v="1102"/>
    <m/>
    <x v="18"/>
    <m/>
    <s v="FOOD EQUIPMENT SERVICE INC"/>
    <n v="0"/>
    <n v="0"/>
    <n v="788.3"/>
    <n v="1128"/>
    <n v="1499.8"/>
    <n v="0"/>
    <n v="0"/>
    <n v="1238.5999999999999"/>
    <n v="4654.7"/>
    <n v="9.3858719857542029E-6"/>
    <n v="0.99682288219167225"/>
    <b v="0"/>
  </r>
  <r>
    <n v="1709"/>
    <m/>
    <x v="18"/>
    <m/>
    <s v="JOHN FIORENTINO III"/>
    <n v="0"/>
    <n v="0"/>
    <n v="0"/>
    <n v="0"/>
    <n v="0"/>
    <n v="4650"/>
    <n v="0"/>
    <n v="0"/>
    <n v="4650"/>
    <n v="9.376394769535532E-6"/>
    <n v="0.99683225858644176"/>
    <b v="0"/>
  </r>
  <r>
    <n v="1710"/>
    <m/>
    <x v="18"/>
    <m/>
    <s v="EAGLE PUMP SYSTEMS LLC"/>
    <n v="0"/>
    <n v="0"/>
    <n v="0"/>
    <n v="0"/>
    <n v="0"/>
    <n v="4622.7"/>
    <n v="0"/>
    <n v="0"/>
    <n v="4622.7"/>
    <n v="9.3213462583079362E-6"/>
    <n v="0.99684157993270006"/>
    <b v="0"/>
  </r>
  <r>
    <n v="1060"/>
    <m/>
    <x v="18"/>
    <m/>
    <s v="BUSINESS INTERFACE OF MARYLAND"/>
    <n v="0"/>
    <n v="0"/>
    <n v="2538.17"/>
    <n v="2076.09"/>
    <n v="0"/>
    <n v="0"/>
    <n v="0"/>
    <n v="0"/>
    <n v="4614.26"/>
    <n v="9.3043275976939852E-6"/>
    <n v="0.99685088426029778"/>
    <b v="0"/>
  </r>
  <r>
    <n v="528"/>
    <m/>
    <x v="18"/>
    <m/>
    <s v="EVERTON SAMUEL"/>
    <n v="600"/>
    <n v="600"/>
    <n v="600"/>
    <n v="600"/>
    <n v="0"/>
    <n v="600"/>
    <n v="800"/>
    <n v="800"/>
    <n v="4600"/>
    <n v="9.2755733204007418E-6"/>
    <n v="0.9968601598336182"/>
    <b v="0"/>
  </r>
  <r>
    <n v="1073"/>
    <m/>
    <x v="18"/>
    <m/>
    <s v="KENNY ROBERTS POOL WATER INC"/>
    <n v="0"/>
    <n v="0"/>
    <n v="1700"/>
    <n v="2900"/>
    <n v="0"/>
    <n v="0"/>
    <n v="0"/>
    <n v="0"/>
    <n v="4600"/>
    <n v="9.2755733204007418E-6"/>
    <n v="0.99686943540693862"/>
    <b v="0"/>
  </r>
  <r>
    <n v="1731"/>
    <m/>
    <x v="18"/>
    <m/>
    <s v="DS SERVICES OF AMERICA INC"/>
    <n v="0"/>
    <n v="0"/>
    <n v="0"/>
    <n v="0"/>
    <n v="0"/>
    <n v="2867.26"/>
    <n v="1710.86"/>
    <n v="0"/>
    <n v="4578.12"/>
    <n v="9.2314538542593574E-6"/>
    <n v="0.99687866686079285"/>
    <b v="0"/>
  </r>
  <r>
    <n v="1236"/>
    <m/>
    <x v="18"/>
    <m/>
    <s v="THE KNOT WORLDWIDE INC"/>
    <n v="0"/>
    <n v="0"/>
    <n v="0"/>
    <n v="4572"/>
    <n v="0"/>
    <n v="0"/>
    <n v="0"/>
    <n v="0"/>
    <n v="4572"/>
    <n v="9.2191133088852587E-6"/>
    <n v="0.99688788597410172"/>
    <b v="0"/>
  </r>
  <r>
    <n v="612"/>
    <m/>
    <x v="18"/>
    <m/>
    <s v="DNREC COASTAL PROGRAMS"/>
    <n v="280"/>
    <n v="840"/>
    <n v="0"/>
    <n v="0"/>
    <n v="0"/>
    <n v="2942"/>
    <n v="448"/>
    <n v="50"/>
    <n v="4560"/>
    <n v="9.1949161610929097E-6"/>
    <n v="0.99689708089026285"/>
    <b v="0"/>
  </r>
  <r>
    <n v="465"/>
    <m/>
    <x v="18"/>
    <m/>
    <s v="KRUGER TRAILERS INC"/>
    <n v="1057.2"/>
    <n v="0"/>
    <n v="0"/>
    <n v="0"/>
    <n v="0"/>
    <n v="3495"/>
    <n v="0"/>
    <n v="0"/>
    <n v="4552.2"/>
    <n v="9.1791880150278813E-6"/>
    <n v="0.99690626007827787"/>
    <b v="0"/>
  </r>
  <r>
    <n v="608"/>
    <m/>
    <x v="18"/>
    <m/>
    <s v="EDWARD R BARNETT"/>
    <n v="300"/>
    <n v="250"/>
    <n v="1000"/>
    <n v="500"/>
    <n v="0"/>
    <n v="500"/>
    <n v="1000"/>
    <n v="1000"/>
    <n v="4550"/>
    <n v="9.1747518712659516E-6"/>
    <n v="0.99691543483014911"/>
    <b v="0"/>
  </r>
  <r>
    <n v="821"/>
    <m/>
    <x v="18"/>
    <m/>
    <s v="RENT CO INC DBA DOVER RENT-ALL TENTS"/>
    <n v="0"/>
    <n v="1398.96"/>
    <n v="0"/>
    <n v="0"/>
    <n v="0"/>
    <n v="350.33"/>
    <n v="2503.2800000000002"/>
    <n v="296.7"/>
    <n v="4549.2699999999995"/>
    <n v="9.173279878108582E-6"/>
    <n v="0.99692460811002725"/>
    <b v="0"/>
  </r>
  <r>
    <n v="320"/>
    <m/>
    <x v="18"/>
    <m/>
    <s v="BECKERS CHIMNEY AND ROOFING LLC"/>
    <n v="4100"/>
    <n v="0"/>
    <n v="0"/>
    <n v="425"/>
    <n v="0"/>
    <n v="0"/>
    <n v="0"/>
    <n v="0"/>
    <n v="4525"/>
    <n v="9.1243411466985565E-6"/>
    <n v="0.996933732451174"/>
    <b v="0"/>
  </r>
  <r>
    <n v="1237"/>
    <m/>
    <x v="18"/>
    <m/>
    <s v="DOWNES HARDWOOD FLOORS INC"/>
    <n v="0"/>
    <n v="0"/>
    <n v="0"/>
    <n v="4516"/>
    <n v="0"/>
    <n v="0"/>
    <n v="0"/>
    <n v="0"/>
    <n v="4516"/>
    <n v="9.106193285854294E-6"/>
    <n v="0.99694283864445987"/>
    <b v="0"/>
  </r>
  <r>
    <n v="1238"/>
    <m/>
    <x v="18"/>
    <m/>
    <s v="MICHAELINA JONES"/>
    <n v="0"/>
    <n v="0"/>
    <n v="0"/>
    <n v="4509.6000000000004"/>
    <n v="0"/>
    <n v="0"/>
    <n v="0"/>
    <n v="0"/>
    <n v="4509.6000000000004"/>
    <n v="9.093288140365042E-6"/>
    <n v="0.99695193193260023"/>
    <b v="0"/>
  </r>
  <r>
    <n v="342"/>
    <m/>
    <x v="18"/>
    <m/>
    <s v="CITY WINDOW CLEANING LLC"/>
    <n v="3351"/>
    <n v="0"/>
    <n v="1155"/>
    <n v="0"/>
    <n v="0"/>
    <n v="0"/>
    <n v="0"/>
    <n v="0"/>
    <n v="4506"/>
    <n v="9.0860289960273359E-6"/>
    <n v="0.99696101796159631"/>
    <b v="0"/>
  </r>
  <r>
    <n v="2014"/>
    <m/>
    <x v="18"/>
    <m/>
    <s v="FOUNTAIN CAULKING CO INC"/>
    <n v="0"/>
    <n v="0"/>
    <n v="0"/>
    <n v="0"/>
    <n v="0"/>
    <n v="0"/>
    <n v="4500"/>
    <n v="0"/>
    <n v="4500"/>
    <n v="9.0739304221311614E-6"/>
    <n v="0.99697009189201846"/>
    <b v="0"/>
  </r>
  <r>
    <n v="2042"/>
    <m/>
    <x v="18"/>
    <m/>
    <s v="STEVEN A CAMERON"/>
    <n v="0"/>
    <n v="0"/>
    <n v="0"/>
    <n v="0"/>
    <n v="0"/>
    <n v="0"/>
    <n v="2250"/>
    <n v="2250"/>
    <n v="4500"/>
    <n v="9.0739304221311614E-6"/>
    <n v="0.99697916582244062"/>
    <b v="0"/>
  </r>
  <r>
    <n v="2015"/>
    <m/>
    <x v="18"/>
    <m/>
    <s v="STRATEGIC EQUIPMENT LLC"/>
    <n v="0"/>
    <n v="0"/>
    <n v="0"/>
    <n v="0"/>
    <n v="0"/>
    <n v="0"/>
    <n v="4493.71"/>
    <n v="0"/>
    <n v="4493.71"/>
    <n v="9.0612470838300046E-6"/>
    <n v="0.99698822706952439"/>
    <b v="0"/>
  </r>
  <r>
    <n v="561"/>
    <m/>
    <x v="18"/>
    <m/>
    <s v="STATE INDUSTRIAL PRODUCTS CORP"/>
    <n v="496.92"/>
    <n v="606.74"/>
    <n v="3384.85"/>
    <n v="0"/>
    <n v="0"/>
    <n v="0"/>
    <n v="0"/>
    <n v="0"/>
    <n v="4488.51"/>
    <n v="9.0507616531199868E-6"/>
    <n v="0.99699727783117753"/>
    <b v="0"/>
  </r>
  <r>
    <n v="1712"/>
    <m/>
    <x v="18"/>
    <m/>
    <s v="ROBERT DERR RDS AUTOMOTIVE EQUIPMENT"/>
    <n v="0"/>
    <n v="0"/>
    <n v="0"/>
    <n v="0"/>
    <n v="0"/>
    <n v="4450"/>
    <n v="0"/>
    <n v="0"/>
    <n v="4450"/>
    <n v="8.9731089729963696E-6"/>
    <n v="0.9970062509401505"/>
    <b v="0"/>
  </r>
  <r>
    <n v="1714"/>
    <m/>
    <x v="18"/>
    <m/>
    <s v="STERN WILLIAMS COMPANY"/>
    <n v="0"/>
    <n v="0"/>
    <n v="0"/>
    <n v="0"/>
    <n v="0"/>
    <n v="4423"/>
    <n v="0"/>
    <n v="0"/>
    <n v="4423"/>
    <n v="8.9186653904635835E-6"/>
    <n v="0.99701516960554093"/>
    <b v="0"/>
  </r>
  <r>
    <n v="2287"/>
    <m/>
    <x v="18"/>
    <m/>
    <s v="DEPARTMENT OF EDUCATION"/>
    <n v="0"/>
    <n v="0"/>
    <n v="0"/>
    <n v="0"/>
    <n v="0"/>
    <n v="0"/>
    <n v="0"/>
    <n v="4420.71"/>
    <n v="4420.71"/>
    <n v="8.9140477680932102E-6"/>
    <n v="0.99702408365330897"/>
    <b v="0"/>
  </r>
  <r>
    <n v="451"/>
    <m/>
    <x v="18"/>
    <m/>
    <s v="WILLIAM ROSE"/>
    <n v="1200"/>
    <n v="1200"/>
    <n v="1000"/>
    <n v="0"/>
    <n v="0"/>
    <n v="1000"/>
    <n v="0"/>
    <n v="0"/>
    <n v="4400"/>
    <n v="8.8722875238615794E-6"/>
    <n v="0.99703295594083285"/>
    <b v="0"/>
  </r>
  <r>
    <n v="1445"/>
    <m/>
    <x v="18"/>
    <m/>
    <s v="LEFORT APPRAISAL &amp; CONSULTING INC"/>
    <n v="0"/>
    <n v="0"/>
    <n v="0"/>
    <n v="0"/>
    <n v="4395"/>
    <n v="0"/>
    <n v="0"/>
    <n v="0"/>
    <n v="4395"/>
    <n v="8.8622053789481003E-6"/>
    <n v="0.99704181814621184"/>
    <b v="0"/>
  </r>
  <r>
    <n v="387"/>
    <m/>
    <x v="18"/>
    <m/>
    <s v="UNION PRESS"/>
    <n v="2142"/>
    <n v="0"/>
    <n v="108"/>
    <n v="1738"/>
    <n v="390"/>
    <n v="0"/>
    <n v="0"/>
    <n v="0"/>
    <n v="4378"/>
    <n v="8.8279260862422707E-6"/>
    <n v="0.9970506460722981"/>
    <b v="0"/>
  </r>
  <r>
    <n v="2016"/>
    <m/>
    <x v="18"/>
    <m/>
    <s v="A-1 MIDDLETOWN TENTS AND EVENTS INC"/>
    <n v="0"/>
    <n v="0"/>
    <n v="0"/>
    <n v="0"/>
    <n v="0"/>
    <n v="0"/>
    <n v="4370"/>
    <n v="0"/>
    <n v="4370"/>
    <n v="8.8117946543807053E-6"/>
    <n v="0.99705945786695249"/>
    <b v="0"/>
  </r>
  <r>
    <n v="601"/>
    <m/>
    <x v="18"/>
    <m/>
    <s v="RAY BIVENS"/>
    <n v="360"/>
    <n v="525"/>
    <n v="556.79999999999995"/>
    <n v="657.09"/>
    <n v="480"/>
    <n v="480"/>
    <n v="707.8"/>
    <n v="595.26"/>
    <n v="4361.95"/>
    <n v="8.7955624010700026E-6"/>
    <n v="0.99706825342935357"/>
    <b v="0"/>
  </r>
  <r>
    <n v="602"/>
    <m/>
    <x v="18"/>
    <m/>
    <s v="MILFORD COMMUNITY BAND INC"/>
    <n v="350"/>
    <n v="700"/>
    <n v="300"/>
    <n v="500"/>
    <n v="300"/>
    <n v="700"/>
    <n v="900"/>
    <n v="600"/>
    <n v="4350"/>
    <n v="8.7714660747267892E-6"/>
    <n v="0.99707702489542827"/>
    <b v="0"/>
  </r>
  <r>
    <n v="1239"/>
    <m/>
    <x v="18"/>
    <m/>
    <s v="JOHN D MOORE"/>
    <n v="0"/>
    <n v="0"/>
    <n v="0"/>
    <n v="4350"/>
    <n v="0"/>
    <n v="0"/>
    <n v="0"/>
    <n v="0"/>
    <n v="4350"/>
    <n v="8.7714660747267892E-6"/>
    <n v="0.99708579636150296"/>
    <b v="0"/>
  </r>
  <r>
    <n v="2036"/>
    <m/>
    <x v="18"/>
    <m/>
    <s v="PEAK PERFORMANCE CONTR LLC"/>
    <n v="0"/>
    <n v="0"/>
    <n v="0"/>
    <n v="0"/>
    <n v="0"/>
    <n v="0"/>
    <n v="2520"/>
    <n v="1810"/>
    <n v="4330"/>
    <n v="8.7311374950728731E-6"/>
    <n v="0.99709452749899807"/>
    <b v="0"/>
  </r>
  <r>
    <n v="2017"/>
    <m/>
    <x v="18"/>
    <m/>
    <s v="STANDARD PIPE SERVICES LLC"/>
    <n v="0"/>
    <n v="0"/>
    <n v="0"/>
    <n v="0"/>
    <n v="0"/>
    <n v="0"/>
    <n v="4300"/>
    <n v="0"/>
    <n v="4300"/>
    <n v="8.6706446255919973E-6"/>
    <n v="0.99710319814362369"/>
    <b v="0"/>
  </r>
  <r>
    <n v="422"/>
    <m/>
    <x v="18"/>
    <m/>
    <s v="PREMIUM FIRE AND SECURITY LLC"/>
    <n v="1530"/>
    <n v="1327"/>
    <n v="1437"/>
    <n v="0"/>
    <n v="0"/>
    <n v="0"/>
    <n v="0"/>
    <n v="0"/>
    <n v="4294"/>
    <n v="8.6585460516958228E-6"/>
    <n v="0.99711185668967539"/>
    <b v="0"/>
  </r>
  <r>
    <n v="317"/>
    <m/>
    <x v="18"/>
    <m/>
    <s v="CARLISLES MARINE INC"/>
    <n v="4283.88"/>
    <n v="0"/>
    <n v="0"/>
    <n v="0"/>
    <n v="0"/>
    <n v="0"/>
    <n v="0"/>
    <n v="0"/>
    <n v="4283.88"/>
    <n v="8.6381397903909422E-6"/>
    <n v="0.99712049482946574"/>
    <b v="0"/>
  </r>
  <r>
    <n v="2067"/>
    <m/>
    <x v="18"/>
    <m/>
    <s v="WILSON FLEET &amp; EQUIPMT SER"/>
    <n v="0"/>
    <n v="0"/>
    <n v="0"/>
    <n v="0"/>
    <n v="0"/>
    <n v="0"/>
    <n v="1324.36"/>
    <n v="2957.04"/>
    <n v="4281.3999999999996"/>
    <n v="8.6331390465138559E-6"/>
    <n v="0.99712912796851227"/>
    <b v="0"/>
  </r>
  <r>
    <n v="1717"/>
    <m/>
    <x v="18"/>
    <m/>
    <s v="KLENZOID INC"/>
    <n v="0"/>
    <n v="0"/>
    <n v="0"/>
    <n v="0"/>
    <n v="0"/>
    <n v="4250.7299999999996"/>
    <n v="0"/>
    <n v="0"/>
    <n v="4250.7299999999996"/>
    <n v="8.5712951696145751E-6"/>
    <n v="0.9971376992636819"/>
    <b v="0"/>
  </r>
  <r>
    <n v="773"/>
    <m/>
    <x v="18"/>
    <m/>
    <s v="Sara Stauffer"/>
    <n v="0"/>
    <n v="4250"/>
    <n v="0"/>
    <n v="0"/>
    <n v="0"/>
    <n v="0"/>
    <n v="0"/>
    <n v="0"/>
    <n v="4250"/>
    <n v="8.5698231764572071E-6"/>
    <n v="0.99714626908685833"/>
    <b v="0"/>
  </r>
  <r>
    <n v="2073"/>
    <m/>
    <x v="18"/>
    <m/>
    <s v="ENVIRONMENTAL RESOURCES INC"/>
    <n v="0"/>
    <n v="0"/>
    <n v="0"/>
    <n v="0"/>
    <n v="0"/>
    <n v="0"/>
    <n v="1211.4000000000001"/>
    <n v="3036.43"/>
    <n v="4247.83"/>
    <n v="8.5654475255647581E-6"/>
    <n v="0.99715483453438392"/>
    <b v="0"/>
  </r>
  <r>
    <n v="797"/>
    <m/>
    <x v="18"/>
    <m/>
    <s v="KIMBERLY A YANAITIS PE LLC"/>
    <n v="0"/>
    <n v="2375"/>
    <n v="0"/>
    <n v="0"/>
    <n v="115"/>
    <n v="1200"/>
    <n v="550"/>
    <n v="0"/>
    <n v="4240"/>
    <n v="8.5496588866302491E-6"/>
    <n v="0.99716338419327055"/>
    <b v="0"/>
  </r>
  <r>
    <n v="516"/>
    <m/>
    <x v="18"/>
    <m/>
    <s v="LIBERTY PROPANE INC"/>
    <n v="667.28"/>
    <n v="0"/>
    <n v="0"/>
    <n v="1047"/>
    <n v="2500"/>
    <n v="0"/>
    <n v="0"/>
    <n v="0"/>
    <n v="4214.28"/>
    <n v="8.4977963331953117E-6"/>
    <n v="0.99717188198960371"/>
    <b v="0"/>
  </r>
  <r>
    <n v="1735"/>
    <m/>
    <x v="18"/>
    <m/>
    <s v="STEVEN GOLD DBA BALL DIAMOND SERVICES"/>
    <n v="0"/>
    <n v="0"/>
    <n v="0"/>
    <n v="0"/>
    <n v="0"/>
    <n v="2400"/>
    <n v="0"/>
    <n v="1800"/>
    <n v="4200"/>
    <n v="8.4690017273224169E-6"/>
    <n v="0.99718035099133107"/>
    <b v="0"/>
  </r>
  <r>
    <n v="1280"/>
    <m/>
    <x v="18"/>
    <m/>
    <s v="CITY WINDOW CLEANING INC OF DE"/>
    <n v="0"/>
    <n v="0"/>
    <n v="0"/>
    <n v="1050"/>
    <n v="1017"/>
    <n v="0"/>
    <n v="1260"/>
    <n v="868"/>
    <n v="4195"/>
    <n v="8.4589195824089379E-6"/>
    <n v="0.99718880991091352"/>
    <b v="0"/>
  </r>
  <r>
    <n v="353"/>
    <m/>
    <x v="18"/>
    <m/>
    <s v="GEORGE ELY ASSOCIATES INC"/>
    <n v="3061.48"/>
    <n v="0"/>
    <n v="0"/>
    <n v="0"/>
    <n v="0"/>
    <n v="0"/>
    <n v="0"/>
    <n v="1107"/>
    <n v="4168.4799999999996"/>
    <n v="8.4054438857878438E-6"/>
    <n v="0.99719721535479933"/>
    <b v="0"/>
  </r>
  <r>
    <n v="1751"/>
    <m/>
    <x v="18"/>
    <m/>
    <s v="ALBAN TRACTOR CO INC"/>
    <n v="0"/>
    <n v="0"/>
    <n v="0"/>
    <n v="0"/>
    <n v="0"/>
    <n v="1619.22"/>
    <n v="2355.71"/>
    <n v="184"/>
    <n v="4158.93"/>
    <n v="8.3861869890031005E-6"/>
    <n v="0.99720560154178828"/>
    <b v="0"/>
  </r>
  <r>
    <n v="1447"/>
    <m/>
    <x v="18"/>
    <m/>
    <s v="TAYLOR CORPORATION"/>
    <n v="0"/>
    <n v="0"/>
    <n v="0"/>
    <n v="0"/>
    <n v="4147.97"/>
    <n v="0"/>
    <n v="0"/>
    <n v="0"/>
    <n v="4147.97"/>
    <n v="8.3640869273527534E-6"/>
    <n v="0.99721396562871567"/>
    <b v="0"/>
  </r>
  <r>
    <n v="832"/>
    <m/>
    <x v="18"/>
    <m/>
    <s v="ASSOCIATION OF FISH AND WILDLIFE AGENCIE"/>
    <n v="0"/>
    <n v="1048.95"/>
    <n v="2157.84"/>
    <n v="923.52"/>
    <n v="0"/>
    <n v="0"/>
    <n v="0"/>
    <n v="0"/>
    <n v="4130.3099999999995"/>
    <n v="8.3284767915183445E-6"/>
    <n v="0.99722229410550722"/>
    <b v="0"/>
  </r>
  <r>
    <n v="2288"/>
    <m/>
    <x v="18"/>
    <m/>
    <s v="CHARLES C CONNELL CO"/>
    <n v="0"/>
    <n v="0"/>
    <n v="0"/>
    <n v="0"/>
    <n v="0"/>
    <n v="0"/>
    <n v="0"/>
    <n v="4125"/>
    <n v="4125"/>
    <n v="8.3177695536202299E-6"/>
    <n v="0.99723061187506079"/>
    <b v="0"/>
  </r>
  <r>
    <n v="2289"/>
    <m/>
    <x v="18"/>
    <m/>
    <s v="GILES AND RANSOME INC"/>
    <n v="0"/>
    <n v="0"/>
    <n v="0"/>
    <n v="0"/>
    <n v="0"/>
    <n v="0"/>
    <n v="0"/>
    <n v="4115.82"/>
    <n v="4115.82"/>
    <n v="8.2992587355590818E-6"/>
    <n v="0.99723891113379637"/>
    <b v="0"/>
  </r>
  <r>
    <n v="775"/>
    <m/>
    <x v="18"/>
    <m/>
    <s v="JEAN A MCCORMICK"/>
    <n v="0"/>
    <n v="4110"/>
    <n v="0"/>
    <n v="0"/>
    <n v="0"/>
    <n v="0"/>
    <n v="0"/>
    <n v="0"/>
    <n v="4110"/>
    <n v="8.2875231188797929E-6"/>
    <n v="0.99724719865691525"/>
    <b v="0"/>
  </r>
  <r>
    <n v="491"/>
    <m/>
    <x v="18"/>
    <m/>
    <s v="SHORT'S MARINE INC"/>
    <n v="855.68"/>
    <n v="0"/>
    <n v="2397.38"/>
    <n v="522.11"/>
    <n v="312.72000000000003"/>
    <n v="0"/>
    <n v="0"/>
    <n v="0"/>
    <n v="4087.8900000000003"/>
    <n v="8.242939874072389E-6"/>
    <n v="0.99725544159678936"/>
    <b v="0"/>
  </r>
  <r>
    <n v="1043"/>
    <m/>
    <x v="18"/>
    <m/>
    <s v="TOWN OF BETHANY BEACH"/>
    <n v="0"/>
    <n v="0"/>
    <n v="4077.87"/>
    <n v="0"/>
    <n v="0"/>
    <n v="0"/>
    <n v="0"/>
    <n v="0"/>
    <n v="4077.87"/>
    <n v="8.2227352556657761E-6"/>
    <n v="0.99726366433204505"/>
    <b v="0"/>
  </r>
  <r>
    <n v="2290"/>
    <m/>
    <x v="18"/>
    <m/>
    <s v="KNAPP MANUFACTURING INC"/>
    <n v="0"/>
    <n v="0"/>
    <n v="0"/>
    <n v="0"/>
    <n v="0"/>
    <n v="0"/>
    <n v="0"/>
    <n v="4055"/>
    <n v="4055"/>
    <n v="8.1766195248315236E-6"/>
    <n v="0.99727184095156984"/>
    <b v="0"/>
  </r>
  <r>
    <n v="567"/>
    <m/>
    <x v="18"/>
    <m/>
    <s v="GREGORY ABBOTT"/>
    <n v="480"/>
    <n v="480"/>
    <n v="1687.2"/>
    <n v="480"/>
    <n v="480"/>
    <n v="406.76"/>
    <n v="0"/>
    <n v="0"/>
    <n v="4013.96"/>
    <n v="8.0938652793816879E-6"/>
    <n v="0.99727993481684918"/>
    <b v="0"/>
  </r>
  <r>
    <n v="777"/>
    <m/>
    <x v="18"/>
    <m/>
    <s v="HAZZARD AUTO PARTS INC"/>
    <n v="0"/>
    <n v="3908.42"/>
    <n v="0"/>
    <n v="0"/>
    <n v="92.69"/>
    <n v="0"/>
    <n v="12.38"/>
    <n v="0"/>
    <n v="4013.4900000000002"/>
    <n v="8.0929175577598217E-6"/>
    <n v="0.99728802773440695"/>
    <b v="0"/>
  </r>
  <r>
    <n v="1724"/>
    <m/>
    <x v="18"/>
    <m/>
    <s v="LANGUAGE TRAINING CENTER"/>
    <n v="0"/>
    <n v="0"/>
    <n v="0"/>
    <n v="0"/>
    <n v="0"/>
    <n v="3441"/>
    <n v="571.44000000000005"/>
    <n v="0"/>
    <n v="4012.44"/>
    <n v="8.0908003073279907E-6"/>
    <n v="0.99729611853471423"/>
    <b v="0"/>
  </r>
  <r>
    <n v="322"/>
    <m/>
    <x v="18"/>
    <m/>
    <s v="D AMATO CONVERSANO INC PC"/>
    <n v="4000"/>
    <n v="0"/>
    <n v="0"/>
    <n v="0"/>
    <n v="0"/>
    <n v="0"/>
    <n v="0"/>
    <n v="0"/>
    <n v="4000"/>
    <n v="8.0657159307832544E-6"/>
    <n v="0.99730418425064504"/>
    <b v="0"/>
  </r>
  <r>
    <n v="501"/>
    <m/>
    <x v="18"/>
    <m/>
    <s v="CHARLES SAMUEL PHILLIPS"/>
    <n v="800"/>
    <n v="800"/>
    <n v="800"/>
    <n v="0"/>
    <n v="0"/>
    <n v="800"/>
    <n v="800"/>
    <n v="0"/>
    <n v="4000"/>
    <n v="8.0657159307832544E-6"/>
    <n v="0.99731224996657586"/>
    <b v="0"/>
  </r>
  <r>
    <n v="799"/>
    <m/>
    <x v="18"/>
    <m/>
    <s v="Michael R Stone"/>
    <n v="0"/>
    <n v="2150"/>
    <n v="0"/>
    <n v="0"/>
    <n v="0"/>
    <n v="0"/>
    <n v="1850"/>
    <n v="0"/>
    <n v="4000"/>
    <n v="8.0657159307832544E-6"/>
    <n v="0.99732031568250668"/>
    <b v="0"/>
  </r>
  <r>
    <n v="1242"/>
    <m/>
    <x v="18"/>
    <m/>
    <s v="H &amp; M ACOUSTICAL SERVICES INC"/>
    <n v="0"/>
    <n v="0"/>
    <n v="0"/>
    <n v="4000"/>
    <n v="0"/>
    <n v="0"/>
    <n v="0"/>
    <n v="0"/>
    <n v="4000"/>
    <n v="8.0657159307832544E-6"/>
    <n v="0.99732838139843749"/>
    <b v="0"/>
  </r>
  <r>
    <n v="1243"/>
    <m/>
    <x v="18"/>
    <m/>
    <s v="ALBERTSON &amp; NUNAN INC"/>
    <n v="0"/>
    <n v="0"/>
    <n v="0"/>
    <n v="4000"/>
    <n v="0"/>
    <n v="0"/>
    <n v="0"/>
    <n v="0"/>
    <n v="4000"/>
    <n v="8.0657159307832544E-6"/>
    <n v="0.99733644711436831"/>
    <b v="0"/>
  </r>
  <r>
    <n v="1244"/>
    <m/>
    <x v="18"/>
    <m/>
    <s v="Alexis Perez"/>
    <n v="0"/>
    <n v="0"/>
    <n v="0"/>
    <n v="4000"/>
    <n v="0"/>
    <n v="0"/>
    <n v="0"/>
    <n v="0"/>
    <n v="4000"/>
    <n v="8.0657159307832544E-6"/>
    <n v="0.99734451283029912"/>
    <b v="0"/>
  </r>
  <r>
    <n v="1448"/>
    <m/>
    <x v="18"/>
    <m/>
    <s v="Autism Delaware"/>
    <n v="0"/>
    <n v="0"/>
    <n v="0"/>
    <n v="0"/>
    <n v="4000"/>
    <n v="0"/>
    <n v="0"/>
    <n v="0"/>
    <n v="4000"/>
    <n v="8.0657159307832544E-6"/>
    <n v="0.99735257854622994"/>
    <b v="0"/>
  </r>
  <r>
    <n v="1721"/>
    <m/>
    <x v="18"/>
    <m/>
    <s v="BLANCKE MARINE SERVICES"/>
    <n v="0"/>
    <n v="0"/>
    <n v="0"/>
    <n v="0"/>
    <n v="0"/>
    <n v="4000"/>
    <n v="0"/>
    <n v="0"/>
    <n v="4000"/>
    <n v="8.0657159307832544E-6"/>
    <n v="0.99736064426216076"/>
    <b v="0"/>
  </r>
  <r>
    <n v="2019"/>
    <m/>
    <x v="18"/>
    <m/>
    <s v="APPRAISAL ASSOC"/>
    <n v="0"/>
    <n v="0"/>
    <n v="0"/>
    <n v="0"/>
    <n v="0"/>
    <n v="0"/>
    <n v="4000"/>
    <n v="0"/>
    <n v="4000"/>
    <n v="8.0657159307832544E-6"/>
    <n v="0.99736870997809157"/>
    <b v="0"/>
  </r>
  <r>
    <n v="2050"/>
    <m/>
    <x v="18"/>
    <m/>
    <s v="JOHN ENCH"/>
    <n v="0"/>
    <n v="0"/>
    <n v="0"/>
    <n v="0"/>
    <n v="0"/>
    <n v="0"/>
    <n v="2000"/>
    <n v="2000"/>
    <n v="4000"/>
    <n v="8.0657159307832544E-6"/>
    <n v="0.99737677569402239"/>
    <b v="0"/>
  </r>
  <r>
    <n v="1461"/>
    <m/>
    <x v="18"/>
    <m/>
    <s v="RPJ WASTE SERVICES INC"/>
    <n v="0"/>
    <n v="0"/>
    <n v="0"/>
    <n v="0"/>
    <n v="2142.46"/>
    <n v="0"/>
    <n v="1839.06"/>
    <n v="0"/>
    <n v="3981.52"/>
    <n v="8.0284523231830356E-6"/>
    <n v="0.99738480414634556"/>
    <b v="0"/>
  </r>
  <r>
    <n v="1746"/>
    <m/>
    <x v="18"/>
    <m/>
    <s v="CHIM GUARD CHIMNEY SWEEPS"/>
    <n v="0"/>
    <n v="0"/>
    <n v="0"/>
    <n v="0"/>
    <n v="0"/>
    <n v="1770"/>
    <n v="1700"/>
    <n v="505"/>
    <n v="3975"/>
    <n v="8.0153052062158593E-6"/>
    <n v="0.99739281945155178"/>
    <b v="0"/>
  </r>
  <r>
    <n v="2032"/>
    <m/>
    <x v="18"/>
    <m/>
    <s v="PAUL HARRIS"/>
    <n v="0"/>
    <n v="0"/>
    <n v="0"/>
    <n v="0"/>
    <n v="0"/>
    <n v="0"/>
    <n v="2942.5"/>
    <n v="1030"/>
    <n v="3972.5"/>
    <n v="8.0102641337591198E-6"/>
    <n v="0.99740082971568556"/>
    <b v="0"/>
  </r>
  <r>
    <n v="1559"/>
    <m/>
    <x v="18"/>
    <m/>
    <s v="LEE HOEHN"/>
    <n v="0"/>
    <n v="0"/>
    <n v="0"/>
    <n v="0"/>
    <n v="240"/>
    <n v="1580"/>
    <n v="970"/>
    <n v="1180"/>
    <n v="3970"/>
    <n v="8.0052230613023803E-6"/>
    <n v="0.99740883493874688"/>
    <b v="0"/>
  </r>
  <r>
    <n v="851"/>
    <m/>
    <x v="18"/>
    <m/>
    <s v="DELAWARE STATE POLICE TRAINING ACADEMY"/>
    <n v="0"/>
    <n v="720"/>
    <n v="1125"/>
    <n v="0"/>
    <n v="0"/>
    <n v="910"/>
    <n v="1197"/>
    <n v="0"/>
    <n v="3952"/>
    <n v="7.9689273396138552E-6"/>
    <n v="0.99741680386608644"/>
    <b v="0"/>
  </r>
  <r>
    <n v="881"/>
    <m/>
    <x v="18"/>
    <m/>
    <s v="ELIZABETH LEE DICECCO"/>
    <n v="0"/>
    <n v="450"/>
    <n v="450"/>
    <n v="150"/>
    <n v="0"/>
    <n v="1200"/>
    <n v="800"/>
    <n v="900"/>
    <n v="3950"/>
    <n v="7.9648944816484625E-6"/>
    <n v="0.99742476876056807"/>
    <b v="0"/>
  </r>
  <r>
    <n v="1245"/>
    <m/>
    <x v="18"/>
    <m/>
    <s v="HENRY COOKE DBA HISTORICAL COSTUME"/>
    <n v="0"/>
    <n v="0"/>
    <n v="0"/>
    <n v="3935"/>
    <n v="0"/>
    <n v="0"/>
    <n v="0"/>
    <n v="0"/>
    <n v="3935"/>
    <n v="7.9346480469080255E-6"/>
    <n v="0.99743270340861501"/>
    <b v="0"/>
  </r>
  <r>
    <n v="2291"/>
    <m/>
    <x v="18"/>
    <m/>
    <s v="FIRING LINE INC"/>
    <n v="0"/>
    <n v="0"/>
    <n v="0"/>
    <n v="0"/>
    <n v="0"/>
    <n v="0"/>
    <n v="0"/>
    <n v="3912"/>
    <n v="3912"/>
    <n v="7.888270180306023E-6"/>
    <n v="0.99744059167879529"/>
    <b v="0"/>
  </r>
  <r>
    <n v="2020"/>
    <m/>
    <x v="18"/>
    <m/>
    <s v="DLT SOLUTIONS LLC"/>
    <n v="0"/>
    <n v="0"/>
    <n v="0"/>
    <n v="0"/>
    <n v="0"/>
    <n v="0"/>
    <n v="3908.57"/>
    <n v="0"/>
    <n v="3908.57"/>
    <n v="7.8813538288953768E-6"/>
    <n v="0.99744847303262418"/>
    <b v="0"/>
  </r>
  <r>
    <n v="778"/>
    <m/>
    <x v="18"/>
    <m/>
    <s v="EASTERN SHORE FOREST PRODUCTS INC"/>
    <n v="0"/>
    <n v="3900"/>
    <n v="0"/>
    <n v="0"/>
    <n v="0"/>
    <n v="0"/>
    <n v="0"/>
    <n v="0"/>
    <n v="3900"/>
    <n v="7.8640730325136724E-6"/>
    <n v="0.99745633710565673"/>
    <b v="0"/>
  </r>
  <r>
    <n v="878"/>
    <m/>
    <x v="18"/>
    <m/>
    <s v="CANON SOLUTIONS AMERICA INC"/>
    <n v="0"/>
    <n v="477.45"/>
    <n v="0"/>
    <n v="0"/>
    <n v="0"/>
    <n v="0"/>
    <n v="3405.96"/>
    <n v="0"/>
    <n v="3883.41"/>
    <n v="7.8306204756907493E-6"/>
    <n v="0.99746416772613244"/>
    <b v="0"/>
  </r>
  <r>
    <n v="325"/>
    <m/>
    <x v="18"/>
    <m/>
    <s v="John Hallowell"/>
    <n v="3868"/>
    <n v="0"/>
    <n v="0"/>
    <n v="0"/>
    <n v="0"/>
    <n v="0"/>
    <n v="0"/>
    <n v="0"/>
    <n v="3868"/>
    <n v="7.7995473050674073E-6"/>
    <n v="0.99747196727343757"/>
    <b v="0"/>
  </r>
  <r>
    <n v="1074"/>
    <m/>
    <x v="18"/>
    <m/>
    <s v="SHAUN A PEKAR"/>
    <n v="0"/>
    <n v="0"/>
    <n v="1515"/>
    <n v="2353"/>
    <n v="0"/>
    <n v="0"/>
    <n v="0"/>
    <n v="0"/>
    <n v="3868"/>
    <n v="7.7995473050674073E-6"/>
    <n v="0.99747976682074269"/>
    <b v="0"/>
  </r>
  <r>
    <n v="1045"/>
    <m/>
    <x v="18"/>
    <m/>
    <s v="APPLIED CONCEPTS INC"/>
    <n v="0"/>
    <n v="0"/>
    <n v="3850"/>
    <n v="0"/>
    <n v="0"/>
    <n v="0"/>
    <n v="0"/>
    <n v="0"/>
    <n v="3850"/>
    <n v="7.7632515833788822E-6"/>
    <n v="0.99748753007232605"/>
    <b v="0"/>
  </r>
  <r>
    <n v="884"/>
    <m/>
    <x v="18"/>
    <m/>
    <s v="THE ELECTRIC MOTOR REPAIR CO"/>
    <n v="0"/>
    <n v="443.75"/>
    <n v="964.89"/>
    <n v="0"/>
    <n v="461.06"/>
    <n v="0"/>
    <n v="0"/>
    <n v="1957.35"/>
    <n v="3827.0499999999997"/>
    <n v="7.7169745382260118E-6"/>
    <n v="0.99749524704686432"/>
    <b v="0"/>
  </r>
  <r>
    <n v="1046"/>
    <m/>
    <x v="18"/>
    <m/>
    <s v="SUNBELT RENTALS INC"/>
    <n v="0"/>
    <n v="0"/>
    <n v="3825.53"/>
    <n v="0"/>
    <n v="0"/>
    <n v="0"/>
    <n v="0"/>
    <n v="0"/>
    <n v="3825.53"/>
    <n v="7.7139095661723163E-6"/>
    <n v="0.99750296095643054"/>
    <b v="0"/>
  </r>
  <r>
    <n v="1449"/>
    <m/>
    <x v="18"/>
    <m/>
    <s v="RICHARD &amp; CHRISTINE DI SABATINO"/>
    <n v="0"/>
    <n v="0"/>
    <n v="0"/>
    <n v="0"/>
    <n v="3825"/>
    <n v="0"/>
    <n v="0"/>
    <n v="0"/>
    <n v="3825"/>
    <n v="7.7128408588114871E-6"/>
    <n v="0.9975106737972893"/>
    <b v="0"/>
  </r>
  <r>
    <n v="439"/>
    <m/>
    <x v="18"/>
    <m/>
    <s v="MICHAEL F MILLER"/>
    <n v="1300"/>
    <n v="750"/>
    <n v="800"/>
    <n v="0"/>
    <n v="600"/>
    <n v="350"/>
    <n v="0"/>
    <n v="0"/>
    <n v="3800"/>
    <n v="7.662430134244092E-6"/>
    <n v="0.99751833622742359"/>
    <b v="0"/>
  </r>
  <r>
    <n v="475"/>
    <m/>
    <x v="18"/>
    <m/>
    <s v="DARREN JONES"/>
    <n v="1000"/>
    <n v="1000"/>
    <n v="1000"/>
    <n v="800"/>
    <n v="0"/>
    <n v="0"/>
    <n v="0"/>
    <n v="0"/>
    <n v="3800"/>
    <n v="7.662430134244092E-6"/>
    <n v="0.99752599865755787"/>
    <b v="0"/>
  </r>
  <r>
    <n v="579"/>
    <m/>
    <x v="18"/>
    <m/>
    <s v="SCOTT BORINO"/>
    <n v="440"/>
    <n v="480"/>
    <n v="480"/>
    <n v="480"/>
    <n v="480"/>
    <n v="480"/>
    <n v="480"/>
    <n v="480"/>
    <n v="3800"/>
    <n v="7.662430134244092E-6"/>
    <n v="0.99753366108769215"/>
    <b v="0"/>
  </r>
  <r>
    <n v="535"/>
    <m/>
    <x v="18"/>
    <m/>
    <s v="AMERICAN TESTING &amp; INSPECTION SERVICES"/>
    <n v="598"/>
    <n v="538"/>
    <n v="670"/>
    <n v="765"/>
    <n v="760"/>
    <n v="445"/>
    <n v="0"/>
    <n v="0"/>
    <n v="3776"/>
    <n v="7.6140358386593915E-6"/>
    <n v="0.99754127512353086"/>
    <b v="0"/>
  </r>
  <r>
    <n v="2040"/>
    <m/>
    <x v="18"/>
    <m/>
    <s v="ROY KLEBE"/>
    <n v="0"/>
    <n v="0"/>
    <n v="0"/>
    <n v="0"/>
    <n v="0"/>
    <n v="0"/>
    <n v="2352.16"/>
    <n v="1420.85"/>
    <n v="3773.0099999999998"/>
    <n v="7.6080067160011308E-6"/>
    <n v="0.99754888313024681"/>
    <b v="0"/>
  </r>
  <r>
    <n v="855"/>
    <m/>
    <x v="18"/>
    <m/>
    <s v="PATUXENT MATERIALS INC"/>
    <n v="0"/>
    <n v="692.42"/>
    <n v="0"/>
    <n v="2033.51"/>
    <n v="1040.99"/>
    <n v="0"/>
    <n v="0"/>
    <n v="0"/>
    <n v="3766.92"/>
    <n v="7.5957266634965136E-6"/>
    <n v="0.99755647885691034"/>
    <b v="0"/>
  </r>
  <r>
    <n v="1797"/>
    <m/>
    <x v="18"/>
    <m/>
    <s v="LIBERTY COCA-COLA BEVERAGES LLC"/>
    <n v="0"/>
    <n v="0"/>
    <n v="0"/>
    <n v="0"/>
    <n v="0"/>
    <n v="629.52"/>
    <n v="2099.04"/>
    <n v="1016.4"/>
    <n v="3744.96"/>
    <n v="7.5514458830365138E-6"/>
    <n v="0.99756403030279339"/>
    <b v="0"/>
  </r>
  <r>
    <n v="1247"/>
    <m/>
    <x v="18"/>
    <m/>
    <s v="TRI-STATE TILE RESTORATION"/>
    <n v="0"/>
    <n v="0"/>
    <n v="0"/>
    <n v="3742"/>
    <n v="0"/>
    <n v="0"/>
    <n v="0"/>
    <n v="0"/>
    <n v="3742"/>
    <n v="7.5454772532477338E-6"/>
    <n v="0.99757157578004663"/>
    <b v="0"/>
  </r>
  <r>
    <n v="328"/>
    <m/>
    <x v="18"/>
    <m/>
    <s v="TROWBRIDGE CREEK ZOO LLC"/>
    <n v="3715.77"/>
    <n v="0"/>
    <n v="0"/>
    <n v="0"/>
    <n v="0"/>
    <n v="0"/>
    <n v="0"/>
    <n v="0"/>
    <n v="3715.77"/>
    <n v="7.492586321031623E-6"/>
    <n v="0.99757906836636767"/>
    <b v="0"/>
  </r>
  <r>
    <n v="397"/>
    <m/>
    <x v="18"/>
    <m/>
    <s v="JULIE LIPSON"/>
    <n v="2000"/>
    <n v="1700"/>
    <n v="0"/>
    <n v="0"/>
    <n v="0"/>
    <n v="0"/>
    <n v="0"/>
    <n v="0"/>
    <n v="3700"/>
    <n v="7.4607872359745099E-6"/>
    <n v="0.99758652915360368"/>
    <b v="0"/>
  </r>
  <r>
    <n v="555"/>
    <m/>
    <x v="18"/>
    <m/>
    <s v="JOHN FLYNN"/>
    <n v="500"/>
    <n v="0"/>
    <n v="1000"/>
    <n v="700"/>
    <n v="0"/>
    <n v="500"/>
    <n v="500"/>
    <n v="500"/>
    <n v="3700"/>
    <n v="7.4607872359745099E-6"/>
    <n v="0.9975939899408397"/>
    <b v="0"/>
  </r>
  <r>
    <n v="2022"/>
    <m/>
    <x v="18"/>
    <m/>
    <s v="SERTIFIED LLC"/>
    <n v="0"/>
    <n v="0"/>
    <n v="0"/>
    <n v="0"/>
    <n v="0"/>
    <n v="0"/>
    <n v="3668"/>
    <n v="0"/>
    <n v="3668"/>
    <n v="7.396261508528244E-6"/>
    <n v="0.99760138620234817"/>
    <b v="0"/>
  </r>
  <r>
    <n v="1742"/>
    <m/>
    <x v="18"/>
    <m/>
    <s v="CAPE GAZETTE"/>
    <n v="0"/>
    <n v="0"/>
    <n v="0"/>
    <n v="0"/>
    <n v="0"/>
    <n v="1948.55"/>
    <n v="1353.05"/>
    <n v="317.39999999999998"/>
    <n v="3619"/>
    <n v="7.2974564883761493E-6"/>
    <n v="0.99760868365883659"/>
    <b v="0"/>
  </r>
  <r>
    <n v="2023"/>
    <m/>
    <x v="18"/>
    <m/>
    <s v="REBECCA MCGOVERN"/>
    <n v="0"/>
    <n v="0"/>
    <n v="0"/>
    <n v="0"/>
    <n v="0"/>
    <n v="0"/>
    <n v="3607"/>
    <n v="0"/>
    <n v="3607"/>
    <n v="7.2732593405837994E-6"/>
    <n v="0.99761595691817717"/>
    <b v="0"/>
  </r>
  <r>
    <n v="455"/>
    <m/>
    <x v="18"/>
    <m/>
    <s v="STUART FRANKS"/>
    <n v="1200"/>
    <n v="600"/>
    <n v="1200"/>
    <n v="0"/>
    <n v="0"/>
    <n v="600"/>
    <n v="0"/>
    <n v="0"/>
    <n v="3600"/>
    <n v="7.2591443377049287E-6"/>
    <n v="0.99762321606251492"/>
    <b v="0"/>
  </r>
  <r>
    <n v="467"/>
    <m/>
    <x v="18"/>
    <m/>
    <s v="ERIN KELSEY MAGNIN"/>
    <n v="1050"/>
    <n v="1000"/>
    <n v="0"/>
    <n v="300"/>
    <n v="1250"/>
    <n v="0"/>
    <n v="0"/>
    <n v="0"/>
    <n v="3600"/>
    <n v="7.2591443377049287E-6"/>
    <n v="0.99763047520685266"/>
    <b v="0"/>
  </r>
  <r>
    <n v="2024"/>
    <m/>
    <x v="18"/>
    <m/>
    <s v="AIR MAX LLC"/>
    <n v="0"/>
    <n v="0"/>
    <n v="0"/>
    <n v="0"/>
    <n v="0"/>
    <n v="0"/>
    <n v="3600"/>
    <n v="0"/>
    <n v="3600"/>
    <n v="7.2591443377049287E-6"/>
    <n v="0.99763773435119041"/>
    <b v="0"/>
  </r>
  <r>
    <n v="2025"/>
    <m/>
    <x v="18"/>
    <m/>
    <s v="JEFFREY MOORE"/>
    <n v="0"/>
    <n v="0"/>
    <n v="0"/>
    <n v="0"/>
    <n v="0"/>
    <n v="0"/>
    <n v="3600"/>
    <n v="0"/>
    <n v="3600"/>
    <n v="7.2591443377049287E-6"/>
    <n v="0.99764499349552815"/>
    <b v="0"/>
  </r>
  <r>
    <n v="331"/>
    <m/>
    <x v="18"/>
    <m/>
    <s v="MELANIE CUCUNATO"/>
    <n v="3591.38"/>
    <n v="0"/>
    <n v="0"/>
    <n v="0"/>
    <n v="0"/>
    <n v="0"/>
    <n v="0"/>
    <n v="0"/>
    <n v="3591.38"/>
    <n v="7.2417627198740912E-6"/>
    <n v="0.99765223525824798"/>
    <b v="0"/>
  </r>
  <r>
    <n v="332"/>
    <m/>
    <x v="18"/>
    <m/>
    <s v="GOODING SIMPSON&amp;MACKES INC"/>
    <n v="3581"/>
    <n v="0"/>
    <n v="0"/>
    <n v="0"/>
    <n v="0"/>
    <n v="0"/>
    <n v="0"/>
    <n v="0"/>
    <n v="3581"/>
    <n v="7.220832187033708E-6"/>
    <n v="0.99765945609043505"/>
    <b v="0"/>
  </r>
  <r>
    <n v="2026"/>
    <m/>
    <x v="18"/>
    <m/>
    <s v="SOUTHLAND INSULATORS OF DELAWARE LLC"/>
    <n v="0"/>
    <n v="0"/>
    <n v="0"/>
    <n v="0"/>
    <n v="0"/>
    <n v="0"/>
    <n v="3575"/>
    <n v="0"/>
    <n v="3575"/>
    <n v="7.2087336131375336E-6"/>
    <n v="0.9976666648240482"/>
    <b v="0"/>
  </r>
  <r>
    <n v="1733"/>
    <m/>
    <x v="18"/>
    <m/>
    <s v="DEAFINITIONS &amp; INTERPRETING LLC"/>
    <n v="0"/>
    <n v="0"/>
    <n v="0"/>
    <n v="0"/>
    <n v="0"/>
    <n v="2575.42"/>
    <n v="775.92"/>
    <n v="220"/>
    <n v="3571.34"/>
    <n v="7.2013534830608671E-6"/>
    <n v="0.99767386617753129"/>
    <b v="0"/>
  </r>
  <r>
    <n v="1539"/>
    <m/>
    <x v="18"/>
    <m/>
    <s v="WESTERN TERMITE &amp; PEST CONTROL"/>
    <n v="0"/>
    <n v="0"/>
    <n v="0"/>
    <n v="0"/>
    <n v="328.5"/>
    <n v="963.5"/>
    <n v="1292"/>
    <n v="965"/>
    <n v="3549"/>
    <n v="7.1563064595874421E-6"/>
    <n v="0.99768102248399082"/>
    <b v="0"/>
  </r>
  <r>
    <n v="2066"/>
    <m/>
    <x v="18"/>
    <m/>
    <s v="RED THE UNIFORM TAILOR"/>
    <n v="0"/>
    <n v="0"/>
    <n v="0"/>
    <n v="0"/>
    <n v="0"/>
    <n v="0"/>
    <n v="1350.75"/>
    <n v="2196.2399999999998"/>
    <n v="3546.99"/>
    <n v="7.1522534373322229E-6"/>
    <n v="0.9976881747374281"/>
    <b v="0"/>
  </r>
  <r>
    <n v="2156"/>
    <m/>
    <x v="18"/>
    <m/>
    <s v="JASON DEAN"/>
    <n v="0"/>
    <n v="0"/>
    <n v="0"/>
    <n v="0"/>
    <n v="0"/>
    <n v="0"/>
    <n v="279"/>
    <n v="3245"/>
    <n v="3524"/>
    <n v="7.105895735020047E-6"/>
    <n v="0.99769528063316315"/>
    <b v="0"/>
  </r>
  <r>
    <n v="2027"/>
    <m/>
    <x v="18"/>
    <m/>
    <s v="OHIOPYLE PRINTS INC"/>
    <n v="0"/>
    <n v="0"/>
    <n v="0"/>
    <n v="0"/>
    <n v="0"/>
    <n v="0"/>
    <n v="3516.58"/>
    <n v="0"/>
    <n v="3516.58"/>
    <n v="7.0909338319684439E-6"/>
    <n v="0.99770237156699515"/>
    <b v="0"/>
  </r>
  <r>
    <n v="1723"/>
    <m/>
    <x v="18"/>
    <m/>
    <s v="HOOK 'EM &amp; COOK 'EM"/>
    <n v="0"/>
    <n v="0"/>
    <n v="0"/>
    <n v="0"/>
    <n v="0"/>
    <n v="3507.9"/>
    <n v="0"/>
    <n v="0"/>
    <n v="3507.9"/>
    <n v="7.0734312283986443E-6"/>
    <n v="0.99770944499822356"/>
    <b v="0"/>
  </r>
  <r>
    <n v="396"/>
    <m/>
    <x v="18"/>
    <m/>
    <s v="TRANSITION ENGINEERING SURVEYING LLC"/>
    <n v="2000"/>
    <n v="0"/>
    <n v="0"/>
    <n v="200"/>
    <n v="1304.7"/>
    <n v="0"/>
    <n v="0"/>
    <n v="0"/>
    <n v="3504.7"/>
    <n v="7.0669786556540175E-6"/>
    <n v="0.99771651197687916"/>
    <b v="0"/>
  </r>
  <r>
    <n v="1048"/>
    <m/>
    <x v="18"/>
    <m/>
    <s v="MARK MACDONALD LLC"/>
    <n v="0"/>
    <n v="0"/>
    <n v="3500"/>
    <n v="0"/>
    <n v="0"/>
    <n v="0"/>
    <n v="0"/>
    <n v="0"/>
    <n v="3500"/>
    <n v="7.0575014394353474E-6"/>
    <n v="0.99772356947831864"/>
    <b v="0"/>
  </r>
  <r>
    <n v="1451"/>
    <m/>
    <x v="18"/>
    <m/>
    <s v="CHARLES HAIRSTON"/>
    <n v="0"/>
    <n v="0"/>
    <n v="0"/>
    <n v="0"/>
    <n v="3500"/>
    <n v="0"/>
    <n v="0"/>
    <n v="0"/>
    <n v="3500"/>
    <n v="7.0575014394353474E-6"/>
    <n v="0.99773062697975812"/>
    <b v="0"/>
  </r>
  <r>
    <n v="1452"/>
    <m/>
    <x v="18"/>
    <m/>
    <s v="EDWARD OTTER INC"/>
    <n v="0"/>
    <n v="0"/>
    <n v="0"/>
    <n v="0"/>
    <n v="3500"/>
    <n v="0"/>
    <n v="0"/>
    <n v="0"/>
    <n v="3500"/>
    <n v="7.0575014394353474E-6"/>
    <n v="0.9977376844811976"/>
    <b v="0"/>
  </r>
  <r>
    <n v="1453"/>
    <m/>
    <x v="18"/>
    <m/>
    <s v="BRYAN COHEN BFC PAINTING"/>
    <n v="0"/>
    <n v="0"/>
    <n v="0"/>
    <n v="0"/>
    <n v="3500"/>
    <n v="0"/>
    <n v="0"/>
    <n v="0"/>
    <n v="3500"/>
    <n v="7.0575014394353474E-6"/>
    <n v="0.99774474198263707"/>
    <b v="0"/>
  </r>
  <r>
    <n v="2292"/>
    <m/>
    <x v="18"/>
    <m/>
    <s v="MOORES TREE SERVICE"/>
    <n v="0"/>
    <n v="0"/>
    <n v="0"/>
    <n v="0"/>
    <n v="0"/>
    <n v="0"/>
    <n v="0"/>
    <n v="3500"/>
    <n v="3500"/>
    <n v="7.0575014394353474E-6"/>
    <n v="0.99775179948407655"/>
    <b v="0"/>
  </r>
  <r>
    <n v="781"/>
    <m/>
    <x v="18"/>
    <m/>
    <s v="ROBERT RILEY"/>
    <n v="0"/>
    <n v="3486.4"/>
    <n v="0"/>
    <n v="0"/>
    <n v="0"/>
    <n v="0"/>
    <n v="0"/>
    <n v="0"/>
    <n v="3486.4"/>
    <n v="7.0300780052706842E-6"/>
    <n v="0.99775882956208184"/>
    <b v="0"/>
  </r>
  <r>
    <n v="1049"/>
    <m/>
    <x v="18"/>
    <m/>
    <s v="STABIL SOLUTIONS INC"/>
    <n v="0"/>
    <n v="0"/>
    <n v="3480"/>
    <n v="0"/>
    <n v="0"/>
    <n v="0"/>
    <n v="0"/>
    <n v="0"/>
    <n v="3480"/>
    <n v="7.0171728597814313E-6"/>
    <n v="0.99776584673494162"/>
    <b v="0"/>
  </r>
  <r>
    <n v="1066"/>
    <m/>
    <x v="18"/>
    <m/>
    <s v="MATTHEW PAUL BRENCKLE"/>
    <n v="0"/>
    <n v="0"/>
    <n v="2149"/>
    <n v="738"/>
    <n v="587"/>
    <n v="0"/>
    <n v="0"/>
    <n v="0"/>
    <n v="3474"/>
    <n v="7.005074285885256E-6"/>
    <n v="0.99777285180922748"/>
    <b v="0"/>
  </r>
  <r>
    <n v="2293"/>
    <m/>
    <x v="18"/>
    <m/>
    <s v="WINNER PREMIUM LLC"/>
    <n v="0"/>
    <n v="0"/>
    <n v="0"/>
    <n v="0"/>
    <n v="0"/>
    <n v="0"/>
    <n v="0"/>
    <n v="3470.39"/>
    <n v="3470.39"/>
    <n v="6.9977949772577242E-6"/>
    <n v="0.99777984960420474"/>
    <b v="0"/>
  </r>
  <r>
    <n v="336"/>
    <m/>
    <x v="18"/>
    <m/>
    <s v="EXCELLENCE TENNIS ACADEMY DBA BTC"/>
    <n v="3460"/>
    <n v="0"/>
    <n v="0"/>
    <n v="0"/>
    <n v="0"/>
    <n v="0"/>
    <n v="0"/>
    <n v="0"/>
    <n v="3460"/>
    <n v="6.9768442801275144E-6"/>
    <n v="0.99778682644848482"/>
    <b v="0"/>
  </r>
  <r>
    <n v="582"/>
    <m/>
    <x v="18"/>
    <m/>
    <s v="JDM NO 1 PLUMBING LLC"/>
    <n v="435.5"/>
    <n v="0"/>
    <n v="1780.5"/>
    <n v="0"/>
    <n v="0"/>
    <n v="0"/>
    <n v="0"/>
    <n v="1200"/>
    <n v="3416"/>
    <n v="6.8881214048888987E-6"/>
    <n v="0.99779371456988974"/>
    <b v="0"/>
  </r>
  <r>
    <n v="1454"/>
    <m/>
    <x v="18"/>
    <m/>
    <s v="DE JUSTICE INFORMATION SYSTEMS PC"/>
    <n v="0"/>
    <n v="0"/>
    <n v="0"/>
    <n v="0"/>
    <n v="3400"/>
    <n v="0"/>
    <n v="0"/>
    <n v="0"/>
    <n v="3400"/>
    <n v="6.8558585411657662E-6"/>
    <n v="0.99780057042843096"/>
    <b v="0"/>
  </r>
  <r>
    <n v="1776"/>
    <m/>
    <x v="18"/>
    <m/>
    <s v="BRIAN STEPHEN BECKER"/>
    <n v="0"/>
    <n v="0"/>
    <n v="0"/>
    <n v="0"/>
    <n v="0"/>
    <n v="900"/>
    <n v="2500"/>
    <n v="0"/>
    <n v="3400"/>
    <n v="6.8558585411657662E-6"/>
    <n v="0.99780742628697217"/>
    <b v="0"/>
  </r>
  <r>
    <n v="2294"/>
    <m/>
    <x v="18"/>
    <m/>
    <s v="NATHAN NAZDROWICZ"/>
    <n v="0"/>
    <n v="0"/>
    <n v="0"/>
    <n v="0"/>
    <n v="0"/>
    <n v="0"/>
    <n v="0"/>
    <n v="3400"/>
    <n v="3400"/>
    <n v="6.8558585411657662E-6"/>
    <n v="0.99781428214551338"/>
    <b v="0"/>
  </r>
  <r>
    <n v="823"/>
    <m/>
    <x v="18"/>
    <m/>
    <s v="E W BROWN INC"/>
    <n v="0"/>
    <n v="1290"/>
    <n v="2099.13"/>
    <n v="0"/>
    <n v="0"/>
    <n v="0"/>
    <n v="0"/>
    <n v="0"/>
    <n v="3389.13"/>
    <n v="6.8339399581238627E-6"/>
    <n v="0.99782111608547153"/>
    <b v="0"/>
  </r>
  <r>
    <n v="1455"/>
    <m/>
    <x v="18"/>
    <m/>
    <s v="PSC PROPERTIES LLC"/>
    <n v="0"/>
    <n v="0"/>
    <n v="0"/>
    <n v="0"/>
    <n v="3381"/>
    <n v="0"/>
    <n v="0"/>
    <n v="0"/>
    <n v="3381"/>
    <n v="6.8175463904945456E-6"/>
    <n v="0.99782793363186206"/>
    <b v="0"/>
  </r>
  <r>
    <n v="605"/>
    <m/>
    <x v="18"/>
    <m/>
    <s v="J S BENNETT &amp; SON INC"/>
    <n v="320"/>
    <n v="328"/>
    <n v="0"/>
    <n v="460"/>
    <n v="156"/>
    <n v="188"/>
    <n v="1099"/>
    <n v="824"/>
    <n v="3375"/>
    <n v="6.8054478165983702E-6"/>
    <n v="0.99783473907967868"/>
    <b v="0"/>
  </r>
  <r>
    <n v="659"/>
    <m/>
    <x v="18"/>
    <m/>
    <s v="VINCENT PORCELLINI"/>
    <n v="120"/>
    <n v="360"/>
    <n v="480"/>
    <n v="480"/>
    <n v="480"/>
    <n v="480"/>
    <n v="480"/>
    <n v="480"/>
    <n v="3360"/>
    <n v="6.7752013818579332E-6"/>
    <n v="0.99784151428106049"/>
    <b v="0"/>
  </r>
  <r>
    <n v="1120"/>
    <m/>
    <x v="18"/>
    <m/>
    <s v="LAURA SCHARLE"/>
    <n v="0"/>
    <n v="0"/>
    <n v="509.99"/>
    <n v="614.16"/>
    <n v="730.21"/>
    <n v="360"/>
    <n v="613.67999999999995"/>
    <n v="507.96"/>
    <n v="3336"/>
    <n v="6.7268070862732336E-6"/>
    <n v="0.99784824108814674"/>
    <b v="0"/>
  </r>
  <r>
    <n v="1071"/>
    <m/>
    <x v="18"/>
    <m/>
    <s v="SPECIES360"/>
    <n v="0"/>
    <n v="0"/>
    <n v="1733.37"/>
    <n v="0"/>
    <n v="0"/>
    <n v="1602.6"/>
    <n v="0"/>
    <n v="0"/>
    <n v="3335.97"/>
    <n v="6.7267465934037529E-6"/>
    <n v="0.99785496783474015"/>
    <b v="0"/>
  </r>
  <r>
    <n v="1184"/>
    <m/>
    <x v="18"/>
    <m/>
    <s v="WYOMING MILLWORK"/>
    <n v="0"/>
    <n v="0"/>
    <n v="57.3"/>
    <n v="758.79"/>
    <n v="1679.1"/>
    <n v="0"/>
    <n v="0"/>
    <n v="839"/>
    <n v="3334.1899999999996"/>
    <n v="6.7231573498145539E-6"/>
    <n v="0.99786169099208999"/>
    <b v="0"/>
  </r>
  <r>
    <n v="2028"/>
    <m/>
    <x v="18"/>
    <m/>
    <s v="MID ATLANTIC PRODUCTS INC"/>
    <n v="0"/>
    <n v="0"/>
    <n v="0"/>
    <n v="0"/>
    <n v="0"/>
    <n v="0"/>
    <n v="3305"/>
    <n v="0"/>
    <n v="3305"/>
    <n v="6.664297787809664E-6"/>
    <n v="0.99786835528987783"/>
    <b v="0"/>
  </r>
  <r>
    <n v="862"/>
    <m/>
    <x v="18"/>
    <m/>
    <s v="LAUREN MUNEY"/>
    <n v="0"/>
    <n v="600"/>
    <n v="1500"/>
    <n v="1150"/>
    <n v="0"/>
    <n v="0"/>
    <n v="0"/>
    <n v="0"/>
    <n v="3250"/>
    <n v="6.5533941937613939E-6"/>
    <n v="0.99787490868407158"/>
    <b v="0"/>
  </r>
  <r>
    <n v="1086"/>
    <m/>
    <x v="18"/>
    <m/>
    <s v="SUNSET MARINA LLC"/>
    <n v="0"/>
    <n v="0"/>
    <n v="1000"/>
    <n v="900"/>
    <n v="0"/>
    <n v="0"/>
    <n v="1350"/>
    <n v="0"/>
    <n v="3250"/>
    <n v="6.5533941937613939E-6"/>
    <n v="0.99788146207826534"/>
    <b v="0"/>
  </r>
  <r>
    <n v="2190"/>
    <m/>
    <x v="18"/>
    <m/>
    <s v="BUILDING SYS &amp; SVCS INC"/>
    <n v="0"/>
    <n v="0"/>
    <n v="0"/>
    <n v="0"/>
    <n v="0"/>
    <n v="0"/>
    <n v="150"/>
    <n v="3090"/>
    <n v="3240"/>
    <n v="6.5332299039344359E-6"/>
    <n v="0.9978879953081693"/>
    <b v="0"/>
  </r>
  <r>
    <n v="2295"/>
    <m/>
    <x v="18"/>
    <m/>
    <s v="TATE ENGINEERING SYS INC"/>
    <n v="0"/>
    <n v="0"/>
    <n v="0"/>
    <n v="0"/>
    <n v="0"/>
    <n v="0"/>
    <n v="0"/>
    <n v="3240"/>
    <n v="3240"/>
    <n v="6.5332299039344359E-6"/>
    <n v="0.99789452853807326"/>
    <b v="0"/>
  </r>
  <r>
    <n v="583"/>
    <m/>
    <x v="18"/>
    <m/>
    <s v="DPH OFFICE OF DRINKING WATER"/>
    <n v="425"/>
    <n v="425"/>
    <n v="425"/>
    <n v="425"/>
    <n v="450"/>
    <n v="375"/>
    <n v="350"/>
    <n v="350"/>
    <n v="3225"/>
    <n v="6.5029834691939988E-6"/>
    <n v="0.99790103152154241"/>
    <b v="0"/>
  </r>
  <r>
    <n v="1725"/>
    <m/>
    <x v="18"/>
    <m/>
    <s v="BEYOND GUTTERS INC"/>
    <n v="0"/>
    <n v="0"/>
    <n v="0"/>
    <n v="0"/>
    <n v="0"/>
    <n v="3215"/>
    <n v="0"/>
    <n v="0"/>
    <n v="3215"/>
    <n v="6.4828191793670408E-6"/>
    <n v="0.99790751434072178"/>
    <b v="0"/>
  </r>
  <r>
    <n v="2296"/>
    <m/>
    <x v="18"/>
    <m/>
    <s v="CENTRAL NEBRASKA PACKING INC"/>
    <n v="0"/>
    <n v="0"/>
    <n v="0"/>
    <n v="0"/>
    <n v="0"/>
    <n v="0"/>
    <n v="0"/>
    <n v="3207.93"/>
    <n v="3207.93"/>
    <n v="6.4685630264593804E-6"/>
    <n v="0.99791398290374822"/>
    <b v="0"/>
  </r>
  <r>
    <n v="594"/>
    <m/>
    <x v="18"/>
    <m/>
    <s v="PETER CASEY"/>
    <n v="400"/>
    <n v="400"/>
    <n v="400"/>
    <n v="300"/>
    <n v="0"/>
    <n v="700"/>
    <n v="700"/>
    <n v="300"/>
    <n v="3200"/>
    <n v="6.4525727446266029E-6"/>
    <n v="0.9979204354764929"/>
    <b v="0"/>
  </r>
  <r>
    <n v="847"/>
    <m/>
    <x v="18"/>
    <m/>
    <s v="MARK B TURNER"/>
    <n v="0"/>
    <n v="800"/>
    <n v="1600"/>
    <n v="0"/>
    <n v="800"/>
    <n v="0"/>
    <n v="0"/>
    <n v="0"/>
    <n v="3200"/>
    <n v="6.4525727446266029E-6"/>
    <n v="0.99792688804923757"/>
    <b v="0"/>
  </r>
  <r>
    <n v="1761"/>
    <m/>
    <x v="18"/>
    <m/>
    <s v="KEVIN STANISZEWSKI"/>
    <n v="0"/>
    <n v="0"/>
    <n v="0"/>
    <n v="0"/>
    <n v="0"/>
    <n v="1400"/>
    <n v="1000"/>
    <n v="800"/>
    <n v="3200"/>
    <n v="6.4525727446266029E-6"/>
    <n v="0.99793334062198225"/>
    <b v="0"/>
  </r>
  <r>
    <n v="2029"/>
    <m/>
    <x v="18"/>
    <m/>
    <s v="STEVEN FENDER DBA SHED OUTLET"/>
    <n v="0"/>
    <n v="0"/>
    <n v="0"/>
    <n v="0"/>
    <n v="0"/>
    <n v="0"/>
    <n v="3200"/>
    <n v="0"/>
    <n v="3200"/>
    <n v="6.4525727446266029E-6"/>
    <n v="0.99793979319472692"/>
    <b v="0"/>
  </r>
  <r>
    <n v="1747"/>
    <m/>
    <x v="18"/>
    <m/>
    <s v="BROOKS COURIER SERVICE INC"/>
    <n v="0"/>
    <n v="0"/>
    <n v="0"/>
    <n v="0"/>
    <n v="0"/>
    <n v="1740"/>
    <n v="1440"/>
    <n v="0"/>
    <n v="3180"/>
    <n v="6.4122441649726868E-6"/>
    <n v="0.9979462054388919"/>
    <b v="0"/>
  </r>
  <r>
    <n v="348"/>
    <m/>
    <x v="18"/>
    <m/>
    <s v="H BARBER &amp; SONS INC"/>
    <n v="3179.25"/>
    <n v="0"/>
    <n v="0"/>
    <n v="0"/>
    <n v="0"/>
    <n v="0"/>
    <n v="0"/>
    <n v="0"/>
    <n v="3179.25"/>
    <n v="6.4107318432356648E-6"/>
    <n v="0.99795261617073516"/>
    <b v="0"/>
  </r>
  <r>
    <n v="2030"/>
    <m/>
    <x v="18"/>
    <m/>
    <s v="ENVIREP INC"/>
    <n v="0"/>
    <n v="0"/>
    <n v="0"/>
    <n v="0"/>
    <n v="0"/>
    <n v="0"/>
    <n v="3171.11"/>
    <n v="0"/>
    <n v="3171.11"/>
    <n v="6.394318111316521E-6"/>
    <n v="0.9979590104888465"/>
    <b v="0"/>
  </r>
  <r>
    <n v="421"/>
    <m/>
    <x v="18"/>
    <m/>
    <s v="OCCUPATIONAL HEALTH CENTERS"/>
    <n v="1599"/>
    <n v="1559"/>
    <n v="0"/>
    <n v="0"/>
    <n v="0"/>
    <n v="0"/>
    <n v="0"/>
    <n v="0"/>
    <n v="3158"/>
    <n v="6.3678827273533789E-6"/>
    <n v="0.99796537837157384"/>
    <b v="0"/>
  </r>
  <r>
    <n v="1726"/>
    <m/>
    <x v="18"/>
    <m/>
    <s v="SCOTT R RIEDEL AND ASSOCIATES LIMITED"/>
    <n v="0"/>
    <n v="0"/>
    <n v="0"/>
    <n v="0"/>
    <n v="0"/>
    <n v="3125"/>
    <n v="0"/>
    <n v="0"/>
    <n v="3125"/>
    <n v="6.3013405709244167E-6"/>
    <n v="0.99797167971214473"/>
    <b v="0"/>
  </r>
  <r>
    <n v="564"/>
    <m/>
    <x v="18"/>
    <m/>
    <s v="ALANA DELANEY"/>
    <n v="480"/>
    <n v="360"/>
    <n v="360"/>
    <n v="480"/>
    <n v="480"/>
    <n v="480"/>
    <n v="480"/>
    <n v="0"/>
    <n v="3120"/>
    <n v="6.2912584260109377E-6"/>
    <n v="0.99797797097057073"/>
    <b v="0"/>
  </r>
  <r>
    <n v="515"/>
    <m/>
    <x v="18"/>
    <m/>
    <s v="NEW PIG CORP"/>
    <n v="674.39"/>
    <n v="0"/>
    <n v="0"/>
    <n v="0"/>
    <n v="1480.39"/>
    <n v="965.06"/>
    <n v="0"/>
    <n v="0"/>
    <n v="3119.84"/>
    <n v="6.290935797373707E-6"/>
    <n v="0.99798426190636813"/>
    <b v="0"/>
  </r>
  <r>
    <n v="1072"/>
    <m/>
    <x v="18"/>
    <m/>
    <s v="GO-GLASS JOY LLC"/>
    <n v="0"/>
    <n v="0"/>
    <n v="1708.67"/>
    <n v="0"/>
    <n v="1200"/>
    <n v="189"/>
    <n v="0"/>
    <n v="0"/>
    <n v="3097.67"/>
    <n v="6.2462315668273411E-6"/>
    <n v="0.997990508137935"/>
    <b v="0"/>
  </r>
  <r>
    <n v="1284"/>
    <m/>
    <x v="18"/>
    <m/>
    <s v="JOAN BETZOLD"/>
    <n v="0"/>
    <n v="0"/>
    <n v="0"/>
    <n v="910"/>
    <n v="250"/>
    <n v="1075"/>
    <n v="280"/>
    <n v="580"/>
    <n v="3095"/>
    <n v="6.2408477014435426E-6"/>
    <n v="0.99799674898563639"/>
    <b v="0"/>
  </r>
  <r>
    <n v="566"/>
    <m/>
    <x v="18"/>
    <m/>
    <s v="JANEY KRAMLIK"/>
    <n v="480"/>
    <n v="375.69"/>
    <n v="360"/>
    <n v="548.79999999999995"/>
    <n v="600"/>
    <n v="480"/>
    <n v="240"/>
    <n v="0"/>
    <n v="3084.49"/>
    <n v="6.2196550328354094E-6"/>
    <n v="0.99800296864066929"/>
    <b v="0"/>
  </r>
  <r>
    <n v="2297"/>
    <m/>
    <x v="18"/>
    <m/>
    <s v="GARRISON ENTERPRISES LLC"/>
    <n v="0"/>
    <n v="0"/>
    <n v="0"/>
    <n v="0"/>
    <n v="0"/>
    <n v="0"/>
    <n v="0"/>
    <n v="3079.96"/>
    <n v="3079.96"/>
    <n v="6.2105206095437975E-6"/>
    <n v="0.99800917916127885"/>
    <b v="0"/>
  </r>
  <r>
    <n v="1051"/>
    <m/>
    <x v="18"/>
    <m/>
    <s v="DUKES CONSTRUCTION LLC"/>
    <n v="0"/>
    <n v="0"/>
    <n v="3060"/>
    <n v="0"/>
    <n v="0"/>
    <n v="0"/>
    <n v="0"/>
    <n v="0"/>
    <n v="3060"/>
    <n v="6.1702726870491895E-6"/>
    <n v="0.99801534943396586"/>
    <b v="0"/>
  </r>
  <r>
    <n v="1327"/>
    <m/>
    <x v="18"/>
    <m/>
    <s v="ERVIN YODER"/>
    <n v="0"/>
    <n v="0"/>
    <n v="0"/>
    <n v="350"/>
    <n v="2677"/>
    <n v="0"/>
    <n v="0"/>
    <n v="0"/>
    <n v="3027"/>
    <n v="6.1037305306202273E-6"/>
    <n v="0.99802145316449653"/>
    <b v="0"/>
  </r>
  <r>
    <n v="817"/>
    <m/>
    <x v="18"/>
    <m/>
    <s v="HOFFMANS FORGE LLC"/>
    <n v="0"/>
    <n v="1500"/>
    <n v="0"/>
    <n v="1515"/>
    <n v="0"/>
    <n v="0"/>
    <n v="0"/>
    <n v="0"/>
    <n v="3015"/>
    <n v="6.0795333828278775E-6"/>
    <n v="0.99802753269787936"/>
    <b v="0"/>
  </r>
  <r>
    <n v="786"/>
    <m/>
    <x v="18"/>
    <m/>
    <s v="LORI FERGUSON"/>
    <n v="0"/>
    <n v="3000"/>
    <n v="0"/>
    <n v="0"/>
    <n v="0"/>
    <n v="0"/>
    <n v="0"/>
    <n v="0"/>
    <n v="3000"/>
    <n v="6.0492869480874404E-6"/>
    <n v="0.9980335819848275"/>
    <b v="0"/>
  </r>
  <r>
    <n v="1595"/>
    <m/>
    <x v="18"/>
    <m/>
    <s v="DELAWARE  POLICE CHIEFS COUNCIL INC"/>
    <n v="0"/>
    <n v="0"/>
    <n v="0"/>
    <n v="0"/>
    <n v="150"/>
    <n v="150"/>
    <n v="1350"/>
    <n v="1350"/>
    <n v="3000"/>
    <n v="6.0492869480874404E-6"/>
    <n v="0.99803963127177564"/>
    <b v="0"/>
  </r>
  <r>
    <n v="2031"/>
    <m/>
    <x v="18"/>
    <m/>
    <s v="LINDA BROWN"/>
    <n v="0"/>
    <n v="0"/>
    <n v="0"/>
    <n v="0"/>
    <n v="0"/>
    <n v="0"/>
    <n v="3000"/>
    <n v="0"/>
    <n v="3000"/>
    <n v="6.0492869480874404E-6"/>
    <n v="0.99804568055872378"/>
    <b v="0"/>
  </r>
  <r>
    <n v="355"/>
    <m/>
    <x v="18"/>
    <m/>
    <s v="CHEMICAL EQUIPMENT LABS OF DE INC"/>
    <n v="2994.62"/>
    <n v="0"/>
    <n v="0"/>
    <n v="0"/>
    <n v="0"/>
    <n v="0"/>
    <n v="0"/>
    <n v="0"/>
    <n v="2994.62"/>
    <n v="6.0384385601605371E-6"/>
    <n v="0.99805171899728395"/>
    <b v="0"/>
  </r>
  <r>
    <n v="2298"/>
    <m/>
    <x v="18"/>
    <m/>
    <s v="BRINT SPENCER"/>
    <n v="0"/>
    <n v="0"/>
    <n v="0"/>
    <n v="0"/>
    <n v="0"/>
    <n v="0"/>
    <n v="0"/>
    <n v="2982.28"/>
    <n v="2982.28"/>
    <n v="6.013555826514071E-6"/>
    <n v="0.99805773255311048"/>
    <b v="0"/>
  </r>
  <r>
    <n v="420"/>
    <m/>
    <x v="18"/>
    <m/>
    <s v="HIGHLAND RECORDS"/>
    <n v="1600"/>
    <n v="0"/>
    <n v="0"/>
    <n v="0"/>
    <n v="0"/>
    <n v="380"/>
    <n v="1000"/>
    <n v="0"/>
    <n v="2980"/>
    <n v="6.0089583684335243E-6"/>
    <n v="0.99806374151147892"/>
    <b v="0"/>
  </r>
  <r>
    <n v="2299"/>
    <m/>
    <x v="18"/>
    <m/>
    <s v="CARLISLE'S MARINE, INC"/>
    <n v="0"/>
    <n v="0"/>
    <n v="0"/>
    <n v="0"/>
    <n v="0"/>
    <n v="0"/>
    <n v="0"/>
    <n v="2971"/>
    <n v="2971"/>
    <n v="5.9908105075892618E-6"/>
    <n v="0.99806973232198648"/>
    <b v="0"/>
  </r>
  <r>
    <n v="526"/>
    <m/>
    <x v="18"/>
    <m/>
    <s v="DELAWARE LOCK LLC"/>
    <n v="608.5"/>
    <n v="2178.5"/>
    <n v="180"/>
    <n v="0"/>
    <n v="0"/>
    <n v="0"/>
    <n v="0"/>
    <n v="0"/>
    <n v="2967"/>
    <n v="5.982744791658479E-6"/>
    <n v="0.99807571506677817"/>
    <b v="0"/>
  </r>
  <r>
    <n v="468"/>
    <m/>
    <x v="18"/>
    <m/>
    <s v="RIDLEY ENSLOW"/>
    <n v="1050"/>
    <n v="1000"/>
    <n v="0"/>
    <n v="900"/>
    <n v="0"/>
    <n v="0"/>
    <n v="0"/>
    <n v="0"/>
    <n v="2950"/>
    <n v="5.9484654989526502E-6"/>
    <n v="0.99808166353227712"/>
    <b v="0"/>
  </r>
  <r>
    <n v="788"/>
    <m/>
    <x v="18"/>
    <m/>
    <s v="DMS HOLDINGS INC"/>
    <n v="0"/>
    <n v="2949.75"/>
    <n v="0"/>
    <n v="0"/>
    <n v="0"/>
    <n v="0"/>
    <n v="0"/>
    <n v="0"/>
    <n v="2949.75"/>
    <n v="5.9479613917069759E-6"/>
    <n v="0.99808761149366887"/>
    <b v="0"/>
  </r>
  <r>
    <n v="1730"/>
    <m/>
    <x v="18"/>
    <m/>
    <s v="GVMS - GREAT VALLEY"/>
    <n v="0"/>
    <n v="0"/>
    <n v="0"/>
    <n v="0"/>
    <n v="0"/>
    <n v="2934"/>
    <n v="0"/>
    <n v="0"/>
    <n v="2934"/>
    <n v="5.9162026352295168E-6"/>
    <n v="0.99809352769630411"/>
    <b v="0"/>
  </r>
  <r>
    <n v="2033"/>
    <m/>
    <x v="18"/>
    <m/>
    <s v="JOHNSON CONTROLS FIRE PROTECTION LP"/>
    <n v="0"/>
    <n v="0"/>
    <n v="0"/>
    <n v="0"/>
    <n v="0"/>
    <n v="0"/>
    <n v="2926.36"/>
    <n v="0"/>
    <n v="2926.36"/>
    <n v="5.9007971178017208E-6"/>
    <n v="0.99809942849342193"/>
    <b v="0"/>
  </r>
  <r>
    <n v="1134"/>
    <m/>
    <x v="18"/>
    <m/>
    <s v="DEAN MATTHEW RITTER"/>
    <n v="0"/>
    <n v="0"/>
    <n v="360"/>
    <n v="720"/>
    <n v="360"/>
    <n v="517.63"/>
    <n v="528.75"/>
    <n v="439"/>
    <n v="2925.38"/>
    <n v="5.8988210173986794E-6"/>
    <n v="0.99810532731443935"/>
    <b v="0"/>
  </r>
  <r>
    <n v="1054"/>
    <m/>
    <x v="18"/>
    <m/>
    <s v="JON EUGENIO"/>
    <n v="0"/>
    <n v="0"/>
    <n v="2902"/>
    <n v="0"/>
    <n v="0"/>
    <n v="0"/>
    <n v="0"/>
    <n v="0"/>
    <n v="2902"/>
    <n v="5.8516769077832509E-6"/>
    <n v="0.99811117899134716"/>
    <b v="0"/>
  </r>
  <r>
    <n v="480"/>
    <m/>
    <x v="18"/>
    <m/>
    <s v="BRYAN HOFFMAN"/>
    <n v="950"/>
    <n v="400"/>
    <n v="450"/>
    <n v="1100"/>
    <n v="0"/>
    <n v="0"/>
    <n v="0"/>
    <n v="0"/>
    <n v="2900"/>
    <n v="5.8476440498178592E-6"/>
    <n v="0.99811702663539703"/>
    <b v="0"/>
  </r>
  <r>
    <n v="1055"/>
    <m/>
    <x v="18"/>
    <m/>
    <s v="LEVEL A UNDERGROUND SOLUTIONS"/>
    <n v="0"/>
    <n v="0"/>
    <n v="2900"/>
    <n v="0"/>
    <n v="0"/>
    <n v="0"/>
    <n v="0"/>
    <n v="0"/>
    <n v="2900"/>
    <n v="5.8476440498178592E-6"/>
    <n v="0.9981228742794469"/>
    <b v="0"/>
  </r>
  <r>
    <n v="1286"/>
    <m/>
    <x v="18"/>
    <m/>
    <s v="GEORGE W PLUMMER &amp; SON INC"/>
    <n v="0"/>
    <n v="0"/>
    <n v="0"/>
    <n v="886"/>
    <n v="0"/>
    <n v="1897.5"/>
    <n v="115.44"/>
    <n v="0"/>
    <n v="2898.94"/>
    <n v="5.8455066350962016E-6"/>
    <n v="0.99812871978608197"/>
    <b v="0"/>
  </r>
  <r>
    <n v="2300"/>
    <m/>
    <x v="18"/>
    <m/>
    <s v="SHARK RIVER PADDLING LLC"/>
    <n v="0"/>
    <n v="0"/>
    <n v="0"/>
    <n v="0"/>
    <n v="0"/>
    <n v="0"/>
    <n v="0"/>
    <n v="2895"/>
    <n v="2895"/>
    <n v="5.8375619049043801E-6"/>
    <n v="0.99813455734798684"/>
    <b v="0"/>
  </r>
  <r>
    <n v="1294"/>
    <m/>
    <x v="18"/>
    <m/>
    <s v="GATEWAY GARDEN CENTER"/>
    <n v="0"/>
    <n v="0"/>
    <n v="0"/>
    <n v="757.4"/>
    <n v="1018.18"/>
    <n v="1115.3800000000001"/>
    <n v="0"/>
    <n v="0"/>
    <n v="2890.96"/>
    <n v="5.8294155318142894E-6"/>
    <n v="0.99814038676351868"/>
    <b v="0"/>
  </r>
  <r>
    <n v="831"/>
    <m/>
    <x v="18"/>
    <m/>
    <s v="CAREN DEBERNARDO"/>
    <n v="0"/>
    <n v="1080"/>
    <n v="1800"/>
    <n v="0"/>
    <n v="0"/>
    <n v="0"/>
    <n v="0"/>
    <n v="0"/>
    <n v="2880"/>
    <n v="5.8073154701639431E-6"/>
    <n v="0.99814619407898886"/>
    <b v="0"/>
  </r>
  <r>
    <n v="791"/>
    <m/>
    <x v="18"/>
    <m/>
    <s v="DELAWARE CENTER FOR THE INLAND"/>
    <n v="0"/>
    <n v="2872.39"/>
    <n v="0"/>
    <n v="0"/>
    <n v="0"/>
    <n v="0"/>
    <n v="0"/>
    <n v="0"/>
    <n v="2872.39"/>
    <n v="5.7919704456056277E-6"/>
    <n v="0.99815198604943445"/>
    <b v="0"/>
  </r>
  <r>
    <n v="1070"/>
    <m/>
    <x v="18"/>
    <m/>
    <s v="ALL CLEAN POWER WASHING LLC"/>
    <n v="0"/>
    <n v="0"/>
    <n v="1745"/>
    <n v="0"/>
    <n v="0"/>
    <n v="250"/>
    <n v="865"/>
    <n v="0"/>
    <n v="2860"/>
    <n v="5.7669868905100262E-6"/>
    <n v="0.99815775303632492"/>
    <b v="0"/>
  </r>
  <r>
    <n v="919"/>
    <m/>
    <x v="18"/>
    <m/>
    <s v="KAREN MINNER"/>
    <n v="0"/>
    <n v="190"/>
    <n v="480"/>
    <n v="480"/>
    <n v="480"/>
    <n v="480"/>
    <n v="480"/>
    <n v="264.12"/>
    <n v="2854.12"/>
    <n v="5.7551302880917751E-6"/>
    <n v="0.99816350816661303"/>
    <b v="0"/>
  </r>
  <r>
    <n v="840"/>
    <m/>
    <x v="18"/>
    <m/>
    <s v="CLEMENT W BOWEN 3RD"/>
    <n v="0"/>
    <n v="900"/>
    <n v="0"/>
    <n v="0"/>
    <n v="0"/>
    <n v="1200"/>
    <n v="0"/>
    <n v="750"/>
    <n v="2850"/>
    <n v="5.7468226006830681E-6"/>
    <n v="0.99816925498921372"/>
    <b v="0"/>
  </r>
  <r>
    <n v="1056"/>
    <m/>
    <x v="18"/>
    <m/>
    <s v="TOTAL CONSTRUCTION RENTALS"/>
    <n v="0"/>
    <n v="0"/>
    <n v="2849.78"/>
    <n v="0"/>
    <n v="0"/>
    <n v="0"/>
    <n v="0"/>
    <n v="0"/>
    <n v="2849.78"/>
    <n v="5.7463789863068762E-6"/>
    <n v="0.99817500136820003"/>
    <b v="0"/>
  </r>
  <r>
    <n v="2134"/>
    <m/>
    <x v="18"/>
    <m/>
    <s v="J MELCHIORRE &amp; SONS INC"/>
    <n v="0"/>
    <n v="0"/>
    <n v="0"/>
    <n v="0"/>
    <n v="0"/>
    <n v="0"/>
    <n v="416"/>
    <n v="2428.21"/>
    <n v="2844.21"/>
    <n v="5.7351474768732598E-6"/>
    <n v="0.99818073651567696"/>
    <b v="0"/>
  </r>
  <r>
    <n v="1754"/>
    <m/>
    <x v="18"/>
    <m/>
    <s v="IRON RANGERS LLC"/>
    <n v="0"/>
    <n v="0"/>
    <n v="0"/>
    <n v="0"/>
    <n v="0"/>
    <n v="1528"/>
    <n v="0"/>
    <n v="1280.5"/>
    <n v="2808.5"/>
    <n v="5.6631407979011919E-6"/>
    <n v="0.99818639965647482"/>
    <b v="0"/>
  </r>
  <r>
    <n v="587"/>
    <m/>
    <x v="18"/>
    <m/>
    <s v="PHILLIP LESTER"/>
    <n v="400"/>
    <n v="1200"/>
    <n v="800"/>
    <n v="400"/>
    <n v="0"/>
    <n v="0"/>
    <n v="0"/>
    <n v="0"/>
    <n v="2800"/>
    <n v="5.6460011515482779E-6"/>
    <n v="0.99819204565762631"/>
    <b v="0"/>
  </r>
  <r>
    <n v="2054"/>
    <m/>
    <x v="18"/>
    <m/>
    <s v="LOOCKERMANS TREE AND STUMP"/>
    <n v="0"/>
    <n v="0"/>
    <n v="0"/>
    <n v="0"/>
    <n v="0"/>
    <n v="0"/>
    <n v="1850"/>
    <n v="950"/>
    <n v="2800"/>
    <n v="5.6460011515482779E-6"/>
    <n v="0.99819769165877781"/>
    <b v="0"/>
  </r>
  <r>
    <n v="444"/>
    <m/>
    <x v="18"/>
    <m/>
    <s v="SHORE WATER AND DAGSBORO ELECTRIC INC"/>
    <n v="1276.8"/>
    <n v="1278"/>
    <n v="217.87"/>
    <n v="0"/>
    <n v="0"/>
    <n v="0"/>
    <n v="0"/>
    <n v="0"/>
    <n v="2772.67"/>
    <n v="5.5908921474512014E-6"/>
    <n v="0.99820328255092527"/>
    <b v="0"/>
  </r>
  <r>
    <n v="2111"/>
    <m/>
    <x v="18"/>
    <m/>
    <s v="TRUGREEN COMPANIES LLC"/>
    <n v="0"/>
    <n v="0"/>
    <n v="0"/>
    <n v="0"/>
    <n v="0"/>
    <n v="0"/>
    <n v="586.29"/>
    <n v="2157"/>
    <n v="2743.29"/>
    <n v="5.5316494639395985E-6"/>
    <n v="0.99820881420038921"/>
    <b v="0"/>
  </r>
  <r>
    <n v="1789"/>
    <m/>
    <x v="18"/>
    <m/>
    <s v="SEALAKE PRODUCTS LLC"/>
    <n v="0"/>
    <n v="0"/>
    <n v="0"/>
    <n v="0"/>
    <n v="0"/>
    <n v="745"/>
    <n v="568"/>
    <n v="1400"/>
    <n v="2713"/>
    <n v="5.470571830053742E-6"/>
    <n v="0.9982142847722193"/>
    <b v="0"/>
  </r>
  <r>
    <n v="511"/>
    <m/>
    <x v="18"/>
    <m/>
    <s v="JOSEPH N BAIONE"/>
    <n v="700"/>
    <n v="500"/>
    <n v="0"/>
    <n v="0"/>
    <n v="0"/>
    <n v="500"/>
    <n v="300"/>
    <n v="700"/>
    <n v="2700"/>
    <n v="5.4443582532786967E-6"/>
    <n v="0.99821972913047252"/>
    <b v="0"/>
  </r>
  <r>
    <n v="1285"/>
    <m/>
    <x v="18"/>
    <m/>
    <s v="RYAN FENTON"/>
    <n v="0"/>
    <n v="0"/>
    <n v="0"/>
    <n v="900"/>
    <n v="0"/>
    <n v="900"/>
    <n v="900"/>
    <n v="0"/>
    <n v="2700"/>
    <n v="5.4443582532786967E-6"/>
    <n v="0.99822517348872575"/>
    <b v="0"/>
  </r>
  <r>
    <n v="887"/>
    <m/>
    <x v="18"/>
    <m/>
    <s v="MCMULLEN ENVIRONMENTAL ENTERPRISES INC"/>
    <n v="0"/>
    <n v="420"/>
    <n v="0"/>
    <n v="0"/>
    <n v="1390"/>
    <n v="0"/>
    <n v="880"/>
    <n v="0"/>
    <n v="2690"/>
    <n v="5.4241939634517387E-6"/>
    <n v="0.99823059768268918"/>
    <b v="0"/>
  </r>
  <r>
    <n v="1075"/>
    <m/>
    <x v="18"/>
    <m/>
    <s v="STEVEN C SAVIDGE"/>
    <n v="0"/>
    <n v="0"/>
    <n v="1504.15"/>
    <n v="915.29"/>
    <n v="0"/>
    <n v="267"/>
    <n v="0"/>
    <n v="0"/>
    <n v="2686.44"/>
    <n v="5.4170154762733416E-6"/>
    <n v="0.99823601469816547"/>
    <b v="0"/>
  </r>
  <r>
    <n v="2301"/>
    <m/>
    <x v="18"/>
    <m/>
    <s v="R W GREER INC"/>
    <n v="0"/>
    <n v="0"/>
    <n v="0"/>
    <n v="0"/>
    <n v="0"/>
    <n v="0"/>
    <n v="0"/>
    <n v="2680"/>
    <n v="2680"/>
    <n v="5.4040296736247798E-6"/>
    <n v="0.99824141872783911"/>
    <b v="0"/>
  </r>
  <r>
    <n v="574"/>
    <m/>
    <x v="18"/>
    <m/>
    <s v="TIDEWATER UTILITIES INC"/>
    <n v="472.27"/>
    <n v="230.03"/>
    <n v="363.07"/>
    <n v="276.83999999999997"/>
    <n v="206.81"/>
    <n v="570.82000000000005"/>
    <n v="274.67"/>
    <n v="285.05"/>
    <n v="2679.56"/>
    <n v="5.4031424448723942E-6"/>
    <n v="0.99824682187028402"/>
    <b v="0"/>
  </r>
  <r>
    <n v="367"/>
    <m/>
    <x v="18"/>
    <m/>
    <s v="COLLINS TREE EXPERTS LLC"/>
    <n v="2640"/>
    <n v="0"/>
    <n v="0"/>
    <n v="0"/>
    <n v="0"/>
    <n v="0"/>
    <n v="0"/>
    <n v="0"/>
    <n v="2640"/>
    <n v="5.3233725143169476E-6"/>
    <n v="0.99825214524279837"/>
    <b v="0"/>
  </r>
  <r>
    <n v="2302"/>
    <m/>
    <x v="18"/>
    <m/>
    <s v="FRENS AND FRENS LLC"/>
    <n v="0"/>
    <n v="0"/>
    <n v="0"/>
    <n v="0"/>
    <n v="0"/>
    <n v="0"/>
    <n v="0"/>
    <n v="2633.55"/>
    <n v="2633.55"/>
    <n v="5.3103665473785601E-6"/>
    <n v="0.99825745560934576"/>
    <b v="0"/>
  </r>
  <r>
    <n v="2303"/>
    <m/>
    <x v="18"/>
    <m/>
    <s v="ROBERT G CLEVELAND"/>
    <n v="0"/>
    <n v="0"/>
    <n v="0"/>
    <n v="0"/>
    <n v="0"/>
    <n v="0"/>
    <n v="0"/>
    <n v="2600"/>
    <n v="2600"/>
    <n v="5.2427153550091155E-6"/>
    <n v="0.99826269832470071"/>
    <b v="0"/>
  </r>
  <r>
    <n v="1059"/>
    <m/>
    <x v="18"/>
    <m/>
    <s v="LIBERTY PURE OF DELMARVA LLC"/>
    <n v="0"/>
    <n v="0"/>
    <n v="2595"/>
    <n v="0"/>
    <n v="0"/>
    <n v="0"/>
    <n v="0"/>
    <n v="0"/>
    <n v="2595"/>
    <n v="5.2326332100956356E-6"/>
    <n v="0.99826793095791078"/>
    <b v="0"/>
  </r>
  <r>
    <n v="486"/>
    <m/>
    <x v="18"/>
    <m/>
    <s v="NORRISTOWN ZOOLOGICAL SOCIETY"/>
    <n v="916.3"/>
    <n v="0"/>
    <n v="0"/>
    <n v="553.5"/>
    <n v="658.03"/>
    <n v="260.10000000000002"/>
    <n v="198"/>
    <n v="0"/>
    <n v="2585.9299999999998"/>
    <n v="5.2143441992225843E-6"/>
    <n v="0.99827314530210998"/>
    <b v="0"/>
  </r>
  <r>
    <n v="554"/>
    <m/>
    <x v="18"/>
    <m/>
    <s v="CARSON  HUDSON"/>
    <n v="500"/>
    <n v="0"/>
    <n v="1500"/>
    <n v="300"/>
    <n v="0"/>
    <n v="0"/>
    <n v="250"/>
    <n v="0"/>
    <n v="2550"/>
    <n v="5.1418939058743244E-6"/>
    <n v="0.99827828719601586"/>
    <b v="0"/>
  </r>
  <r>
    <n v="558"/>
    <m/>
    <x v="18"/>
    <m/>
    <s v="MARK LENTZ"/>
    <n v="500"/>
    <n v="250"/>
    <n v="500"/>
    <n v="375"/>
    <n v="550"/>
    <n v="175"/>
    <n v="200"/>
    <n v="0"/>
    <n v="2550"/>
    <n v="5.1418939058743244E-6"/>
    <n v="0.99828342908992174"/>
    <b v="0"/>
  </r>
  <r>
    <n v="903"/>
    <m/>
    <x v="18"/>
    <m/>
    <s v="JAMES LUDLAM"/>
    <n v="0"/>
    <n v="300"/>
    <n v="0"/>
    <n v="2250"/>
    <n v="0"/>
    <n v="0"/>
    <n v="0"/>
    <n v="0"/>
    <n v="2550"/>
    <n v="5.1418939058743244E-6"/>
    <n v="0.99828857098382762"/>
    <b v="0"/>
  </r>
  <r>
    <n v="1289"/>
    <m/>
    <x v="18"/>
    <m/>
    <s v="JOHANNA ELLIS"/>
    <n v="0"/>
    <n v="0"/>
    <n v="0"/>
    <n v="850"/>
    <n v="0"/>
    <n v="850"/>
    <n v="0"/>
    <n v="850"/>
    <n v="2550"/>
    <n v="5.1418939058743244E-6"/>
    <n v="0.9982937128777335"/>
    <b v="0"/>
  </r>
  <r>
    <n v="370"/>
    <m/>
    <x v="18"/>
    <m/>
    <s v="Charles S Knothe Esq"/>
    <n v="2543.7199999999998"/>
    <n v="0"/>
    <n v="0"/>
    <n v="0"/>
    <n v="0"/>
    <n v="0"/>
    <n v="0"/>
    <n v="0"/>
    <n v="2543.7199999999998"/>
    <n v="5.1292307318629942E-6"/>
    <n v="0.99829884210846531"/>
    <b v="0"/>
  </r>
  <r>
    <n v="1734"/>
    <m/>
    <x v="18"/>
    <m/>
    <s v="AUTISM DELAWARE"/>
    <n v="0"/>
    <n v="0"/>
    <n v="0"/>
    <n v="0"/>
    <n v="0"/>
    <n v="2530"/>
    <n v="0"/>
    <n v="0"/>
    <n v="2530"/>
    <n v="5.1015653262204083E-6"/>
    <n v="0.99830394367379149"/>
    <b v="0"/>
  </r>
  <r>
    <n v="2304"/>
    <m/>
    <x v="18"/>
    <m/>
    <s v="AD-ART SIGN CO"/>
    <n v="0"/>
    <n v="0"/>
    <n v="0"/>
    <n v="0"/>
    <n v="0"/>
    <n v="0"/>
    <n v="0"/>
    <n v="2530"/>
    <n v="2530"/>
    <n v="5.1015653262204083E-6"/>
    <n v="0.99830904523911768"/>
    <b v="0"/>
  </r>
  <r>
    <n v="389"/>
    <m/>
    <x v="18"/>
    <m/>
    <s v="FORT MILES HISTORICAL ASSOC"/>
    <n v="2102.3000000000002"/>
    <n v="425.05"/>
    <n v="0"/>
    <n v="0"/>
    <n v="0"/>
    <n v="0"/>
    <n v="0"/>
    <n v="0"/>
    <n v="2527.3500000000004"/>
    <n v="5.0962217894162648E-6"/>
    <n v="0.99831414146090713"/>
    <b v="0"/>
  </r>
  <r>
    <n v="1061"/>
    <m/>
    <x v="18"/>
    <m/>
    <s v="MAICHLE'S HEATING &amp; AIR CONDITIONING"/>
    <n v="0"/>
    <n v="0"/>
    <n v="2502"/>
    <n v="0"/>
    <n v="0"/>
    <n v="0"/>
    <n v="0"/>
    <n v="0"/>
    <n v="2502"/>
    <n v="5.0451053147049252E-6"/>
    <n v="0.99831918656622187"/>
    <b v="0"/>
  </r>
  <r>
    <n v="795"/>
    <m/>
    <x v="18"/>
    <m/>
    <s v="EVERLAST CLIMBING INDUSTRIES INC"/>
    <n v="0"/>
    <n v="2501.9"/>
    <n v="0"/>
    <n v="0"/>
    <n v="0"/>
    <n v="0"/>
    <n v="0"/>
    <n v="0"/>
    <n v="2501.9"/>
    <n v="5.0449036718066558E-6"/>
    <n v="0.99832423146989369"/>
    <b v="0"/>
  </r>
  <r>
    <n v="517"/>
    <m/>
    <x v="18"/>
    <m/>
    <s v="MARK WALKER"/>
    <n v="650"/>
    <n v="0"/>
    <n v="0"/>
    <n v="650"/>
    <n v="0"/>
    <n v="0"/>
    <n v="600"/>
    <n v="600"/>
    <n v="2500"/>
    <n v="5.0410724567395334E-6"/>
    <n v="0.99832927254235038"/>
    <b v="0"/>
  </r>
  <r>
    <n v="546"/>
    <m/>
    <x v="18"/>
    <m/>
    <s v="CAROLE M WOLEK"/>
    <n v="550"/>
    <n v="1000"/>
    <n v="0"/>
    <n v="0"/>
    <n v="0"/>
    <n v="0"/>
    <n v="500"/>
    <n v="450"/>
    <n v="2500"/>
    <n v="5.0410724567395334E-6"/>
    <n v="0.99833431361480707"/>
    <b v="0"/>
  </r>
  <r>
    <n v="796"/>
    <m/>
    <x v="18"/>
    <m/>
    <s v="TEN BEARS ENVIRONMENTAL ASSOCIATES CO"/>
    <n v="0"/>
    <n v="2500"/>
    <n v="0"/>
    <n v="0"/>
    <n v="0"/>
    <n v="0"/>
    <n v="0"/>
    <n v="0"/>
    <n v="2500"/>
    <n v="5.0410724567395334E-6"/>
    <n v="0.99833935468726376"/>
    <b v="0"/>
  </r>
  <r>
    <n v="1062"/>
    <m/>
    <x v="18"/>
    <m/>
    <s v="SECOND STRING LLC"/>
    <n v="0"/>
    <n v="0"/>
    <n v="2500"/>
    <n v="0"/>
    <n v="0"/>
    <n v="0"/>
    <n v="0"/>
    <n v="0"/>
    <n v="2500"/>
    <n v="5.0410724567395334E-6"/>
    <n v="0.99834439575972045"/>
    <b v="0"/>
  </r>
  <r>
    <n v="1063"/>
    <m/>
    <x v="18"/>
    <m/>
    <s v="L E PARSONS LLC"/>
    <n v="0"/>
    <n v="0"/>
    <n v="2500"/>
    <n v="0"/>
    <n v="0"/>
    <n v="0"/>
    <n v="0"/>
    <n v="0"/>
    <n v="2500"/>
    <n v="5.0410724567395334E-6"/>
    <n v="0.99834943683217714"/>
    <b v="0"/>
  </r>
  <r>
    <n v="2037"/>
    <m/>
    <x v="18"/>
    <m/>
    <s v="RUSSELL MELANSON"/>
    <n v="0"/>
    <n v="0"/>
    <n v="0"/>
    <n v="0"/>
    <n v="0"/>
    <n v="0"/>
    <n v="2500"/>
    <n v="0"/>
    <n v="2500"/>
    <n v="5.0410724567395334E-6"/>
    <n v="0.99835447790463383"/>
    <b v="0"/>
  </r>
  <r>
    <n v="2219"/>
    <m/>
    <x v="18"/>
    <m/>
    <s v="DESIGN MASTER ASSOCIATES"/>
    <n v="0"/>
    <n v="0"/>
    <n v="0"/>
    <n v="0"/>
    <n v="0"/>
    <n v="0"/>
    <n v="64.83"/>
    <n v="2411.88"/>
    <n v="2476.71"/>
    <n v="4.9941098257325485E-6"/>
    <n v="0.99835947201445951"/>
    <b v="0"/>
  </r>
  <r>
    <n v="492"/>
    <m/>
    <x v="18"/>
    <m/>
    <s v="G &amp; E WELDING"/>
    <n v="845.5"/>
    <n v="0"/>
    <n v="545"/>
    <n v="267.5"/>
    <n v="267.5"/>
    <n v="0"/>
    <n v="275"/>
    <n v="275"/>
    <n v="2475.5"/>
    <n v="4.991669946663486E-6"/>
    <n v="0.99836446368440623"/>
    <b v="0"/>
  </r>
  <r>
    <n v="1621"/>
    <m/>
    <x v="18"/>
    <m/>
    <s v="SCORE SEED &amp; GARDEN SUPPLY"/>
    <n v="0"/>
    <n v="0"/>
    <n v="0"/>
    <n v="0"/>
    <n v="78.069999999999993"/>
    <n v="467.21"/>
    <n v="791.44"/>
    <n v="1136.5999999999999"/>
    <n v="2473.3199999999997"/>
    <n v="4.9872741314812087E-6"/>
    <n v="0.99836945095853769"/>
    <b v="0"/>
  </r>
  <r>
    <n v="2305"/>
    <m/>
    <x v="18"/>
    <m/>
    <s v="JEFFERY C NICKEL"/>
    <n v="0"/>
    <n v="0"/>
    <n v="0"/>
    <n v="0"/>
    <n v="0"/>
    <n v="0"/>
    <n v="0"/>
    <n v="2461.41"/>
    <n v="2461.41"/>
    <n v="4.9632584622973017E-6"/>
    <n v="0.99837441421700002"/>
    <b v="0"/>
  </r>
  <r>
    <n v="426"/>
    <m/>
    <x v="18"/>
    <m/>
    <s v="STAPLES INC &amp; SUBSIDIARIES"/>
    <n v="1501.51"/>
    <n v="0"/>
    <n v="0"/>
    <n v="283.95999999999998"/>
    <n v="120.29"/>
    <n v="551"/>
    <n v="0"/>
    <n v="0"/>
    <n v="2456.7600000000002"/>
    <n v="4.9538820675277671E-6"/>
    <n v="0.99837936809906758"/>
    <b v="0"/>
  </r>
  <r>
    <n v="1153"/>
    <m/>
    <x v="18"/>
    <m/>
    <s v="ELENA STEWART"/>
    <n v="0"/>
    <n v="0"/>
    <n v="240"/>
    <n v="480"/>
    <n v="240"/>
    <n v="480"/>
    <n v="480"/>
    <n v="531.52"/>
    <n v="2451.52"/>
    <n v="4.9433159796584404E-6"/>
    <n v="0.99838431141504724"/>
    <b v="0"/>
  </r>
  <r>
    <n v="902"/>
    <m/>
    <x v="18"/>
    <m/>
    <s v="AMERICAN LEAK DETECTION"/>
    <n v="0"/>
    <n v="300"/>
    <n v="0"/>
    <n v="0"/>
    <n v="0"/>
    <n v="800"/>
    <n v="1350"/>
    <n v="0"/>
    <n v="2450"/>
    <n v="4.9402510076047432E-6"/>
    <n v="0.99838925166605486"/>
    <b v="0"/>
  </r>
  <r>
    <n v="376"/>
    <m/>
    <x v="18"/>
    <m/>
    <s v="MEDICAL DIAGNOSTIC SERVICES INCORPORATED"/>
    <n v="2435.5"/>
    <n v="0"/>
    <n v="0"/>
    <n v="0"/>
    <n v="0"/>
    <n v="0"/>
    <n v="0"/>
    <n v="0"/>
    <n v="2435.5"/>
    <n v="4.9110127873556539E-6"/>
    <n v="0.99839416267884218"/>
    <b v="0"/>
  </r>
  <r>
    <n v="2306"/>
    <m/>
    <x v="18"/>
    <m/>
    <s v="GKJ PAINTING LLC"/>
    <n v="0"/>
    <n v="0"/>
    <n v="0"/>
    <n v="0"/>
    <n v="0"/>
    <n v="0"/>
    <n v="0"/>
    <n v="2420"/>
    <n v="2420"/>
    <n v="4.8797581381238682E-6"/>
    <n v="0.9983990424369803"/>
    <b v="0"/>
  </r>
  <r>
    <n v="1647"/>
    <m/>
    <x v="18"/>
    <m/>
    <s v="DOVER PUBLICATIONS INC"/>
    <n v="0"/>
    <n v="0"/>
    <n v="0"/>
    <n v="0"/>
    <n v="12"/>
    <n v="793.36"/>
    <n v="618"/>
    <n v="981.36"/>
    <n v="2404.7200000000003"/>
    <n v="4.8489471032682771E-6"/>
    <n v="0.99840389138408359"/>
    <b v="0"/>
  </r>
  <r>
    <n v="572"/>
    <m/>
    <x v="18"/>
    <m/>
    <s v="MARK WISE"/>
    <n v="480"/>
    <n v="480"/>
    <n v="600"/>
    <n v="480"/>
    <n v="360"/>
    <n v="0"/>
    <n v="0"/>
    <n v="0"/>
    <n v="2400"/>
    <n v="4.8394295584699522E-6"/>
    <n v="0.99840873081364201"/>
    <b v="0"/>
  </r>
  <r>
    <n v="2038"/>
    <m/>
    <x v="18"/>
    <m/>
    <s v="NATIONAL NURSE-LED CARE CONSORTIUM"/>
    <n v="0"/>
    <n v="0"/>
    <n v="0"/>
    <n v="0"/>
    <n v="0"/>
    <n v="0"/>
    <n v="2400"/>
    <n v="0"/>
    <n v="2400"/>
    <n v="4.8394295584699522E-6"/>
    <n v="0.99841357024320043"/>
    <b v="0"/>
  </r>
  <r>
    <n v="2059"/>
    <m/>
    <x v="18"/>
    <m/>
    <s v="KEVIN H SHORT"/>
    <n v="0"/>
    <n v="0"/>
    <n v="0"/>
    <n v="0"/>
    <n v="0"/>
    <n v="0"/>
    <n v="1600"/>
    <n v="800"/>
    <n v="2400"/>
    <n v="4.8394295584699522E-6"/>
    <n v="0.99841840967275886"/>
    <b v="0"/>
  </r>
  <r>
    <n v="1756"/>
    <m/>
    <x v="18"/>
    <m/>
    <s v="PARTNERSHIP FOR THE DELAWARE ESTUARY INC"/>
    <n v="0"/>
    <n v="0"/>
    <n v="0"/>
    <n v="0"/>
    <n v="0"/>
    <n v="1502.6"/>
    <n v="535.33000000000004"/>
    <n v="353.24"/>
    <n v="2391.17"/>
    <n v="4.8216244905527485E-6"/>
    <n v="0.99842323129724941"/>
    <b v="0"/>
  </r>
  <r>
    <n v="671"/>
    <m/>
    <x v="18"/>
    <m/>
    <s v="FIRST STATE INSP AGENCY INC"/>
    <n v="95"/>
    <n v="1015"/>
    <n v="0"/>
    <n v="0"/>
    <n v="1100"/>
    <n v="0"/>
    <n v="0"/>
    <n v="170"/>
    <n v="2380"/>
    <n v="4.7991009788160361E-6"/>
    <n v="0.99842803039822825"/>
    <b v="0"/>
  </r>
  <r>
    <n v="2039"/>
    <m/>
    <x v="18"/>
    <m/>
    <s v="TIM WATERS"/>
    <n v="0"/>
    <n v="0"/>
    <n v="0"/>
    <n v="0"/>
    <n v="0"/>
    <n v="0"/>
    <n v="2378.5100000000002"/>
    <n v="0"/>
    <n v="2378.5100000000002"/>
    <n v="4.7960964996318195E-6"/>
    <n v="0.99843282649472787"/>
    <b v="0"/>
  </r>
  <r>
    <n v="2307"/>
    <m/>
    <x v="18"/>
    <m/>
    <s v="HOT SPRINGS ENTERPRISES INC DBA STANLEY"/>
    <n v="0"/>
    <n v="0"/>
    <n v="0"/>
    <n v="0"/>
    <n v="0"/>
    <n v="0"/>
    <n v="0"/>
    <n v="2352"/>
    <n v="2352"/>
    <n v="4.7426409673005537E-6"/>
    <n v="0.99843756913569515"/>
    <b v="0"/>
  </r>
  <r>
    <n v="2041"/>
    <m/>
    <x v="18"/>
    <m/>
    <s v="JAIME MUNOZ DBA CREATIVE PAINTINGS"/>
    <n v="0"/>
    <n v="0"/>
    <n v="0"/>
    <n v="0"/>
    <n v="0"/>
    <n v="0"/>
    <n v="2350"/>
    <n v="0"/>
    <n v="2350"/>
    <n v="4.738608109335162E-6"/>
    <n v="0.99844230774380449"/>
    <b v="0"/>
  </r>
  <r>
    <n v="549"/>
    <m/>
    <x v="18"/>
    <m/>
    <s v="JACQUELINE M MCCABE"/>
    <n v="525"/>
    <n v="525"/>
    <n v="450"/>
    <n v="150"/>
    <n v="0"/>
    <n v="375"/>
    <n v="0"/>
    <n v="300"/>
    <n v="2325"/>
    <n v="4.688197384767766E-6"/>
    <n v="0.99844699594118924"/>
    <b v="0"/>
  </r>
  <r>
    <n v="2308"/>
    <m/>
    <x v="18"/>
    <m/>
    <s v="PYRZ WATER SUPPLY CO INC"/>
    <n v="0"/>
    <n v="0"/>
    <n v="0"/>
    <n v="0"/>
    <n v="0"/>
    <n v="0"/>
    <n v="0"/>
    <n v="2313"/>
    <n v="2313"/>
    <n v="4.6640002369754162E-6"/>
    <n v="0.99845165994142626"/>
    <b v="0"/>
  </r>
  <r>
    <n v="1918"/>
    <m/>
    <x v="18"/>
    <m/>
    <s v="NATIONAL CONSTRUCTION RENTALS"/>
    <n v="0"/>
    <n v="0"/>
    <n v="0"/>
    <n v="0"/>
    <n v="0"/>
    <n v="88.92"/>
    <n v="1155.96"/>
    <n v="1067.04"/>
    <n v="2311.92"/>
    <n v="4.6618224936741054E-6"/>
    <n v="0.99845632176391996"/>
    <b v="0"/>
  </r>
  <r>
    <n v="2142"/>
    <m/>
    <x v="18"/>
    <m/>
    <s v="CHESTER COUNTY BAMBOO LLC"/>
    <n v="0"/>
    <n v="0"/>
    <n v="0"/>
    <n v="0"/>
    <n v="0"/>
    <n v="0"/>
    <n v="375"/>
    <n v="1935"/>
    <n v="2310"/>
    <n v="4.657950950027329E-6"/>
    <n v="0.99846097971487002"/>
    <b v="0"/>
  </r>
  <r>
    <n v="1254"/>
    <m/>
    <x v="18"/>
    <m/>
    <s v="APRIL C THOMAS"/>
    <n v="0"/>
    <n v="0"/>
    <n v="0"/>
    <n v="2292"/>
    <n v="0"/>
    <n v="0"/>
    <n v="0"/>
    <n v="0"/>
    <n v="2292"/>
    <n v="4.6216552283388047E-6"/>
    <n v="0.99846560137009832"/>
    <b v="0"/>
  </r>
  <r>
    <n v="1508"/>
    <m/>
    <x v="18"/>
    <m/>
    <s v="ARF RENTAL SERVICES"/>
    <n v="0"/>
    <n v="0"/>
    <n v="0"/>
    <n v="0"/>
    <n v="624.15"/>
    <n v="1645.44"/>
    <n v="0"/>
    <n v="0"/>
    <n v="2269.59"/>
    <n v="4.5764670548365918E-6"/>
    <n v="0.99847017783715319"/>
    <b v="0"/>
  </r>
  <r>
    <n v="383"/>
    <m/>
    <x v="18"/>
    <m/>
    <s v="PENGUIN RANDOM HOUSE LLC"/>
    <n v="2262.9"/>
    <n v="0"/>
    <n v="0"/>
    <n v="0"/>
    <n v="0"/>
    <n v="0"/>
    <n v="0"/>
    <n v="0"/>
    <n v="2262.9"/>
    <n v="4.5629771449423566E-6"/>
    <n v="0.9984747408142981"/>
    <b v="0"/>
  </r>
  <r>
    <n v="1473"/>
    <m/>
    <x v="18"/>
    <m/>
    <s v="AMERICAN BIRDING ASSOCIATION"/>
    <n v="0"/>
    <n v="0"/>
    <n v="0"/>
    <n v="0"/>
    <n v="1376.66"/>
    <n v="0"/>
    <n v="0"/>
    <n v="877"/>
    <n v="2253.66"/>
    <n v="4.5443453411422464E-6"/>
    <n v="0.99847928515963924"/>
    <b v="0"/>
  </r>
  <r>
    <n v="384"/>
    <m/>
    <x v="18"/>
    <m/>
    <s v="TRIPLE C WELDING AND FABRICATION LLC"/>
    <n v="2251.42"/>
    <n v="0"/>
    <n v="0"/>
    <n v="0"/>
    <n v="0"/>
    <n v="0"/>
    <n v="0"/>
    <n v="0"/>
    <n v="2251.42"/>
    <n v="4.5398285402210086E-6"/>
    <n v="0.99848382498817945"/>
    <b v="0"/>
  </r>
  <r>
    <n v="385"/>
    <m/>
    <x v="18"/>
    <m/>
    <s v="DUSTIN SHOWERS"/>
    <n v="2250"/>
    <n v="0"/>
    <n v="0"/>
    <n v="0"/>
    <n v="0"/>
    <n v="0"/>
    <n v="0"/>
    <n v="0"/>
    <n v="2250"/>
    <n v="4.5369652110655807E-6"/>
    <n v="0.99848836195339052"/>
    <b v="0"/>
  </r>
  <r>
    <n v="950"/>
    <m/>
    <x v="18"/>
    <m/>
    <s v="DOCUVAULT DELAWARE VALLEY LLC"/>
    <n v="0"/>
    <n v="22.5"/>
    <n v="0"/>
    <n v="54"/>
    <n v="2173.5"/>
    <n v="0"/>
    <n v="0"/>
    <n v="0"/>
    <n v="2250"/>
    <n v="4.5369652110655807E-6"/>
    <n v="0.9984928989186016"/>
    <b v="0"/>
  </r>
  <r>
    <n v="1521"/>
    <m/>
    <x v="18"/>
    <m/>
    <s v="MCKESSON MEDICAL SURGICAL"/>
    <n v="0"/>
    <n v="0"/>
    <n v="0"/>
    <n v="0"/>
    <n v="457.4"/>
    <n v="188.37"/>
    <n v="1604"/>
    <n v="0"/>
    <n v="2249.77"/>
    <n v="4.5365014323995605E-6"/>
    <n v="0.998497435420034"/>
    <b v="0"/>
  </r>
  <r>
    <n v="2309"/>
    <m/>
    <x v="18"/>
    <m/>
    <s v="ROGER W MCCASLIN"/>
    <n v="0"/>
    <n v="0"/>
    <n v="0"/>
    <n v="0"/>
    <n v="0"/>
    <n v="0"/>
    <n v="0"/>
    <n v="2247.61"/>
    <n v="2247.61"/>
    <n v="4.5321459457969372E-6"/>
    <n v="0.99850196756597975"/>
    <b v="0"/>
  </r>
  <r>
    <n v="2310"/>
    <m/>
    <x v="18"/>
    <m/>
    <s v="HOYT ROARK"/>
    <n v="0"/>
    <n v="0"/>
    <n v="0"/>
    <n v="0"/>
    <n v="0"/>
    <n v="0"/>
    <n v="0"/>
    <n v="2241.9"/>
    <n v="2241.9"/>
    <n v="4.5206321363057442E-6"/>
    <n v="0.99850648819811605"/>
    <b v="0"/>
  </r>
  <r>
    <n v="841"/>
    <m/>
    <x v="18"/>
    <m/>
    <s v="SCHOOL SPECIALTY LLC"/>
    <n v="0"/>
    <n v="896.2"/>
    <n v="1344.3"/>
    <n v="0"/>
    <n v="0"/>
    <n v="0"/>
    <n v="0"/>
    <n v="0"/>
    <n v="2240.5"/>
    <n v="4.5178091357299704E-6"/>
    <n v="0.99851100600725173"/>
    <b v="0"/>
  </r>
  <r>
    <n v="2043"/>
    <m/>
    <x v="18"/>
    <m/>
    <s v="WERTZ AND CO INC"/>
    <n v="0"/>
    <n v="0"/>
    <n v="0"/>
    <n v="0"/>
    <n v="0"/>
    <n v="0"/>
    <n v="2233"/>
    <n v="0"/>
    <n v="2233"/>
    <n v="4.5026859183597519E-6"/>
    <n v="0.99851550869317007"/>
    <b v="0"/>
  </r>
  <r>
    <n v="2077"/>
    <m/>
    <x v="18"/>
    <m/>
    <s v="UNDERGROUND PROTECTION INC"/>
    <n v="0"/>
    <n v="0"/>
    <n v="0"/>
    <n v="0"/>
    <n v="0"/>
    <n v="0"/>
    <n v="1160"/>
    <n v="1060"/>
    <n v="2220"/>
    <n v="4.4764723415847058E-6"/>
    <n v="0.99851998516551166"/>
    <b v="0"/>
  </r>
  <r>
    <n v="1738"/>
    <m/>
    <x v="18"/>
    <m/>
    <s v="RED WING SHOES (WESJEM INC)"/>
    <n v="0"/>
    <n v="0"/>
    <n v="0"/>
    <n v="0"/>
    <n v="0"/>
    <n v="2086.96"/>
    <n v="125"/>
    <n v="0"/>
    <n v="2211.96"/>
    <n v="4.4602602525638314E-6"/>
    <n v="0.99852444542576424"/>
    <b v="0"/>
  </r>
  <r>
    <n v="798"/>
    <m/>
    <x v="18"/>
    <m/>
    <s v="ELITE UTILITY LOCATING LLC"/>
    <n v="0"/>
    <n v="2200"/>
    <n v="0"/>
    <n v="0"/>
    <n v="0"/>
    <n v="0"/>
    <n v="0"/>
    <n v="0"/>
    <n v="2200"/>
    <n v="4.4361437619307897E-6"/>
    <n v="0.99852888156952613"/>
    <b v="0"/>
  </r>
  <r>
    <n v="2045"/>
    <m/>
    <x v="18"/>
    <m/>
    <s v="MR ROBERT WARIHAY"/>
    <n v="0"/>
    <n v="0"/>
    <n v="0"/>
    <n v="0"/>
    <n v="0"/>
    <n v="0"/>
    <n v="2193.5300000000002"/>
    <n v="0"/>
    <n v="2193.5300000000002"/>
    <n v="4.4230974664127481E-6"/>
    <n v="0.99853330466699253"/>
    <b v="0"/>
  </r>
  <r>
    <n v="2311"/>
    <m/>
    <x v="18"/>
    <m/>
    <s v="XEROX CORPORATION"/>
    <n v="0"/>
    <n v="0"/>
    <n v="0"/>
    <n v="0"/>
    <n v="0"/>
    <n v="0"/>
    <n v="0"/>
    <n v="2192.86"/>
    <n v="2192.86"/>
    <n v="4.4217464589943414E-6"/>
    <n v="0.99853772641345151"/>
    <b v="0"/>
  </r>
  <r>
    <n v="2046"/>
    <m/>
    <x v="18"/>
    <m/>
    <s v="PEAK PERFORMANCE SERV. INC"/>
    <n v="0"/>
    <n v="0"/>
    <n v="0"/>
    <n v="0"/>
    <n v="0"/>
    <n v="0"/>
    <n v="2170"/>
    <n v="0"/>
    <n v="2170"/>
    <n v="4.3756508924499156E-6"/>
    <n v="0.99854210206434391"/>
    <b v="0"/>
  </r>
  <r>
    <n v="830"/>
    <m/>
    <x v="18"/>
    <m/>
    <s v="YMCA OF DE"/>
    <n v="0"/>
    <n v="1080"/>
    <n v="600"/>
    <n v="300"/>
    <n v="0"/>
    <n v="127.5"/>
    <n v="60"/>
    <n v="0"/>
    <n v="2167.5"/>
    <n v="4.3706098199931761E-6"/>
    <n v="0.99854647267416385"/>
    <b v="0"/>
  </r>
  <r>
    <n v="521"/>
    <m/>
    <x v="18"/>
    <m/>
    <s v="PHUNG LUU"/>
    <n v="650"/>
    <n v="0"/>
    <n v="0"/>
    <n v="350"/>
    <n v="0"/>
    <n v="580"/>
    <n v="0"/>
    <n v="580"/>
    <n v="2160"/>
    <n v="4.3554866026229575E-6"/>
    <n v="0.99855082816076646"/>
    <b v="0"/>
  </r>
  <r>
    <n v="1288"/>
    <m/>
    <x v="18"/>
    <m/>
    <s v="MADDOX ENTERPRISES INC"/>
    <n v="0"/>
    <n v="0"/>
    <n v="0"/>
    <n v="869.5"/>
    <n v="0"/>
    <n v="0"/>
    <n v="0"/>
    <n v="1287.5"/>
    <n v="2157"/>
    <n v="4.3494373156748694E-6"/>
    <n v="0.9985551775980821"/>
    <b v="0"/>
  </r>
  <r>
    <n v="1462"/>
    <m/>
    <x v="18"/>
    <m/>
    <s v="ARROW SAFETY DEVICE COMPANY"/>
    <n v="0"/>
    <n v="0"/>
    <n v="0"/>
    <n v="0"/>
    <n v="1967.28"/>
    <n v="0"/>
    <n v="180.9"/>
    <n v="0"/>
    <n v="2148.1799999999998"/>
    <n v="4.3316524120474924E-6"/>
    <n v="0.99855950925049419"/>
    <b v="0"/>
  </r>
  <r>
    <n v="2312"/>
    <m/>
    <x v="18"/>
    <m/>
    <s v="THE WILMINGTON DELAWARE AREA ROTARY CLUB"/>
    <n v="0"/>
    <n v="0"/>
    <n v="0"/>
    <n v="0"/>
    <n v="0"/>
    <n v="0"/>
    <n v="0"/>
    <n v="2146.15"/>
    <n v="2146.15"/>
    <n v="4.32755906121262E-6"/>
    <n v="0.99856383680955541"/>
    <b v="0"/>
  </r>
  <r>
    <n v="462"/>
    <m/>
    <x v="18"/>
    <m/>
    <s v="CHERYL OLBRICH DBA CHERYLS EMBROIDERY"/>
    <n v="1119"/>
    <n v="1022"/>
    <n v="0"/>
    <n v="0"/>
    <n v="0"/>
    <n v="0"/>
    <n v="0"/>
    <n v="0"/>
    <n v="2141"/>
    <n v="4.3171744519517369E-6"/>
    <n v="0.99856815398400733"/>
    <b v="0"/>
  </r>
  <r>
    <n v="1736"/>
    <m/>
    <x v="18"/>
    <m/>
    <s v="COOPER BROS INC"/>
    <n v="0"/>
    <n v="0"/>
    <n v="0"/>
    <n v="0"/>
    <n v="0"/>
    <n v="2140.4"/>
    <n v="0"/>
    <n v="0"/>
    <n v="2140.4"/>
    <n v="4.315964594562119E-6"/>
    <n v="0.99857246994860194"/>
    <b v="0"/>
  </r>
  <r>
    <n v="388"/>
    <m/>
    <x v="18"/>
    <m/>
    <s v="AMERICAN HISTORICAL THEATRE"/>
    <n v="2130"/>
    <n v="0"/>
    <n v="0"/>
    <n v="0"/>
    <n v="0"/>
    <n v="0"/>
    <n v="0"/>
    <n v="0"/>
    <n v="2130"/>
    <n v="4.2949937331420826E-6"/>
    <n v="0.99857676494233505"/>
    <b v="0"/>
  </r>
  <r>
    <n v="800"/>
    <m/>
    <x v="18"/>
    <m/>
    <s v="DELMARVA TREE"/>
    <n v="0"/>
    <n v="2125"/>
    <n v="0"/>
    <n v="0"/>
    <n v="0"/>
    <n v="0"/>
    <n v="0"/>
    <n v="0"/>
    <n v="2125"/>
    <n v="4.2849115882286035E-6"/>
    <n v="0.99858104985392326"/>
    <b v="0"/>
  </r>
  <r>
    <n v="1114"/>
    <m/>
    <x v="18"/>
    <m/>
    <s v="DELAWARE PLUMBING SUPPLY CO"/>
    <n v="0"/>
    <n v="0"/>
    <n v="623.51"/>
    <n v="0"/>
    <n v="0"/>
    <n v="0"/>
    <n v="999.95"/>
    <n v="499.5"/>
    <n v="2122.96"/>
    <n v="4.2807980731039045E-6"/>
    <n v="0.99858533065199639"/>
    <b v="0"/>
  </r>
  <r>
    <n v="632"/>
    <m/>
    <x v="18"/>
    <m/>
    <s v="JOHN PALOMBO"/>
    <n v="200"/>
    <n v="200"/>
    <n v="250"/>
    <n v="200"/>
    <n v="300"/>
    <n v="200"/>
    <n v="600"/>
    <n v="150"/>
    <n v="2100"/>
    <n v="4.2345008636612085E-6"/>
    <n v="0.99858956515286001"/>
    <b v="0"/>
  </r>
  <r>
    <n v="2069"/>
    <m/>
    <x v="18"/>
    <m/>
    <s v="ANDREW A WHITEHEAD ESQ"/>
    <n v="0"/>
    <n v="0"/>
    <n v="0"/>
    <n v="0"/>
    <n v="0"/>
    <n v="0"/>
    <n v="1300.32"/>
    <n v="797.4"/>
    <n v="2097.7199999999998"/>
    <n v="4.2299034055806617E-6"/>
    <n v="0.99859379505626555"/>
    <b v="0"/>
  </r>
  <r>
    <n v="1067"/>
    <m/>
    <x v="18"/>
    <m/>
    <s v="SUNDEW PAINTING SOUTH INC"/>
    <n v="0"/>
    <n v="0"/>
    <n v="2090"/>
    <n v="0"/>
    <n v="0"/>
    <n v="0"/>
    <n v="0"/>
    <n v="0"/>
    <n v="2090"/>
    <n v="4.2143365738342504E-6"/>
    <n v="0.99859800939283938"/>
    <b v="0"/>
  </r>
  <r>
    <n v="801"/>
    <m/>
    <x v="18"/>
    <m/>
    <s v="GROWMARK FS LLC"/>
    <n v="0"/>
    <n v="2070"/>
    <n v="0"/>
    <n v="0"/>
    <n v="0"/>
    <n v="0"/>
    <n v="0"/>
    <n v="0"/>
    <n v="2070"/>
    <n v="4.1740079941803343E-6"/>
    <n v="0.99860218340083351"/>
    <b v="0"/>
  </r>
  <r>
    <n v="1772"/>
    <m/>
    <x v="18"/>
    <m/>
    <s v="GROWMARK FS INC"/>
    <n v="0"/>
    <n v="0"/>
    <n v="0"/>
    <n v="0"/>
    <n v="0"/>
    <n v="975"/>
    <n v="0"/>
    <n v="1092"/>
    <n v="2067"/>
    <n v="4.1679587072322462E-6"/>
    <n v="0.99860635135954079"/>
    <b v="0"/>
  </r>
  <r>
    <n v="524"/>
    <m/>
    <x v="18"/>
    <m/>
    <s v="TAHIRA PRODUCTIONS INC"/>
    <n v="615"/>
    <n v="795"/>
    <n v="0"/>
    <n v="650"/>
    <n v="0"/>
    <n v="0"/>
    <n v="0"/>
    <n v="0"/>
    <n v="2060"/>
    <n v="4.1538437043533754E-6"/>
    <n v="0.99861050520324512"/>
    <b v="0"/>
  </r>
  <r>
    <n v="391"/>
    <m/>
    <x v="18"/>
    <m/>
    <s v="RACES2RUN"/>
    <n v="2059.5"/>
    <n v="0"/>
    <n v="0"/>
    <n v="0"/>
    <n v="0"/>
    <n v="0"/>
    <n v="0"/>
    <n v="0"/>
    <n v="2059.5"/>
    <n v="4.1528354898620277E-6"/>
    <n v="0.99861465803873495"/>
    <b v="0"/>
  </r>
  <r>
    <n v="595"/>
    <m/>
    <x v="18"/>
    <m/>
    <s v="DELAWARE ASSOCIATION OF CHIEFS OF POLICE"/>
    <n v="400"/>
    <n v="300"/>
    <n v="1350"/>
    <n v="0"/>
    <n v="0"/>
    <n v="0"/>
    <n v="0"/>
    <n v="0"/>
    <n v="2050"/>
    <n v="4.1336794145264174E-6"/>
    <n v="0.99861879171814949"/>
    <b v="0"/>
  </r>
  <r>
    <n v="1740"/>
    <m/>
    <x v="18"/>
    <m/>
    <s v="AMERICAN PUBLIC SAFETY LLC"/>
    <n v="0"/>
    <n v="0"/>
    <n v="0"/>
    <n v="0"/>
    <n v="0"/>
    <n v="2047.93"/>
    <n v="0"/>
    <n v="0"/>
    <n v="2047.93"/>
    <n v="4.1295054065322377E-6"/>
    <n v="0.998622921223556"/>
    <b v="0"/>
  </r>
  <r>
    <n v="1741"/>
    <m/>
    <x v="18"/>
    <m/>
    <s v="SUSAN &amp; HAROLD THOMAS"/>
    <n v="0"/>
    <n v="0"/>
    <n v="0"/>
    <n v="0"/>
    <n v="0"/>
    <n v="2036.37"/>
    <n v="0"/>
    <n v="0"/>
    <n v="2036.37"/>
    <n v="4.1061954874922735E-6"/>
    <n v="0.99862702741904352"/>
    <b v="0"/>
  </r>
  <r>
    <n v="1263"/>
    <m/>
    <x v="18"/>
    <m/>
    <s v="DE STATE FIRE SCHOOL/PETTY CASH"/>
    <n v="0"/>
    <n v="0"/>
    <n v="0"/>
    <n v="1810"/>
    <n v="30"/>
    <n v="0"/>
    <n v="120"/>
    <n v="75"/>
    <n v="2035"/>
    <n v="4.1034329797859804E-6"/>
    <n v="0.99863113085202326"/>
    <b v="0"/>
  </r>
  <r>
    <n v="394"/>
    <m/>
    <x v="18"/>
    <m/>
    <s v="William Allfather"/>
    <n v="2028.93"/>
    <n v="0"/>
    <n v="0"/>
    <n v="0"/>
    <n v="0"/>
    <n v="0"/>
    <n v="0"/>
    <n v="0"/>
    <n v="2028.93"/>
    <n v="4.0911932558610171E-6"/>
    <n v="0.9986352220452791"/>
    <b v="0"/>
  </r>
  <r>
    <n v="1290"/>
    <m/>
    <x v="18"/>
    <m/>
    <s v="MILFORD GUTTER GUYS LLC"/>
    <n v="0"/>
    <n v="0"/>
    <n v="0"/>
    <n v="811"/>
    <n v="0"/>
    <n v="1211"/>
    <n v="0"/>
    <n v="0"/>
    <n v="2022"/>
    <n v="4.0772194030109351E-6"/>
    <n v="0.99863929926468209"/>
    <b v="0"/>
  </r>
  <r>
    <n v="474"/>
    <m/>
    <x v="18"/>
    <m/>
    <s v="DYLAN MCGUIRE"/>
    <n v="1000"/>
    <n v="1000"/>
    <n v="0"/>
    <n v="0"/>
    <n v="0"/>
    <n v="0"/>
    <n v="0"/>
    <n v="0"/>
    <n v="2000"/>
    <n v="4.0328579653916272E-6"/>
    <n v="0.99864333212264744"/>
    <b v="0"/>
  </r>
  <r>
    <n v="836"/>
    <m/>
    <x v="18"/>
    <m/>
    <s v="COLUMBIA ENTERTAINMENT RESOURCE GROUP"/>
    <n v="0"/>
    <n v="1000"/>
    <n v="1000"/>
    <n v="0"/>
    <n v="0"/>
    <n v="0"/>
    <n v="0"/>
    <n v="0"/>
    <n v="2000"/>
    <n v="4.0328579653916272E-6"/>
    <n v="0.9986473649806128"/>
    <b v="0"/>
  </r>
  <r>
    <n v="1257"/>
    <m/>
    <x v="18"/>
    <m/>
    <s v="ECOINCLUSIVE STRATEGIES LLC"/>
    <n v="0"/>
    <n v="0"/>
    <n v="0"/>
    <n v="2000"/>
    <n v="0"/>
    <n v="0"/>
    <n v="0"/>
    <n v="0"/>
    <n v="2000"/>
    <n v="4.0328579653916272E-6"/>
    <n v="0.99865139783857815"/>
    <b v="0"/>
  </r>
  <r>
    <n v="1868"/>
    <m/>
    <x v="18"/>
    <m/>
    <s v="NECIA J BECK"/>
    <n v="0"/>
    <n v="0"/>
    <n v="0"/>
    <n v="0"/>
    <n v="0"/>
    <n v="200"/>
    <n v="1000"/>
    <n v="800"/>
    <n v="2000"/>
    <n v="4.0328579653916272E-6"/>
    <n v="0.9986554306965435"/>
    <b v="0"/>
  </r>
  <r>
    <n v="2047"/>
    <m/>
    <x v="18"/>
    <m/>
    <s v="SUPERIOR YARDWORKS INC"/>
    <n v="0"/>
    <n v="0"/>
    <n v="0"/>
    <n v="0"/>
    <n v="0"/>
    <n v="0"/>
    <n v="2000"/>
    <n v="0"/>
    <n v="2000"/>
    <n v="4.0328579653916272E-6"/>
    <n v="0.99865946355450885"/>
    <b v="0"/>
  </r>
  <r>
    <n v="2048"/>
    <m/>
    <x v="18"/>
    <m/>
    <s v="HEMKER PARK &amp; ZOO"/>
    <n v="0"/>
    <n v="0"/>
    <n v="0"/>
    <n v="0"/>
    <n v="0"/>
    <n v="0"/>
    <n v="2000"/>
    <n v="0"/>
    <n v="2000"/>
    <n v="4.0328579653916272E-6"/>
    <n v="0.99866349641247421"/>
    <b v="0"/>
  </r>
  <r>
    <n v="2049"/>
    <m/>
    <x v="18"/>
    <m/>
    <s v="WILLIAM LEPP"/>
    <n v="0"/>
    <n v="0"/>
    <n v="0"/>
    <n v="0"/>
    <n v="0"/>
    <n v="0"/>
    <n v="2000"/>
    <n v="0"/>
    <n v="2000"/>
    <n v="4.0328579653916272E-6"/>
    <n v="0.99866752927043956"/>
    <b v="0"/>
  </r>
  <r>
    <n v="2313"/>
    <m/>
    <x v="18"/>
    <m/>
    <s v="DUAL CORE LLC"/>
    <n v="0"/>
    <n v="0"/>
    <n v="0"/>
    <n v="0"/>
    <n v="0"/>
    <n v="0"/>
    <n v="0"/>
    <n v="1981.25"/>
    <n v="1981.25"/>
    <n v="3.9950499219660809E-6"/>
    <n v="0.99867152432036155"/>
    <b v="0"/>
  </r>
  <r>
    <n v="1080"/>
    <m/>
    <x v="18"/>
    <m/>
    <s v="TOM MELVILLE"/>
    <n v="0"/>
    <n v="0"/>
    <n v="1380"/>
    <n v="590"/>
    <n v="0"/>
    <n v="0"/>
    <n v="0"/>
    <n v="0"/>
    <n v="1970"/>
    <n v="3.9723650959107523E-6"/>
    <n v="0.99867549668545741"/>
    <b v="0"/>
  </r>
  <r>
    <n v="1258"/>
    <m/>
    <x v="18"/>
    <m/>
    <s v="FIRST STATE BALLET THEATRE"/>
    <n v="0"/>
    <n v="0"/>
    <n v="0"/>
    <n v="1970"/>
    <n v="0"/>
    <n v="0"/>
    <n v="0"/>
    <n v="0"/>
    <n v="1970"/>
    <n v="3.9723650959107523E-6"/>
    <n v="0.99867946905055327"/>
    <b v="0"/>
  </r>
  <r>
    <n v="1259"/>
    <m/>
    <x v="18"/>
    <m/>
    <s v="DIAMOND STATE PARTY RNTLS"/>
    <n v="0"/>
    <n v="0"/>
    <n v="0"/>
    <n v="1960"/>
    <n v="0"/>
    <n v="0"/>
    <n v="0"/>
    <n v="0"/>
    <n v="1960"/>
    <n v="3.9522008060837942E-6"/>
    <n v="0.99868342125135934"/>
    <b v="0"/>
  </r>
  <r>
    <n v="2053"/>
    <m/>
    <x v="18"/>
    <m/>
    <s v="MICHAEL HINDT DBA ENVIROTEMP"/>
    <n v="0"/>
    <n v="0"/>
    <n v="0"/>
    <n v="0"/>
    <n v="0"/>
    <n v="0"/>
    <n v="1951"/>
    <n v="0"/>
    <n v="1951"/>
    <n v="3.9340529452395325E-6"/>
    <n v="0.99868735530430452"/>
    <b v="0"/>
  </r>
  <r>
    <n v="1140"/>
    <m/>
    <x v="18"/>
    <m/>
    <s v="STEPHEN E QUILLEN"/>
    <n v="0"/>
    <n v="0"/>
    <n v="300"/>
    <n v="500"/>
    <n v="500"/>
    <n v="350"/>
    <n v="0"/>
    <n v="300"/>
    <n v="1950"/>
    <n v="3.9320365162568362E-6"/>
    <n v="0.9986912873408208"/>
    <b v="0"/>
  </r>
  <r>
    <n v="804"/>
    <m/>
    <x v="18"/>
    <m/>
    <s v="JAMES WHARTON"/>
    <n v="0"/>
    <n v="1930.88"/>
    <n v="0"/>
    <n v="0"/>
    <n v="0"/>
    <n v="0"/>
    <n v="0"/>
    <n v="0"/>
    <n v="1930.88"/>
    <n v="3.893482394107693E-6"/>
    <n v="0.99869518082321496"/>
    <b v="0"/>
  </r>
  <r>
    <n v="1743"/>
    <m/>
    <x v="18"/>
    <m/>
    <s v="DELAWARE AUDIO VISUAL INTEGRATION &amp; DESI"/>
    <n v="0"/>
    <n v="0"/>
    <n v="0"/>
    <n v="0"/>
    <n v="0"/>
    <n v="1928.86"/>
    <n v="0"/>
    <n v="0"/>
    <n v="1928.86"/>
    <n v="3.8894092075626463E-6"/>
    <n v="0.99869907023242255"/>
    <b v="0"/>
  </r>
  <r>
    <n v="1886"/>
    <m/>
    <x v="18"/>
    <m/>
    <s v="DENVER ZOOLOGICAL FOUNDATION INC"/>
    <n v="0"/>
    <n v="0"/>
    <n v="0"/>
    <n v="0"/>
    <n v="0"/>
    <n v="164.06"/>
    <n v="0"/>
    <n v="1761.34"/>
    <n v="1925.3999999999999"/>
    <n v="3.8824323632825194E-6"/>
    <n v="0.99870295266478581"/>
    <b v="0"/>
  </r>
  <r>
    <n v="805"/>
    <m/>
    <x v="18"/>
    <m/>
    <s v="SEMACONNECT LLC"/>
    <n v="0"/>
    <n v="1925"/>
    <n v="0"/>
    <n v="0"/>
    <n v="0"/>
    <n v="0"/>
    <n v="0"/>
    <n v="0"/>
    <n v="1925"/>
    <n v="3.8816257916894411E-6"/>
    <n v="0.99870683429057749"/>
    <b v="0"/>
  </r>
  <r>
    <n v="1260"/>
    <m/>
    <x v="18"/>
    <m/>
    <s v="PUZZLES THAT ROCK"/>
    <n v="0"/>
    <n v="0"/>
    <n v="0"/>
    <n v="1900.3"/>
    <n v="0"/>
    <n v="0"/>
    <n v="0"/>
    <n v="0"/>
    <n v="1900.3"/>
    <n v="3.8318199958168541E-6"/>
    <n v="0.99871066611057335"/>
    <b v="0"/>
  </r>
  <r>
    <n v="593"/>
    <m/>
    <x v="18"/>
    <m/>
    <s v="MICHAEL CONNOLLY"/>
    <n v="400"/>
    <n v="400"/>
    <n v="0"/>
    <n v="800"/>
    <n v="0"/>
    <n v="0"/>
    <n v="0"/>
    <n v="300"/>
    <n v="1900"/>
    <n v="3.831215067122046E-6"/>
    <n v="0.99871449732564044"/>
    <b v="0"/>
  </r>
  <r>
    <n v="839"/>
    <m/>
    <x v="18"/>
    <m/>
    <s v="ROBERT MOULAND DBA WIREHARP PRODUCTIONS"/>
    <n v="0"/>
    <n v="950"/>
    <n v="950"/>
    <n v="0"/>
    <n v="0"/>
    <n v="0"/>
    <n v="0"/>
    <n v="0"/>
    <n v="1900"/>
    <n v="3.831215067122046E-6"/>
    <n v="0.99871832854070752"/>
    <b v="0"/>
  </r>
  <r>
    <n v="877"/>
    <m/>
    <x v="18"/>
    <m/>
    <s v="ANITA QUEPPET"/>
    <n v="0"/>
    <n v="500"/>
    <n v="475"/>
    <n v="475"/>
    <n v="0"/>
    <n v="0"/>
    <n v="0"/>
    <n v="450"/>
    <n v="1900"/>
    <n v="3.831215067122046E-6"/>
    <n v="0.99872215975577461"/>
    <b v="0"/>
  </r>
  <r>
    <n v="1262"/>
    <m/>
    <x v="18"/>
    <m/>
    <s v="AMERICAN WHOLESALE DISTRIBUTORS"/>
    <n v="0"/>
    <n v="0"/>
    <n v="0"/>
    <n v="1875"/>
    <n v="0"/>
    <n v="0"/>
    <n v="0"/>
    <n v="0"/>
    <n v="1875"/>
    <n v="3.7808043425546505E-6"/>
    <n v="0.99872594056011721"/>
    <b v="0"/>
  </r>
  <r>
    <n v="1345"/>
    <m/>
    <x v="18"/>
    <m/>
    <s v="ANDREW D ROY"/>
    <n v="0"/>
    <n v="0"/>
    <n v="0"/>
    <n v="270"/>
    <n v="320"/>
    <n v="437.49"/>
    <n v="480"/>
    <n v="360"/>
    <n v="1867.49"/>
    <n v="3.7656609608946049E-6"/>
    <n v="0.99872970622107815"/>
    <b v="0"/>
  </r>
  <r>
    <n v="1530"/>
    <m/>
    <x v="18"/>
    <m/>
    <s v="PAUL SEDACCA"/>
    <n v="0"/>
    <n v="0"/>
    <n v="0"/>
    <n v="0"/>
    <n v="400"/>
    <n v="550"/>
    <n v="0"/>
    <n v="900"/>
    <n v="1850"/>
    <n v="3.7303936179872549E-6"/>
    <n v="0.99873343661469616"/>
    <b v="0"/>
  </r>
  <r>
    <n v="1744"/>
    <m/>
    <x v="18"/>
    <m/>
    <s v="SUSSEX TREE INC"/>
    <n v="0"/>
    <n v="0"/>
    <n v="0"/>
    <n v="0"/>
    <n v="0"/>
    <n v="1845"/>
    <n v="0"/>
    <n v="0"/>
    <n v="1845"/>
    <n v="3.7203114730737759E-6"/>
    <n v="0.99873715692616927"/>
    <b v="0"/>
  </r>
  <r>
    <n v="2314"/>
    <m/>
    <x v="18"/>
    <m/>
    <s v="GO-GLASS CORP"/>
    <n v="0"/>
    <n v="0"/>
    <n v="0"/>
    <n v="0"/>
    <n v="0"/>
    <n v="0"/>
    <n v="0"/>
    <n v="1831"/>
    <n v="1831"/>
    <n v="3.6920814673160343E-6"/>
    <n v="0.9987408490076366"/>
    <b v="0"/>
  </r>
  <r>
    <n v="845"/>
    <m/>
    <x v="18"/>
    <m/>
    <s v="KYLE BRADLEY"/>
    <n v="0"/>
    <n v="808"/>
    <n v="1022"/>
    <n v="0"/>
    <n v="0"/>
    <n v="0"/>
    <n v="0"/>
    <n v="0"/>
    <n v="1830"/>
    <n v="3.6900650383333389E-6"/>
    <n v="0.99874453907267491"/>
    <b v="0"/>
  </r>
  <r>
    <n v="604"/>
    <m/>
    <x v="18"/>
    <m/>
    <s v="NEWARK COMMUNITY BAND"/>
    <n v="325"/>
    <n v="300"/>
    <n v="300"/>
    <n v="300"/>
    <n v="0"/>
    <n v="0"/>
    <n v="300"/>
    <n v="300"/>
    <n v="1825"/>
    <n v="3.6799828934198594E-6"/>
    <n v="0.99874821905556832"/>
    <b v="0"/>
  </r>
  <r>
    <n v="1374"/>
    <m/>
    <x v="18"/>
    <m/>
    <s v="LELA OTTO"/>
    <n v="0"/>
    <n v="0"/>
    <n v="0"/>
    <n v="120"/>
    <n v="480"/>
    <n v="480"/>
    <n v="480"/>
    <n v="262"/>
    <n v="1822"/>
    <n v="3.6739336064717722E-6"/>
    <n v="0.99875189298917477"/>
    <b v="0"/>
  </r>
  <r>
    <n v="1484"/>
    <m/>
    <x v="18"/>
    <m/>
    <s v="GRIGCO USED OIL SERVICE"/>
    <n v="0"/>
    <n v="0"/>
    <n v="0"/>
    <n v="0"/>
    <n v="1044.5"/>
    <n v="682"/>
    <n v="90"/>
    <n v="0"/>
    <n v="1816.5"/>
    <n v="3.662843247066945E-6"/>
    <n v="0.99875555583242182"/>
    <b v="0"/>
  </r>
  <r>
    <n v="414"/>
    <m/>
    <x v="18"/>
    <m/>
    <s v="AFSCME COUNCIL 81 LOCAL 918"/>
    <n v="1662.5"/>
    <n v="153.16"/>
    <n v="0"/>
    <n v="0"/>
    <n v="0"/>
    <n v="0"/>
    <n v="0"/>
    <n v="0"/>
    <n v="1815.66"/>
    <n v="3.6611494467214811E-6"/>
    <n v="0.99875921698186854"/>
    <b v="0"/>
  </r>
  <r>
    <n v="402"/>
    <m/>
    <x v="18"/>
    <m/>
    <s v="BRYAN HAZARD CUSTOM TILE WORK"/>
    <n v="1810"/>
    <n v="0"/>
    <n v="0"/>
    <n v="0"/>
    <n v="0"/>
    <n v="0"/>
    <n v="0"/>
    <n v="0"/>
    <n v="1810"/>
    <n v="3.6497364586794224E-6"/>
    <n v="0.99876286671832726"/>
    <b v="0"/>
  </r>
  <r>
    <n v="403"/>
    <m/>
    <x v="18"/>
    <m/>
    <s v="CMC NEPTUNE LLC"/>
    <n v="1800"/>
    <n v="0"/>
    <n v="0"/>
    <n v="0"/>
    <n v="0"/>
    <n v="0"/>
    <n v="0"/>
    <n v="0"/>
    <n v="1800"/>
    <n v="3.6295721688524643E-6"/>
    <n v="0.99876649629049608"/>
    <b v="0"/>
  </r>
  <r>
    <n v="571"/>
    <m/>
    <x v="18"/>
    <m/>
    <s v="LAURA LEE"/>
    <n v="480"/>
    <n v="480"/>
    <n v="480"/>
    <n v="360"/>
    <n v="0"/>
    <n v="0"/>
    <n v="0"/>
    <n v="0"/>
    <n v="1800"/>
    <n v="3.6295721688524643E-6"/>
    <n v="0.99877012586266489"/>
    <b v="0"/>
  </r>
  <r>
    <n v="1464"/>
    <m/>
    <x v="18"/>
    <m/>
    <s v="WARD-BOLAND ASSOCS INC"/>
    <n v="0"/>
    <n v="0"/>
    <n v="0"/>
    <n v="0"/>
    <n v="1800"/>
    <n v="0"/>
    <n v="0"/>
    <n v="0"/>
    <n v="1800"/>
    <n v="3.6295721688524643E-6"/>
    <n v="0.99877375543483371"/>
    <b v="0"/>
  </r>
  <r>
    <n v="1510"/>
    <m/>
    <x v="18"/>
    <m/>
    <s v="TSN PUBLISHING DBA OUT &amp; ABOUT MAGAZINE"/>
    <n v="0"/>
    <n v="0"/>
    <n v="0"/>
    <n v="0"/>
    <n v="600"/>
    <n v="0"/>
    <n v="0"/>
    <n v="1200"/>
    <n v="1800"/>
    <n v="3.6295721688524643E-6"/>
    <n v="0.99877738500700253"/>
    <b v="0"/>
  </r>
  <r>
    <n v="808"/>
    <m/>
    <x v="18"/>
    <m/>
    <s v="JENNESSY CAPITAL LLC"/>
    <n v="0"/>
    <n v="1799"/>
    <n v="0"/>
    <n v="0"/>
    <n v="0"/>
    <n v="0"/>
    <n v="0"/>
    <n v="0"/>
    <n v="1799"/>
    <n v="3.6275557398697684E-6"/>
    <n v="0.99878101256274243"/>
    <b v="0"/>
  </r>
  <r>
    <n v="1068"/>
    <m/>
    <x v="18"/>
    <m/>
    <s v="ANGELICA CRISTANCHO"/>
    <n v="0"/>
    <n v="0"/>
    <n v="1794"/>
    <n v="0"/>
    <n v="0"/>
    <n v="0"/>
    <n v="0"/>
    <n v="0"/>
    <n v="1794"/>
    <n v="3.6174735949562894E-6"/>
    <n v="0.99878463003633744"/>
    <b v="0"/>
  </r>
  <r>
    <n v="573"/>
    <m/>
    <x v="18"/>
    <m/>
    <s v="ATLANTIC CONCRETE CO INC"/>
    <n v="477"/>
    <n v="458"/>
    <n v="0"/>
    <n v="365.5"/>
    <n v="181.25"/>
    <n v="0"/>
    <n v="0"/>
    <n v="309"/>
    <n v="1790.75"/>
    <n v="3.6109202007625279E-6"/>
    <n v="0.99878824095653818"/>
    <b v="0"/>
  </r>
  <r>
    <n v="615"/>
    <m/>
    <x v="18"/>
    <m/>
    <s v="B &amp; F TOWING CO INC"/>
    <n v="275"/>
    <n v="470"/>
    <n v="0"/>
    <n v="0"/>
    <n v="0"/>
    <n v="605"/>
    <n v="220"/>
    <n v="220"/>
    <n v="1790"/>
    <n v="3.6094078790255063E-6"/>
    <n v="0.9987918503644172"/>
    <b v="0"/>
  </r>
  <r>
    <n v="450"/>
    <m/>
    <x v="18"/>
    <m/>
    <s v="STILLMAN LAW OFFICE LLC"/>
    <n v="1219.95"/>
    <n v="559.79"/>
    <n v="0"/>
    <n v="0"/>
    <n v="0"/>
    <n v="0"/>
    <n v="0"/>
    <n v="0"/>
    <n v="1779.74"/>
    <n v="3.5887193176630469E-6"/>
    <n v="0.99879543908373492"/>
    <b v="0"/>
  </r>
  <r>
    <n v="1096"/>
    <m/>
    <x v="18"/>
    <m/>
    <s v="SUSSEX ENVIRONMENTAL HEALTH"/>
    <n v="0"/>
    <n v="0"/>
    <n v="855"/>
    <n v="0"/>
    <n v="0"/>
    <n v="0"/>
    <n v="595"/>
    <n v="325"/>
    <n v="1775"/>
    <n v="3.5791614442850688E-6"/>
    <n v="0.99879901824517925"/>
    <b v="0"/>
  </r>
  <r>
    <n v="1128"/>
    <m/>
    <x v="18"/>
    <m/>
    <s v="WINDCREST ANIMAL HOSPITAL"/>
    <n v="0"/>
    <n v="0"/>
    <n v="408.25"/>
    <n v="171.97"/>
    <n v="0"/>
    <n v="0"/>
    <n v="673.13"/>
    <n v="518.15"/>
    <n v="1771.5"/>
    <n v="3.5721039428456334E-6"/>
    <n v="0.99880259034912211"/>
    <b v="0"/>
  </r>
  <r>
    <n v="2132"/>
    <m/>
    <x v="18"/>
    <m/>
    <s v="NORTH STAR"/>
    <n v="0"/>
    <n v="0"/>
    <n v="0"/>
    <n v="0"/>
    <n v="0"/>
    <n v="0"/>
    <n v="435"/>
    <n v="1316.27"/>
    <n v="1751.27"/>
    <n v="3.5313115845256971E-6"/>
    <n v="0.99880612166070659"/>
    <b v="0"/>
  </r>
  <r>
    <n v="410"/>
    <m/>
    <x v="18"/>
    <m/>
    <s v="STREETTS LANDSCAPING INC"/>
    <n v="1750"/>
    <n v="0"/>
    <n v="0"/>
    <n v="0"/>
    <n v="0"/>
    <n v="0"/>
    <n v="0"/>
    <n v="0"/>
    <n v="1750"/>
    <n v="3.5287507197176737E-6"/>
    <n v="0.99880965041142633"/>
    <b v="0"/>
  </r>
  <r>
    <n v="809"/>
    <m/>
    <x v="18"/>
    <m/>
    <s v="KAY DEMLOW DBA LAVENDERS GREEN HISTORIC"/>
    <n v="0"/>
    <n v="1750"/>
    <n v="0"/>
    <n v="0"/>
    <n v="0"/>
    <n v="0"/>
    <n v="0"/>
    <n v="0"/>
    <n v="1750"/>
    <n v="3.5287507197176737E-6"/>
    <n v="0.99881317916214607"/>
    <b v="0"/>
  </r>
  <r>
    <n v="1069"/>
    <m/>
    <x v="18"/>
    <m/>
    <s v="VICTORIA SHERTEL"/>
    <n v="0"/>
    <n v="0"/>
    <n v="1750"/>
    <n v="0"/>
    <n v="0"/>
    <n v="0"/>
    <n v="0"/>
    <n v="0"/>
    <n v="1750"/>
    <n v="3.5287507197176737E-6"/>
    <n v="0.99881670791286581"/>
    <b v="0"/>
  </r>
  <r>
    <n v="1265"/>
    <m/>
    <x v="18"/>
    <m/>
    <s v="Sara Digennaro"/>
    <n v="0"/>
    <n v="0"/>
    <n v="0"/>
    <n v="1750"/>
    <n v="0"/>
    <n v="0"/>
    <n v="0"/>
    <n v="0"/>
    <n v="1750"/>
    <n v="3.5287507197176737E-6"/>
    <n v="0.99882023666358555"/>
    <b v="0"/>
  </r>
  <r>
    <n v="1276"/>
    <m/>
    <x v="18"/>
    <m/>
    <s v="SOIL AND ENVIRONMENTAL ASSOCIATES LLC"/>
    <n v="0"/>
    <n v="0"/>
    <n v="0"/>
    <n v="1225"/>
    <n v="525"/>
    <n v="0"/>
    <n v="0"/>
    <n v="0"/>
    <n v="1750"/>
    <n v="3.5287507197176737E-6"/>
    <n v="0.99882376541430529"/>
    <b v="0"/>
  </r>
  <r>
    <n v="2315"/>
    <m/>
    <x v="18"/>
    <m/>
    <s v="FRED R MOORE AND SON INC"/>
    <n v="0"/>
    <n v="0"/>
    <n v="0"/>
    <n v="0"/>
    <n v="0"/>
    <n v="0"/>
    <n v="0"/>
    <n v="1743"/>
    <n v="1743"/>
    <n v="3.5146357168388029E-6"/>
    <n v="0.99882728005002208"/>
    <b v="0"/>
  </r>
  <r>
    <n v="1319"/>
    <m/>
    <x v="18"/>
    <m/>
    <s v="OCEAN CITY BERLIN OPTIMIST CLUB"/>
    <n v="0"/>
    <n v="0"/>
    <n v="0"/>
    <n v="440"/>
    <n v="0"/>
    <n v="435"/>
    <n v="435"/>
    <n v="425"/>
    <n v="1735"/>
    <n v="3.4985042849772362E-6"/>
    <n v="0.99883077855430702"/>
    <b v="0"/>
  </r>
  <r>
    <n v="575"/>
    <m/>
    <x v="18"/>
    <m/>
    <s v="GRANT MELVILLE"/>
    <n v="463.09"/>
    <n v="0"/>
    <n v="1267.2"/>
    <n v="0"/>
    <n v="0"/>
    <n v="0"/>
    <n v="0"/>
    <n v="0"/>
    <n v="1730.29"/>
    <n v="3.4890069044687392E-6"/>
    <n v="0.99883426756121152"/>
    <b v="0"/>
  </r>
  <r>
    <n v="411"/>
    <m/>
    <x v="18"/>
    <m/>
    <s v="RAMSEYS FARM"/>
    <n v="1722"/>
    <n v="0"/>
    <n v="0"/>
    <n v="0"/>
    <n v="0"/>
    <n v="0"/>
    <n v="0"/>
    <n v="0"/>
    <n v="1722"/>
    <n v="3.4722907082021909E-6"/>
    <n v="0.9988377398519197"/>
    <b v="0"/>
  </r>
  <r>
    <n v="1266"/>
    <m/>
    <x v="18"/>
    <m/>
    <s v="KATHRYN HOERNER-MCGINNES"/>
    <n v="0"/>
    <n v="0"/>
    <n v="0"/>
    <n v="1720"/>
    <n v="0"/>
    <n v="0"/>
    <n v="0"/>
    <n v="0"/>
    <n v="1720"/>
    <n v="3.4682578502367992E-6"/>
    <n v="0.99884120810976995"/>
    <b v="0"/>
  </r>
  <r>
    <n v="1465"/>
    <m/>
    <x v="18"/>
    <m/>
    <s v="YSI INCORPORATED"/>
    <n v="0"/>
    <n v="0"/>
    <n v="0"/>
    <n v="0"/>
    <n v="1713.64"/>
    <n v="0"/>
    <n v="0"/>
    <n v="0"/>
    <n v="1713.64"/>
    <n v="3.455433361906854E-6"/>
    <n v="0.99884466354313184"/>
    <b v="0"/>
  </r>
  <r>
    <n v="412"/>
    <m/>
    <x v="18"/>
    <m/>
    <s v="INDUSTRIAL CHEM LABS &amp; SVCS"/>
    <n v="1707.74"/>
    <n v="0"/>
    <n v="0"/>
    <n v="0"/>
    <n v="0"/>
    <n v="0"/>
    <n v="0"/>
    <n v="0"/>
    <n v="1707.74"/>
    <n v="3.4435364309089485E-6"/>
    <n v="0.99884810707956273"/>
    <b v="0"/>
  </r>
  <r>
    <n v="810"/>
    <m/>
    <x v="18"/>
    <m/>
    <s v="TIMOTHY DILLINGHAM"/>
    <n v="0"/>
    <n v="1707.2"/>
    <n v="0"/>
    <n v="0"/>
    <n v="0"/>
    <n v="0"/>
    <n v="0"/>
    <n v="0"/>
    <n v="1707.2"/>
    <n v="3.4424475592582931E-6"/>
    <n v="0.99885154952712196"/>
    <b v="0"/>
  </r>
  <r>
    <n v="812"/>
    <m/>
    <x v="18"/>
    <m/>
    <s v="Dancing Lights Ballet School"/>
    <n v="0"/>
    <n v="1700"/>
    <n v="0"/>
    <n v="0"/>
    <n v="0"/>
    <n v="0"/>
    <n v="0"/>
    <n v="0"/>
    <n v="1700"/>
    <n v="3.4279292705828831E-6"/>
    <n v="0.99885497745639251"/>
    <b v="0"/>
  </r>
  <r>
    <n v="1118"/>
    <m/>
    <x v="18"/>
    <m/>
    <s v="JOHN D DURANT JR"/>
    <n v="0"/>
    <n v="0"/>
    <n v="600"/>
    <n v="600"/>
    <n v="0"/>
    <n v="500"/>
    <n v="0"/>
    <n v="0"/>
    <n v="1700"/>
    <n v="3.4279292705828831E-6"/>
    <n v="0.99885840538566306"/>
    <b v="0"/>
  </r>
  <r>
    <n v="1835"/>
    <m/>
    <x v="18"/>
    <m/>
    <s v="WEST CHESTER SWING KINGS"/>
    <n v="0"/>
    <n v="0"/>
    <n v="0"/>
    <n v="0"/>
    <n v="0"/>
    <n v="300"/>
    <n v="300"/>
    <n v="1100"/>
    <n v="1700"/>
    <n v="3.4279292705828831E-6"/>
    <n v="0.99886183331493361"/>
    <b v="0"/>
  </r>
  <r>
    <n v="2081"/>
    <m/>
    <x v="18"/>
    <m/>
    <s v="JONATHAN RICHARDSON"/>
    <n v="0"/>
    <n v="0"/>
    <n v="0"/>
    <n v="0"/>
    <n v="0"/>
    <n v="0"/>
    <n v="1000"/>
    <n v="700"/>
    <n v="1700"/>
    <n v="3.4279292705828831E-6"/>
    <n v="0.99886526124420416"/>
    <b v="0"/>
  </r>
  <r>
    <n v="1748"/>
    <m/>
    <x v="18"/>
    <m/>
    <s v="WILLIAMS SYNDROME ASSOCIATION"/>
    <n v="0"/>
    <n v="0"/>
    <n v="0"/>
    <n v="0"/>
    <n v="0"/>
    <n v="1688"/>
    <n v="0"/>
    <n v="0"/>
    <n v="1688"/>
    <n v="3.4037321227905333E-6"/>
    <n v="0.99886866497632698"/>
    <b v="0"/>
  </r>
  <r>
    <n v="2055"/>
    <m/>
    <x v="18"/>
    <m/>
    <s v="BARRY-OWEN CO INC"/>
    <n v="0"/>
    <n v="0"/>
    <n v="0"/>
    <n v="0"/>
    <n v="0"/>
    <n v="0"/>
    <n v="1682.86"/>
    <n v="0"/>
    <n v="1682.86"/>
    <n v="3.3933676778194764E-6"/>
    <n v="0.99887205834400483"/>
    <b v="0"/>
  </r>
  <r>
    <n v="1088"/>
    <m/>
    <x v="18"/>
    <m/>
    <s v="SUNSTATES SECURITY LLC"/>
    <n v="0"/>
    <n v="0"/>
    <n v="989.82"/>
    <n v="392.34"/>
    <n v="0"/>
    <n v="294.32"/>
    <n v="0"/>
    <n v="0"/>
    <n v="1676.48"/>
    <n v="3.3805028609098776E-6"/>
    <n v="0.99887543884686569"/>
    <b v="0"/>
  </r>
  <r>
    <n v="1749"/>
    <m/>
    <x v="18"/>
    <m/>
    <s v="COMPREHENSIVE DIAGNOSTIC CTR"/>
    <n v="0"/>
    <n v="0"/>
    <n v="0"/>
    <n v="0"/>
    <n v="0"/>
    <n v="1675"/>
    <n v="0"/>
    <n v="0"/>
    <n v="1675"/>
    <n v="3.3775185460154876E-6"/>
    <n v="0.99887881636541176"/>
    <b v="0"/>
  </r>
  <r>
    <n v="2094"/>
    <m/>
    <x v="18"/>
    <m/>
    <s v="BAY BEYOND INC"/>
    <n v="0"/>
    <n v="0"/>
    <n v="0"/>
    <n v="0"/>
    <n v="0"/>
    <n v="0"/>
    <n v="762.72"/>
    <n v="912.02"/>
    <n v="1674.74"/>
    <n v="3.3769942744799867E-6"/>
    <n v="0.9988821933596862"/>
    <b v="0"/>
  </r>
  <r>
    <n v="2056"/>
    <m/>
    <x v="18"/>
    <m/>
    <s v="MICHAEL MENDES"/>
    <n v="0"/>
    <n v="0"/>
    <n v="0"/>
    <n v="0"/>
    <n v="0"/>
    <n v="0"/>
    <n v="1672.79"/>
    <n v="0"/>
    <n v="1672.79"/>
    <n v="3.3730622379637296E-6"/>
    <n v="0.99888556642192416"/>
    <b v="0"/>
  </r>
  <r>
    <n v="1778"/>
    <m/>
    <x v="18"/>
    <m/>
    <s v="EARLY MAN IMAGES INC"/>
    <n v="0"/>
    <n v="0"/>
    <n v="0"/>
    <n v="0"/>
    <n v="0"/>
    <n v="876"/>
    <n v="784.45"/>
    <n v="0"/>
    <n v="1660.45"/>
    <n v="3.3481795043172636E-6"/>
    <n v="0.99888891460142848"/>
    <b v="0"/>
  </r>
  <r>
    <n v="2057"/>
    <m/>
    <x v="18"/>
    <m/>
    <s v="BILL RIENHOFF"/>
    <n v="0"/>
    <n v="0"/>
    <n v="0"/>
    <n v="0"/>
    <n v="0"/>
    <n v="0"/>
    <n v="1659.73"/>
    <n v="0"/>
    <n v="1659.73"/>
    <n v="3.3467276754497226E-6"/>
    <n v="0.99889226132910391"/>
    <b v="0"/>
  </r>
  <r>
    <n v="2316"/>
    <m/>
    <x v="18"/>
    <m/>
    <s v="SCHIFFER PUBLISHING LTD"/>
    <n v="0"/>
    <n v="0"/>
    <n v="0"/>
    <n v="0"/>
    <n v="0"/>
    <n v="0"/>
    <n v="0"/>
    <n v="1650.97"/>
    <n v="1650.97"/>
    <n v="3.3290637575613073E-6"/>
    <n v="0.99889559039286147"/>
    <b v="0"/>
  </r>
  <r>
    <n v="559"/>
    <m/>
    <x v="18"/>
    <m/>
    <s v="SONGBIRD PRODUCTIONS LLC"/>
    <n v="500"/>
    <n v="0"/>
    <n v="0"/>
    <n v="400"/>
    <n v="0"/>
    <n v="600"/>
    <n v="0"/>
    <n v="150"/>
    <n v="1650"/>
    <n v="3.3271078214480921E-6"/>
    <n v="0.99889891750068294"/>
    <b v="0"/>
  </r>
  <r>
    <n v="1124"/>
    <m/>
    <x v="18"/>
    <m/>
    <s v="CHARLES J BECK"/>
    <n v="0"/>
    <n v="0"/>
    <n v="450"/>
    <n v="200"/>
    <n v="0"/>
    <n v="1000"/>
    <n v="0"/>
    <n v="0"/>
    <n v="1650"/>
    <n v="3.3271078214480921E-6"/>
    <n v="0.99890224460850441"/>
    <b v="0"/>
  </r>
  <r>
    <n v="1125"/>
    <m/>
    <x v="18"/>
    <m/>
    <s v="WILMA A PULMANO"/>
    <n v="0"/>
    <n v="0"/>
    <n v="450"/>
    <n v="200"/>
    <n v="0"/>
    <n v="400"/>
    <n v="400"/>
    <n v="200"/>
    <n v="1650"/>
    <n v="3.3271078214480921E-6"/>
    <n v="0.99890557171632588"/>
    <b v="0"/>
  </r>
  <r>
    <n v="888"/>
    <m/>
    <x v="18"/>
    <m/>
    <s v="SUN &amp; FUN"/>
    <n v="0"/>
    <n v="408"/>
    <n v="829.56"/>
    <n v="264"/>
    <n v="0"/>
    <n v="0"/>
    <n v="141"/>
    <n v="0"/>
    <n v="1642.56"/>
    <n v="3.3121055898168352E-6"/>
    <n v="0.99890888382191567"/>
    <b v="0"/>
  </r>
  <r>
    <n v="496"/>
    <m/>
    <x v="18"/>
    <m/>
    <s v="TIMEKEEPING SYSTEMS INC"/>
    <n v="825.75"/>
    <n v="0"/>
    <n v="809.82"/>
    <n v="0"/>
    <n v="0"/>
    <n v="0"/>
    <n v="0"/>
    <n v="0"/>
    <n v="1635.5700000000002"/>
    <n v="3.2980107512277919E-6"/>
    <n v="0.99891218183266695"/>
    <b v="0"/>
  </r>
  <r>
    <n v="1195"/>
    <m/>
    <x v="18"/>
    <m/>
    <s v="KRIS KNUTSEN"/>
    <n v="0"/>
    <n v="0"/>
    <n v="14"/>
    <n v="481.14"/>
    <n v="0"/>
    <n v="632.27"/>
    <n v="14"/>
    <n v="478.68"/>
    <n v="1620.09"/>
    <n v="3.2667964305756603E-6"/>
    <n v="0.99891544862909754"/>
    <b v="0"/>
  </r>
  <r>
    <n v="1752"/>
    <m/>
    <x v="18"/>
    <m/>
    <s v="RAYMOND KELLER"/>
    <n v="0"/>
    <n v="0"/>
    <n v="0"/>
    <n v="0"/>
    <n v="0"/>
    <n v="1606.22"/>
    <n v="0"/>
    <n v="0"/>
    <n v="1606.22"/>
    <n v="3.2388285605856696E-6"/>
    <n v="0.99891868745765811"/>
    <b v="0"/>
  </r>
  <r>
    <n v="2058"/>
    <m/>
    <x v="18"/>
    <m/>
    <s v="SHURELINE ELECTRICAL INC"/>
    <n v="0"/>
    <n v="0"/>
    <n v="0"/>
    <n v="0"/>
    <n v="0"/>
    <n v="0"/>
    <n v="1601.81"/>
    <n v="0"/>
    <n v="1601.81"/>
    <n v="3.2299361087719811E-6"/>
    <n v="0.9989219173937669"/>
    <b v="0"/>
  </r>
  <r>
    <n v="499"/>
    <m/>
    <x v="18"/>
    <m/>
    <s v="ROBERT STRETCH"/>
    <n v="800"/>
    <n v="800"/>
    <n v="0"/>
    <n v="0"/>
    <n v="0"/>
    <n v="0"/>
    <n v="0"/>
    <n v="0"/>
    <n v="1600"/>
    <n v="3.2262863723133014E-6"/>
    <n v="0.99892514368013918"/>
    <b v="0"/>
  </r>
  <r>
    <n v="1117"/>
    <m/>
    <x v="18"/>
    <m/>
    <s v="JOSEPH BECTON"/>
    <n v="0"/>
    <n v="0"/>
    <n v="600"/>
    <n v="500"/>
    <n v="0"/>
    <n v="0"/>
    <n v="0"/>
    <n v="500"/>
    <n v="1600"/>
    <n v="3.2262863723133014E-6"/>
    <n v="0.99892836996651146"/>
    <b v="0"/>
  </r>
  <r>
    <n v="1347"/>
    <m/>
    <x v="18"/>
    <m/>
    <s v="DANIELLE LEVREDGE"/>
    <n v="0"/>
    <n v="0"/>
    <n v="0"/>
    <n v="240"/>
    <n v="480"/>
    <n v="480"/>
    <n v="400"/>
    <n v="0"/>
    <n v="1600"/>
    <n v="3.2262863723133014E-6"/>
    <n v="0.99893159625288375"/>
    <b v="0"/>
  </r>
  <r>
    <n v="2317"/>
    <m/>
    <x v="18"/>
    <m/>
    <s v="AIKEN AND ASSOCIATES INC"/>
    <n v="0"/>
    <n v="0"/>
    <n v="0"/>
    <n v="0"/>
    <n v="0"/>
    <n v="0"/>
    <n v="0"/>
    <n v="1600"/>
    <n v="1600"/>
    <n v="3.2262863723133014E-6"/>
    <n v="0.99893482253925603"/>
    <b v="0"/>
  </r>
  <r>
    <n v="1269"/>
    <m/>
    <x v="18"/>
    <m/>
    <s v="Michael Rogers"/>
    <n v="0"/>
    <n v="0"/>
    <n v="0"/>
    <n v="1577.35"/>
    <n v="0"/>
    <n v="0"/>
    <n v="0"/>
    <n v="0"/>
    <n v="1577.35"/>
    <n v="3.1806142558552414E-6"/>
    <n v="0.99893800315351189"/>
    <b v="0"/>
  </r>
  <r>
    <n v="889"/>
    <m/>
    <x v="18"/>
    <m/>
    <s v="LAURA S GRIMES"/>
    <n v="0"/>
    <n v="400"/>
    <n v="0"/>
    <n v="200"/>
    <n v="0"/>
    <n v="625"/>
    <n v="0"/>
    <n v="350"/>
    <n v="1575"/>
    <n v="3.1758756477459063E-6"/>
    <n v="0.99894117902915969"/>
    <b v="0"/>
  </r>
  <r>
    <n v="1753"/>
    <m/>
    <x v="18"/>
    <m/>
    <s v="JAMES NANCE"/>
    <n v="0"/>
    <n v="0"/>
    <n v="0"/>
    <n v="0"/>
    <n v="0"/>
    <n v="1558.05"/>
    <n v="0"/>
    <n v="0"/>
    <n v="1558.05"/>
    <n v="3.1416971764892122E-6"/>
    <n v="0.99894432072633621"/>
    <b v="0"/>
  </r>
  <r>
    <n v="2061"/>
    <m/>
    <x v="18"/>
    <m/>
    <s v="AUTOMOTIVE SERVICES INC"/>
    <n v="0"/>
    <n v="0"/>
    <n v="0"/>
    <n v="0"/>
    <n v="0"/>
    <n v="0"/>
    <n v="1557.2"/>
    <n v="0"/>
    <n v="1557.2"/>
    <n v="3.1399832118539208E-6"/>
    <n v="0.9989474607095481"/>
    <b v="0"/>
  </r>
  <r>
    <n v="1467"/>
    <m/>
    <x v="18"/>
    <m/>
    <s v="A PLUS SEAMLESS GUTTERING"/>
    <n v="0"/>
    <n v="0"/>
    <n v="0"/>
    <n v="0"/>
    <n v="1550"/>
    <n v="0"/>
    <n v="0"/>
    <n v="0"/>
    <n v="1550"/>
    <n v="3.1254649231785108E-6"/>
    <n v="0.9989505861744713"/>
    <b v="0"/>
  </r>
  <r>
    <n v="1755"/>
    <m/>
    <x v="18"/>
    <m/>
    <s v="CAPTURED CONCEPTS LLC"/>
    <n v="0"/>
    <n v="0"/>
    <n v="0"/>
    <n v="0"/>
    <n v="0"/>
    <n v="1525"/>
    <n v="0"/>
    <n v="0"/>
    <n v="1525"/>
    <n v="3.0750541986111157E-6"/>
    <n v="0.99895366122866991"/>
    <b v="0"/>
  </r>
  <r>
    <n v="581"/>
    <m/>
    <x v="18"/>
    <m/>
    <s v="LAURA PARKS"/>
    <n v="440"/>
    <n v="480"/>
    <n v="480"/>
    <n v="120"/>
    <n v="0"/>
    <n v="0"/>
    <n v="0"/>
    <n v="0"/>
    <n v="1520"/>
    <n v="3.0649720536976367E-6"/>
    <n v="0.99895672620072362"/>
    <b v="0"/>
  </r>
  <r>
    <n v="424"/>
    <m/>
    <x v="18"/>
    <m/>
    <s v="LGK LLC"/>
    <n v="1518.98"/>
    <n v="0"/>
    <n v="0"/>
    <n v="0"/>
    <n v="0"/>
    <n v="0"/>
    <n v="0"/>
    <n v="0"/>
    <n v="1518.98"/>
    <n v="3.0629152961352868E-6"/>
    <n v="0.99895978911601979"/>
    <b v="0"/>
  </r>
  <r>
    <n v="428"/>
    <m/>
    <x v="18"/>
    <m/>
    <s v="DELMARVA ENVIRONMENTAL"/>
    <n v="1500"/>
    <n v="0"/>
    <n v="0"/>
    <n v="0"/>
    <n v="0"/>
    <n v="0"/>
    <n v="0"/>
    <n v="0"/>
    <n v="1500"/>
    <n v="3.0246434740437202E-6"/>
    <n v="0.99896281375949381"/>
    <b v="0"/>
  </r>
  <r>
    <n v="429"/>
    <m/>
    <x v="18"/>
    <m/>
    <s v="DANIEL JOHN LOUDEN"/>
    <n v="1500"/>
    <n v="0"/>
    <n v="0"/>
    <n v="0"/>
    <n v="0"/>
    <n v="0"/>
    <n v="0"/>
    <n v="0"/>
    <n v="1500"/>
    <n v="3.0246434740437202E-6"/>
    <n v="0.99896583840296782"/>
    <b v="0"/>
  </r>
  <r>
    <n v="430"/>
    <m/>
    <x v="18"/>
    <m/>
    <s v="LIVING HISTORY COMPANY LLC"/>
    <n v="1500"/>
    <n v="0"/>
    <n v="0"/>
    <n v="0"/>
    <n v="0"/>
    <n v="0"/>
    <n v="0"/>
    <n v="0"/>
    <n v="1500"/>
    <n v="3.0246434740437202E-6"/>
    <n v="0.99896886304644184"/>
    <b v="0"/>
  </r>
  <r>
    <n v="611"/>
    <m/>
    <x v="18"/>
    <m/>
    <s v="DIAMOND STATE CONCERT BAND"/>
    <n v="300"/>
    <n v="300"/>
    <n v="300"/>
    <n v="300"/>
    <n v="0"/>
    <n v="0"/>
    <n v="300"/>
    <n v="0"/>
    <n v="1500"/>
    <n v="3.0246434740437202E-6"/>
    <n v="0.99897188768991585"/>
    <b v="0"/>
  </r>
  <r>
    <n v="849"/>
    <m/>
    <x v="18"/>
    <m/>
    <s v="DOVER DAYS COMMITTEE"/>
    <n v="0"/>
    <n v="750"/>
    <n v="750"/>
    <n v="0"/>
    <n v="0"/>
    <n v="0"/>
    <n v="0"/>
    <n v="0"/>
    <n v="1500"/>
    <n v="3.0246434740437202E-6"/>
    <n v="0.99897491233338986"/>
    <b v="0"/>
  </r>
  <r>
    <n v="875"/>
    <m/>
    <x v="18"/>
    <m/>
    <s v="JOSEPH D ORLOWSKY"/>
    <n v="0"/>
    <n v="500"/>
    <n v="0"/>
    <n v="500"/>
    <n v="0"/>
    <n v="0"/>
    <n v="0"/>
    <n v="500"/>
    <n v="1500"/>
    <n v="3.0246434740437202E-6"/>
    <n v="0.99897793697686388"/>
    <b v="0"/>
  </r>
  <r>
    <n v="1104"/>
    <m/>
    <x v="18"/>
    <m/>
    <s v="PAPE DEMBA SAMB"/>
    <n v="0"/>
    <n v="0"/>
    <n v="750"/>
    <n v="750"/>
    <n v="0"/>
    <n v="0"/>
    <n v="0"/>
    <n v="0"/>
    <n v="1500"/>
    <n v="3.0246434740437202E-6"/>
    <n v="0.99898096162033789"/>
    <b v="0"/>
  </r>
  <r>
    <n v="1468"/>
    <m/>
    <x v="18"/>
    <m/>
    <s v="MICHAEL B FINEGAN"/>
    <n v="0"/>
    <n v="0"/>
    <n v="0"/>
    <n v="0"/>
    <n v="1500"/>
    <n v="0"/>
    <n v="0"/>
    <n v="0"/>
    <n v="1500"/>
    <n v="3.0246434740437202E-6"/>
    <n v="0.99898398626381191"/>
    <b v="0"/>
  </r>
  <r>
    <n v="2098"/>
    <m/>
    <x v="18"/>
    <m/>
    <s v="JOHN  LAMEDICA DBA JUNGLE JOHN ENTERTA"/>
    <n v="0"/>
    <n v="0"/>
    <n v="0"/>
    <n v="0"/>
    <n v="0"/>
    <n v="0"/>
    <n v="750"/>
    <n v="750"/>
    <n v="1500"/>
    <n v="3.0246434740437202E-6"/>
    <n v="0.99898701090728592"/>
    <b v="0"/>
  </r>
  <r>
    <n v="2318"/>
    <m/>
    <x v="18"/>
    <m/>
    <s v="RC POWER SERVICES"/>
    <n v="0"/>
    <n v="0"/>
    <n v="0"/>
    <n v="0"/>
    <n v="0"/>
    <n v="0"/>
    <n v="0"/>
    <n v="1500"/>
    <n v="1500"/>
    <n v="3.0246434740437202E-6"/>
    <n v="0.99899003555075994"/>
    <b v="0"/>
  </r>
  <r>
    <n v="431"/>
    <m/>
    <x v="18"/>
    <m/>
    <s v="STEIN TREE SERVICE INC"/>
    <n v="1499"/>
    <n v="0"/>
    <n v="0"/>
    <n v="0"/>
    <n v="0"/>
    <n v="0"/>
    <n v="0"/>
    <n v="0"/>
    <n v="1499"/>
    <n v="3.0226270450610243E-6"/>
    <n v="0.99899305817780504"/>
    <b v="0"/>
  </r>
  <r>
    <n v="2319"/>
    <m/>
    <x v="18"/>
    <m/>
    <s v="DARREN LAWSON"/>
    <n v="0"/>
    <n v="0"/>
    <n v="0"/>
    <n v="0"/>
    <n v="0"/>
    <n v="0"/>
    <n v="0"/>
    <n v="1495"/>
    <n v="1495"/>
    <n v="3.0145613291302412E-6"/>
    <n v="0.99899607273913416"/>
    <b v="0"/>
  </r>
  <r>
    <n v="1469"/>
    <m/>
    <x v="18"/>
    <m/>
    <s v="SETH KIRSCHNER"/>
    <n v="0"/>
    <n v="0"/>
    <n v="0"/>
    <n v="0"/>
    <n v="1490"/>
    <n v="0"/>
    <n v="0"/>
    <n v="0"/>
    <n v="1490"/>
    <n v="3.0044791842167622E-6"/>
    <n v="0.99899907721831838"/>
    <b v="0"/>
  </r>
  <r>
    <n v="2062"/>
    <m/>
    <x v="18"/>
    <m/>
    <s v="MARTIN MARIETTA MATERIALS INC"/>
    <n v="0"/>
    <n v="0"/>
    <n v="0"/>
    <n v="0"/>
    <n v="0"/>
    <n v="0"/>
    <n v="1476.1"/>
    <n v="0"/>
    <n v="1476.1"/>
    <n v="2.9764508213572899E-6"/>
    <n v="0.99900205366913974"/>
    <b v="0"/>
  </r>
  <r>
    <n v="872"/>
    <m/>
    <x v="18"/>
    <m/>
    <s v="MATTHEW BACK INC"/>
    <n v="0"/>
    <n v="547.4"/>
    <n v="924.72"/>
    <n v="0"/>
    <n v="0"/>
    <n v="0"/>
    <n v="0"/>
    <n v="0"/>
    <n v="1472.12"/>
    <n v="2.9684254340061609E-6"/>
    <n v="0.99900502209457376"/>
    <b v="0"/>
  </r>
  <r>
    <n v="1485"/>
    <m/>
    <x v="18"/>
    <m/>
    <s v="LAWN &amp; GOLF SUP CO"/>
    <n v="0"/>
    <n v="0"/>
    <n v="0"/>
    <n v="0"/>
    <n v="1026.28"/>
    <n v="0"/>
    <n v="0"/>
    <n v="444.1"/>
    <n v="1470.38"/>
    <n v="2.9649168475762704E-6"/>
    <n v="0.99900798701142135"/>
    <b v="0"/>
  </r>
  <r>
    <n v="1758"/>
    <m/>
    <x v="18"/>
    <m/>
    <s v="LATONYA GILLIAM"/>
    <n v="0"/>
    <n v="0"/>
    <n v="0"/>
    <n v="0"/>
    <n v="0"/>
    <n v="1470"/>
    <n v="0"/>
    <n v="0"/>
    <n v="1470"/>
    <n v="2.9641506045628457E-6"/>
    <n v="0.99901095116202587"/>
    <b v="0"/>
  </r>
  <r>
    <n v="1078"/>
    <m/>
    <x v="18"/>
    <m/>
    <s v="LAURA FRICK"/>
    <n v="0"/>
    <n v="0"/>
    <n v="1467.6"/>
    <n v="0"/>
    <n v="0"/>
    <n v="0"/>
    <n v="0"/>
    <n v="0"/>
    <n v="1467.6"/>
    <n v="2.9593111750043755E-6"/>
    <n v="0.99901391047320087"/>
    <b v="0"/>
  </r>
  <r>
    <n v="2064"/>
    <m/>
    <x v="18"/>
    <m/>
    <s v="ZOOLOGICAL SOCIETY OF PHILADELPHIA"/>
    <n v="0"/>
    <n v="0"/>
    <n v="0"/>
    <n v="0"/>
    <n v="0"/>
    <n v="0"/>
    <n v="1467.5"/>
    <n v="0"/>
    <n v="1467.5"/>
    <n v="2.9591095321061062E-6"/>
    <n v="0.99901686958273295"/>
    <b v="0"/>
  </r>
  <r>
    <n v="2320"/>
    <m/>
    <x v="18"/>
    <m/>
    <s v="COMCAST CABLE"/>
    <n v="0"/>
    <n v="0"/>
    <n v="0"/>
    <n v="0"/>
    <n v="0"/>
    <n v="0"/>
    <n v="0"/>
    <n v="1463.25"/>
    <n v="1463.25"/>
    <n v="2.9505397089296492E-6"/>
    <n v="0.99901982012244184"/>
    <b v="0"/>
  </r>
  <r>
    <n v="1089"/>
    <m/>
    <x v="18"/>
    <m/>
    <s v="CARSON SMITH"/>
    <n v="0"/>
    <n v="0"/>
    <n v="980"/>
    <n v="480"/>
    <n v="0"/>
    <n v="0"/>
    <n v="0"/>
    <n v="0"/>
    <n v="1460"/>
    <n v="2.9439863147358876E-6"/>
    <n v="0.99902276410875657"/>
    <b v="0"/>
  </r>
  <r>
    <n v="1759"/>
    <m/>
    <x v="18"/>
    <m/>
    <s v="KELLY MEYER"/>
    <n v="0"/>
    <n v="0"/>
    <n v="0"/>
    <n v="0"/>
    <n v="0"/>
    <n v="1456.2"/>
    <n v="0"/>
    <n v="0"/>
    <n v="1456.2"/>
    <n v="2.9363238846016437E-6"/>
    <n v="0.99902570043264116"/>
    <b v="0"/>
  </r>
  <r>
    <n v="1470"/>
    <m/>
    <x v="18"/>
    <m/>
    <s v="BROADCAST MUSIC INC"/>
    <n v="0"/>
    <n v="0"/>
    <n v="0"/>
    <n v="0"/>
    <n v="1456"/>
    <n v="0"/>
    <n v="0"/>
    <n v="0"/>
    <n v="1456"/>
    <n v="2.9359205988051045E-6"/>
    <n v="0.99902863635324002"/>
    <b v="0"/>
  </r>
  <r>
    <n v="560"/>
    <m/>
    <x v="18"/>
    <m/>
    <s v="RICHARD T HOLMES"/>
    <n v="500"/>
    <n v="250"/>
    <n v="500"/>
    <n v="0"/>
    <n v="200"/>
    <n v="0"/>
    <n v="0"/>
    <n v="0"/>
    <n v="1450"/>
    <n v="2.9238220249089296E-6"/>
    <n v="0.99903156017526495"/>
    <b v="0"/>
  </r>
  <r>
    <n v="935"/>
    <m/>
    <x v="18"/>
    <m/>
    <s v="JOHN POLLARD"/>
    <n v="0"/>
    <n v="100"/>
    <n v="100"/>
    <n v="100"/>
    <n v="0"/>
    <n v="400"/>
    <n v="500"/>
    <n v="250"/>
    <n v="1450"/>
    <n v="2.9238220249089296E-6"/>
    <n v="0.99903448399728989"/>
    <b v="0"/>
  </r>
  <r>
    <n v="2100"/>
    <m/>
    <x v="18"/>
    <m/>
    <s v="REEDY POINT PLAYERS LTD"/>
    <n v="0"/>
    <n v="0"/>
    <n v="0"/>
    <n v="0"/>
    <n v="0"/>
    <n v="0"/>
    <n v="700"/>
    <n v="750"/>
    <n v="1450"/>
    <n v="2.9238220249089296E-6"/>
    <n v="0.99903740781931483"/>
    <b v="0"/>
  </r>
  <r>
    <n v="818"/>
    <m/>
    <x v="18"/>
    <m/>
    <s v="KC ESSENTIALS"/>
    <n v="0"/>
    <n v="1445"/>
    <n v="0"/>
    <n v="0"/>
    <n v="0"/>
    <n v="0"/>
    <n v="0"/>
    <n v="0"/>
    <n v="1445"/>
    <n v="2.9137398799954506E-6"/>
    <n v="0.99904032155919487"/>
    <b v="0"/>
  </r>
  <r>
    <n v="432"/>
    <m/>
    <x v="18"/>
    <m/>
    <s v="AQUAFIX INC"/>
    <n v="1444.76"/>
    <n v="0"/>
    <n v="0"/>
    <n v="0"/>
    <n v="0"/>
    <n v="0"/>
    <n v="0"/>
    <n v="0"/>
    <n v="1444.76"/>
    <n v="2.9132559370396033E-6"/>
    <n v="0.99904323481513191"/>
    <b v="0"/>
  </r>
  <r>
    <n v="819"/>
    <m/>
    <x v="18"/>
    <m/>
    <s v="SUSSEX DIESEL INC"/>
    <n v="0"/>
    <n v="1442.89"/>
    <n v="0"/>
    <n v="0"/>
    <n v="0"/>
    <n v="0"/>
    <n v="0"/>
    <n v="0"/>
    <n v="1442.89"/>
    <n v="2.9094852148419624E-6"/>
    <n v="0.99904614430034677"/>
    <b v="0"/>
  </r>
  <r>
    <n v="1270"/>
    <m/>
    <x v="18"/>
    <m/>
    <s v="VENTURESPORT"/>
    <n v="0"/>
    <n v="0"/>
    <n v="0"/>
    <n v="1442"/>
    <n v="0"/>
    <n v="0"/>
    <n v="0"/>
    <n v="0"/>
    <n v="1442"/>
    <n v="2.9076905930473629E-6"/>
    <n v="0.99904905199093985"/>
    <b v="0"/>
  </r>
  <r>
    <n v="833"/>
    <m/>
    <x v="18"/>
    <m/>
    <s v="JOSEPH LOUDEN"/>
    <n v="0"/>
    <n v="1040"/>
    <n v="0"/>
    <n v="0"/>
    <n v="0"/>
    <n v="400"/>
    <n v="0"/>
    <n v="0"/>
    <n v="1440"/>
    <n v="2.9036577350819715E-6"/>
    <n v="0.99905195564867488"/>
    <b v="0"/>
  </r>
  <r>
    <n v="1760"/>
    <m/>
    <x v="18"/>
    <m/>
    <s v="ERIN PRESLEY"/>
    <n v="0"/>
    <n v="0"/>
    <n v="0"/>
    <n v="0"/>
    <n v="0"/>
    <n v="1440"/>
    <n v="0"/>
    <n v="0"/>
    <n v="1440"/>
    <n v="2.9036577350819715E-6"/>
    <n v="0.99905485930640991"/>
    <b v="0"/>
  </r>
  <r>
    <n v="820"/>
    <m/>
    <x v="18"/>
    <m/>
    <s v="Tom Ellis"/>
    <n v="0"/>
    <n v="1435.21"/>
    <n v="0"/>
    <n v="0"/>
    <n v="0"/>
    <n v="0"/>
    <n v="0"/>
    <n v="0"/>
    <n v="1435.21"/>
    <n v="2.8939990402548587E-6"/>
    <n v="0.99905775330545021"/>
    <b v="0"/>
  </r>
  <r>
    <n v="433"/>
    <m/>
    <x v="18"/>
    <m/>
    <s v="KEENE ENTERPRISES LLC"/>
    <n v="1435"/>
    <n v="0"/>
    <n v="0"/>
    <n v="0"/>
    <n v="0"/>
    <n v="0"/>
    <n v="0"/>
    <n v="0"/>
    <n v="1435"/>
    <n v="2.8935755901684925E-6"/>
    <n v="0.99906064688104035"/>
    <b v="0"/>
  </r>
  <r>
    <n v="1123"/>
    <m/>
    <x v="18"/>
    <m/>
    <s v="SHAUNA MCVEY"/>
    <n v="0"/>
    <n v="0"/>
    <n v="480"/>
    <n v="504"/>
    <n v="240"/>
    <n v="200"/>
    <n v="0"/>
    <n v="0"/>
    <n v="1424"/>
    <n v="2.8713948713588386E-6"/>
    <n v="0.99906351827591167"/>
    <b v="0"/>
  </r>
  <r>
    <n v="827"/>
    <m/>
    <x v="18"/>
    <m/>
    <s v="BLUE HEN SPRING WORKS INC"/>
    <n v="0"/>
    <n v="1194.6500000000001"/>
    <n v="0"/>
    <n v="0"/>
    <n v="0"/>
    <n v="0"/>
    <n v="0"/>
    <n v="227.32"/>
    <n v="1421.97"/>
    <n v="2.8673015205239658E-6"/>
    <n v="0.99906638557743221"/>
    <b v="0"/>
  </r>
  <r>
    <n v="1471"/>
    <m/>
    <x v="18"/>
    <m/>
    <s v="ROSEMARIE &amp; ROBERT SIMMONS"/>
    <n v="0"/>
    <n v="0"/>
    <n v="0"/>
    <n v="0"/>
    <n v="1414.1"/>
    <n v="0"/>
    <n v="0"/>
    <n v="0"/>
    <n v="1414.1"/>
    <n v="2.8514322244301495E-6"/>
    <n v="0.99906923700965666"/>
    <b v="0"/>
  </r>
  <r>
    <n v="618"/>
    <m/>
    <x v="18"/>
    <m/>
    <s v="JACK A NOEL"/>
    <n v="255"/>
    <n v="255"/>
    <n v="300"/>
    <n v="85"/>
    <n v="0"/>
    <n v="255"/>
    <n v="0"/>
    <n v="255"/>
    <n v="1405"/>
    <n v="2.833082720687618E-6"/>
    <n v="0.99907207009237731"/>
    <b v="0"/>
  </r>
  <r>
    <n v="540"/>
    <m/>
    <x v="18"/>
    <m/>
    <s v="MIRANDA BLAS"/>
    <n v="580"/>
    <n v="0"/>
    <n v="500"/>
    <n v="320"/>
    <n v="0"/>
    <n v="0"/>
    <n v="0"/>
    <n v="0"/>
    <n v="1400"/>
    <n v="2.823000575774139E-6"/>
    <n v="0.99907489309295305"/>
    <b v="0"/>
  </r>
  <r>
    <n v="1079"/>
    <m/>
    <x v="18"/>
    <m/>
    <s v="EARL TIMMONS DBA VISION VALUATION"/>
    <n v="0"/>
    <n v="0"/>
    <n v="1400"/>
    <n v="0"/>
    <n v="0"/>
    <n v="0"/>
    <n v="0"/>
    <n v="0"/>
    <n v="1400"/>
    <n v="2.823000575774139E-6"/>
    <n v="0.9990777160935288"/>
    <b v="0"/>
  </r>
  <r>
    <n v="1271"/>
    <m/>
    <x v="18"/>
    <m/>
    <s v="GUARDIAN FENCE CO"/>
    <n v="0"/>
    <n v="0"/>
    <n v="0"/>
    <n v="1400"/>
    <n v="0"/>
    <n v="0"/>
    <n v="0"/>
    <n v="0"/>
    <n v="1400"/>
    <n v="2.823000575774139E-6"/>
    <n v="0.99908053909410455"/>
    <b v="0"/>
  </r>
  <r>
    <n v="1298"/>
    <m/>
    <x v="18"/>
    <m/>
    <s v="DANIEL P PAISLEY"/>
    <n v="0"/>
    <n v="0"/>
    <n v="0"/>
    <n v="700"/>
    <n v="0"/>
    <n v="0"/>
    <n v="0"/>
    <n v="700"/>
    <n v="1400"/>
    <n v="2.823000575774139E-6"/>
    <n v="0.99908336209468029"/>
    <b v="0"/>
  </r>
  <r>
    <n v="1472"/>
    <m/>
    <x v="18"/>
    <m/>
    <s v="LIZ SYMBORSKI"/>
    <n v="0"/>
    <n v="0"/>
    <n v="0"/>
    <n v="0"/>
    <n v="1400"/>
    <n v="0"/>
    <n v="0"/>
    <n v="0"/>
    <n v="1400"/>
    <n v="2.823000575774139E-6"/>
    <n v="0.99908618509525604"/>
    <b v="0"/>
  </r>
  <r>
    <n v="2065"/>
    <m/>
    <x v="18"/>
    <m/>
    <s v="JOHN COVINGTON"/>
    <n v="0"/>
    <n v="0"/>
    <n v="0"/>
    <n v="0"/>
    <n v="0"/>
    <n v="0"/>
    <n v="1375.2"/>
    <n v="0"/>
    <n v="1375.2"/>
    <n v="2.7729931370032826E-6"/>
    <n v="0.99908895808839304"/>
    <b v="0"/>
  </r>
  <r>
    <n v="1792"/>
    <m/>
    <x v="18"/>
    <m/>
    <s v="EASE YOUR MIND ENTERTAINMENT"/>
    <n v="0"/>
    <n v="0"/>
    <n v="0"/>
    <n v="0"/>
    <n v="0"/>
    <n v="700"/>
    <n v="0"/>
    <n v="675"/>
    <n v="1375"/>
    <n v="2.7725898512067434E-6"/>
    <n v="0.99909173067824419"/>
    <b v="0"/>
  </r>
  <r>
    <n v="1921"/>
    <m/>
    <x v="18"/>
    <m/>
    <s v="Internal Revenue Service"/>
    <n v="0"/>
    <n v="0"/>
    <n v="0"/>
    <n v="0"/>
    <n v="0"/>
    <n v="75"/>
    <n v="650"/>
    <n v="650"/>
    <n v="1375"/>
    <n v="2.7725898512067434E-6"/>
    <n v="0.99909450326809535"/>
    <b v="0"/>
  </r>
  <r>
    <n v="1272"/>
    <m/>
    <x v="18"/>
    <m/>
    <s v="MOMAR INC"/>
    <n v="0"/>
    <n v="0"/>
    <n v="0"/>
    <n v="1355.37"/>
    <n v="0"/>
    <n v="0"/>
    <n v="0"/>
    <n v="0"/>
    <n v="1355.37"/>
    <n v="2.7330073502764247E-6"/>
    <n v="0.99909723627544567"/>
    <b v="0"/>
  </r>
  <r>
    <n v="1273"/>
    <m/>
    <x v="18"/>
    <m/>
    <s v="KONO NATION LLC"/>
    <n v="0"/>
    <n v="0"/>
    <n v="0"/>
    <n v="1350"/>
    <n v="0"/>
    <n v="0"/>
    <n v="0"/>
    <n v="0"/>
    <n v="1350"/>
    <n v="2.7221791266393484E-6"/>
    <n v="0.99909995845457233"/>
    <b v="0"/>
  </r>
  <r>
    <n v="1785"/>
    <m/>
    <x v="18"/>
    <m/>
    <s v="CLIFFORD K MCCALL"/>
    <n v="0"/>
    <n v="0"/>
    <n v="0"/>
    <n v="0"/>
    <n v="0"/>
    <n v="800"/>
    <n v="550"/>
    <n v="0"/>
    <n v="1350"/>
    <n v="2.7221791266393484E-6"/>
    <n v="0.999102680633699"/>
    <b v="0"/>
  </r>
  <r>
    <n v="2321"/>
    <m/>
    <x v="18"/>
    <m/>
    <s v="U S DEPARTMENT OF THE INTERIOR NATIONAL"/>
    <n v="0"/>
    <n v="0"/>
    <n v="0"/>
    <n v="0"/>
    <n v="0"/>
    <n v="0"/>
    <n v="0"/>
    <n v="1350"/>
    <n v="1350"/>
    <n v="2.7221791266393484E-6"/>
    <n v="0.99910540281282567"/>
    <b v="0"/>
  </r>
  <r>
    <n v="543"/>
    <m/>
    <x v="18"/>
    <m/>
    <s v="JAMES DILORENZO"/>
    <n v="565"/>
    <n v="0"/>
    <n v="265"/>
    <n v="0"/>
    <n v="200"/>
    <n v="0"/>
    <n v="0"/>
    <n v="300"/>
    <n v="1330"/>
    <n v="2.6818505469854318E-6"/>
    <n v="0.99910808466337264"/>
    <b v="0"/>
  </r>
  <r>
    <n v="1116"/>
    <m/>
    <x v="18"/>
    <m/>
    <s v="ARC DOCUMENT SOLUTIONS"/>
    <n v="0"/>
    <n v="0"/>
    <n v="608"/>
    <n v="0"/>
    <n v="0"/>
    <n v="0"/>
    <n v="351.64"/>
    <n v="370.24"/>
    <n v="1329.88"/>
    <n v="2.6816085755075089E-6"/>
    <n v="0.99911076627194817"/>
    <b v="0"/>
  </r>
  <r>
    <n v="2322"/>
    <m/>
    <x v="18"/>
    <m/>
    <s v="MARTY CROSS"/>
    <n v="0"/>
    <n v="0"/>
    <n v="0"/>
    <n v="0"/>
    <n v="0"/>
    <n v="0"/>
    <n v="0"/>
    <n v="1327.08"/>
    <n v="1327.08"/>
    <n v="2.6759625743559599E-6"/>
    <n v="0.99911344223452248"/>
    <b v="0"/>
  </r>
  <r>
    <n v="438"/>
    <m/>
    <x v="18"/>
    <m/>
    <s v="Lyons Doughty &amp; Veldhuis"/>
    <n v="1326.76"/>
    <n v="0"/>
    <n v="0"/>
    <n v="0"/>
    <n v="0"/>
    <n v="0"/>
    <n v="0"/>
    <n v="0"/>
    <n v="1326.76"/>
    <n v="2.6753173170814973E-6"/>
    <n v="0.9991161175518396"/>
    <b v="0"/>
  </r>
  <r>
    <n v="1475"/>
    <m/>
    <x v="18"/>
    <m/>
    <s v="B &amp; B ENTERPRISE"/>
    <n v="0"/>
    <n v="0"/>
    <n v="0"/>
    <n v="0"/>
    <n v="1325"/>
    <n v="0"/>
    <n v="0"/>
    <n v="0"/>
    <n v="1325"/>
    <n v="2.6717684020719528E-6"/>
    <n v="0.99911878932024167"/>
    <b v="0"/>
  </r>
  <r>
    <n v="2068"/>
    <m/>
    <x v="18"/>
    <m/>
    <s v="DENNIS DINGER"/>
    <n v="0"/>
    <n v="0"/>
    <n v="0"/>
    <n v="0"/>
    <n v="0"/>
    <n v="0"/>
    <n v="1319.16"/>
    <n v="0"/>
    <n v="1319.16"/>
    <n v="2.6599924568130094E-6"/>
    <n v="0.99912144931269853"/>
    <b v="0"/>
  </r>
  <r>
    <n v="2099"/>
    <m/>
    <x v="18"/>
    <m/>
    <s v="LIBERTY ELEVATOR EXPERTS LLC"/>
    <n v="0"/>
    <n v="0"/>
    <n v="0"/>
    <n v="0"/>
    <n v="0"/>
    <n v="0"/>
    <n v="714"/>
    <n v="596"/>
    <n v="1310"/>
    <n v="2.6415219673315158E-6"/>
    <n v="0.99912409083466591"/>
    <b v="0"/>
  </r>
  <r>
    <n v="1476"/>
    <m/>
    <x v="18"/>
    <m/>
    <s v="ANDERSON LANDSCAPING LLC"/>
    <n v="0"/>
    <n v="0"/>
    <n v="0"/>
    <n v="0"/>
    <n v="1300"/>
    <n v="0"/>
    <n v="0"/>
    <n v="0"/>
    <n v="1300"/>
    <n v="2.6213576775045577E-6"/>
    <n v="0.99912671219234339"/>
    <b v="0"/>
  </r>
  <r>
    <n v="1763"/>
    <m/>
    <x v="18"/>
    <m/>
    <s v="EDGAR MAULL"/>
    <n v="0"/>
    <n v="0"/>
    <n v="0"/>
    <n v="0"/>
    <n v="0"/>
    <n v="1300"/>
    <n v="0"/>
    <n v="0"/>
    <n v="1300"/>
    <n v="2.6213576775045577E-6"/>
    <n v="0.99912933355002087"/>
    <b v="0"/>
  </r>
  <r>
    <n v="1834"/>
    <m/>
    <x v="18"/>
    <m/>
    <s v="FAITH BROWN WOOD"/>
    <n v="0"/>
    <n v="0"/>
    <n v="0"/>
    <n v="0"/>
    <n v="0"/>
    <n v="325"/>
    <n v="325"/>
    <n v="650"/>
    <n v="1300"/>
    <n v="2.6213576775045577E-6"/>
    <n v="0.99913195490769835"/>
    <b v="0"/>
  </r>
  <r>
    <n v="1477"/>
    <m/>
    <x v="18"/>
    <m/>
    <s v="BILBROUGHS ELECTRIC INC"/>
    <n v="0"/>
    <n v="0"/>
    <n v="0"/>
    <n v="0"/>
    <n v="1298"/>
    <n v="0"/>
    <n v="0"/>
    <n v="0"/>
    <n v="1298"/>
    <n v="2.617324819539166E-6"/>
    <n v="0.99913457223251789"/>
    <b v="0"/>
  </r>
  <r>
    <n v="1590"/>
    <m/>
    <x v="18"/>
    <m/>
    <s v="DAVID L GIVENS"/>
    <n v="0"/>
    <n v="0"/>
    <n v="0"/>
    <n v="0"/>
    <n v="199.3"/>
    <n v="0"/>
    <n v="368.54"/>
    <n v="724.34"/>
    <n v="1292.18"/>
    <n v="2.6055892028598766E-6"/>
    <n v="0.99913717782172073"/>
    <b v="0"/>
  </r>
  <r>
    <n v="909"/>
    <m/>
    <x v="18"/>
    <m/>
    <s v="C&amp;B PLUMBING LLC"/>
    <n v="0"/>
    <n v="238"/>
    <n v="1053.5"/>
    <n v="0"/>
    <n v="0"/>
    <n v="0"/>
    <n v="0"/>
    <n v="0"/>
    <n v="1291.5"/>
    <n v="2.6042180311516433E-6"/>
    <n v="0.99913978203975184"/>
    <b v="0"/>
  </r>
  <r>
    <n v="2070"/>
    <m/>
    <x v="18"/>
    <m/>
    <s v="STAR LINEN"/>
    <n v="0"/>
    <n v="0"/>
    <n v="0"/>
    <n v="0"/>
    <n v="0"/>
    <n v="0"/>
    <n v="1285.19"/>
    <n v="0"/>
    <n v="1285.19"/>
    <n v="2.5914943642708328E-6"/>
    <n v="0.99914237353411617"/>
    <b v="0"/>
  </r>
  <r>
    <n v="1479"/>
    <m/>
    <x v="18"/>
    <m/>
    <s v="SETTLEMENT PAYMENT"/>
    <n v="0"/>
    <n v="0"/>
    <n v="0"/>
    <n v="0"/>
    <n v="1273.6099999999999"/>
    <n v="0"/>
    <n v="0"/>
    <n v="0"/>
    <n v="1273.6099999999999"/>
    <n v="2.568144116651215E-6"/>
    <n v="0.99914494167823287"/>
    <b v="0"/>
  </r>
  <r>
    <n v="514"/>
    <m/>
    <x v="18"/>
    <m/>
    <s v="CHANNEL CRAFT &amp; DISTRIB INC"/>
    <n v="682.37"/>
    <n v="0"/>
    <n v="0"/>
    <n v="0"/>
    <n v="0"/>
    <n v="0"/>
    <n v="354.07"/>
    <n v="230.92"/>
    <n v="1267.3600000000001"/>
    <n v="2.5555414355093666E-6"/>
    <n v="0.99914749721966833"/>
    <b v="0"/>
  </r>
  <r>
    <n v="2071"/>
    <m/>
    <x v="18"/>
    <m/>
    <s v="HORNS MACHINE SHOP INC"/>
    <n v="0"/>
    <n v="0"/>
    <n v="0"/>
    <n v="0"/>
    <n v="0"/>
    <n v="0"/>
    <n v="1260"/>
    <n v="0"/>
    <n v="1260"/>
    <n v="2.5407005181967252E-6"/>
    <n v="0.99915003792018653"/>
    <b v="0"/>
  </r>
  <r>
    <n v="1324"/>
    <m/>
    <x v="18"/>
    <m/>
    <s v="DON BRILL LLC"/>
    <n v="0"/>
    <n v="0"/>
    <n v="0"/>
    <n v="400"/>
    <n v="0"/>
    <n v="0"/>
    <n v="450"/>
    <n v="400"/>
    <n v="1250"/>
    <n v="2.5205362283697667E-6"/>
    <n v="0.99915255845641493"/>
    <b v="0"/>
  </r>
  <r>
    <n v="1781"/>
    <m/>
    <x v="18"/>
    <m/>
    <s v="C A TYRE ENTERTAINMENT"/>
    <n v="0"/>
    <n v="0"/>
    <n v="0"/>
    <n v="0"/>
    <n v="0"/>
    <n v="850"/>
    <n v="0"/>
    <n v="400"/>
    <n v="1250"/>
    <n v="2.5205362283697667E-6"/>
    <n v="0.99915507899264333"/>
    <b v="0"/>
  </r>
  <r>
    <n v="2323"/>
    <m/>
    <x v="18"/>
    <m/>
    <s v="KEENE ENTERPRISES INC"/>
    <n v="0"/>
    <n v="0"/>
    <n v="0"/>
    <n v="0"/>
    <n v="0"/>
    <n v="0"/>
    <n v="0"/>
    <n v="1250"/>
    <n v="1250"/>
    <n v="2.5205362283697667E-6"/>
    <n v="0.99915759952887173"/>
    <b v="0"/>
  </r>
  <r>
    <n v="1764"/>
    <m/>
    <x v="18"/>
    <m/>
    <s v="SUSSEX COUNTY 4-H"/>
    <n v="0"/>
    <n v="0"/>
    <n v="0"/>
    <n v="0"/>
    <n v="0"/>
    <n v="1248"/>
    <n v="0"/>
    <n v="0"/>
    <n v="1248"/>
    <n v="2.5165033704043753E-6"/>
    <n v="0.99916011603224208"/>
    <b v="0"/>
  </r>
  <r>
    <n v="1295"/>
    <m/>
    <x v="18"/>
    <m/>
    <s v="STAFF DEVELOPMENT AND TRAINING"/>
    <n v="0"/>
    <n v="0"/>
    <n v="0"/>
    <n v="750"/>
    <n v="392"/>
    <n v="0"/>
    <n v="100"/>
    <n v="0"/>
    <n v="1242"/>
    <n v="2.5044047965082004E-6"/>
    <n v="0.99916262043703863"/>
    <b v="0"/>
  </r>
  <r>
    <n v="565"/>
    <m/>
    <x v="18"/>
    <m/>
    <s v="LISA MCHUGH"/>
    <n v="480"/>
    <n v="480"/>
    <n v="280"/>
    <n v="0"/>
    <n v="0"/>
    <n v="0"/>
    <n v="0"/>
    <n v="0"/>
    <n v="1240"/>
    <n v="2.5003719385428087E-6"/>
    <n v="0.99916512080897713"/>
    <b v="0"/>
  </r>
  <r>
    <n v="447"/>
    <m/>
    <x v="18"/>
    <m/>
    <s v="PATTERHN IVES LLC"/>
    <n v="1235.6500000000001"/>
    <n v="0"/>
    <n v="0"/>
    <n v="0"/>
    <n v="0"/>
    <n v="0"/>
    <n v="0"/>
    <n v="0"/>
    <n v="1235.6500000000001"/>
    <n v="2.4916004724680823E-6"/>
    <n v="0.99916761240944962"/>
    <b v="0"/>
  </r>
  <r>
    <n v="2324"/>
    <m/>
    <x v="18"/>
    <m/>
    <s v="ESTATE OF GREGORY SALVATO"/>
    <n v="0"/>
    <n v="0"/>
    <n v="0"/>
    <n v="0"/>
    <n v="0"/>
    <n v="0"/>
    <n v="0"/>
    <n v="1232.29"/>
    <n v="1232.29"/>
    <n v="2.4848252710862239E-6"/>
    <n v="0.99917009723472072"/>
    <b v="0"/>
  </r>
  <r>
    <n v="448"/>
    <m/>
    <x v="18"/>
    <m/>
    <s v="SHORTS MARINE INC"/>
    <n v="1230.17"/>
    <n v="0"/>
    <n v="0"/>
    <n v="0"/>
    <n v="0"/>
    <n v="0"/>
    <n v="0"/>
    <n v="0"/>
    <n v="1230.17"/>
    <n v="2.4805504416429091E-6"/>
    <n v="0.99917257778516233"/>
    <b v="0"/>
  </r>
  <r>
    <n v="647"/>
    <m/>
    <x v="18"/>
    <m/>
    <s v="FIRE PREVENTION COMMISSION"/>
    <n v="155"/>
    <n v="1045"/>
    <n v="30"/>
    <n v="0"/>
    <n v="0"/>
    <n v="0"/>
    <n v="0"/>
    <n v="0"/>
    <n v="1230"/>
    <n v="2.4802076487158506E-6"/>
    <n v="0.99917505799281103"/>
    <b v="0"/>
  </r>
  <r>
    <n v="2085"/>
    <m/>
    <x v="18"/>
    <m/>
    <s v="WELL BY NATURE"/>
    <n v="0"/>
    <n v="0"/>
    <n v="0"/>
    <n v="0"/>
    <n v="0"/>
    <n v="0"/>
    <n v="960"/>
    <n v="270"/>
    <n v="1230"/>
    <n v="2.4802076487158506E-6"/>
    <n v="0.99917753820045974"/>
    <b v="0"/>
  </r>
  <r>
    <n v="2072"/>
    <m/>
    <x v="18"/>
    <m/>
    <s v="DATA GUARD INC"/>
    <n v="0"/>
    <n v="0"/>
    <n v="0"/>
    <n v="0"/>
    <n v="0"/>
    <n v="0"/>
    <n v="1229.3900000000001"/>
    <n v="0"/>
    <n v="1229.3900000000001"/>
    <n v="2.4789776270364065E-6"/>
    <n v="0.9991800171780868"/>
    <b v="0"/>
  </r>
  <r>
    <n v="2106"/>
    <m/>
    <x v="18"/>
    <m/>
    <s v="PPC LUBRICANTS INC"/>
    <n v="0"/>
    <n v="0"/>
    <n v="0"/>
    <n v="0"/>
    <n v="0"/>
    <n v="0"/>
    <n v="626.64"/>
    <n v="598.32000000000005"/>
    <n v="1224.96"/>
    <n v="2.4700448466430639E-6"/>
    <n v="0.99918248722293346"/>
    <b v="0"/>
  </r>
  <r>
    <n v="834"/>
    <m/>
    <x v="18"/>
    <m/>
    <s v="RACHEL SHEFFIELD"/>
    <n v="0"/>
    <n v="1014.4"/>
    <n v="0"/>
    <n v="201.74"/>
    <n v="0"/>
    <n v="0"/>
    <n v="0"/>
    <n v="0"/>
    <n v="1216.1399999999999"/>
    <n v="2.4522599430156865E-6"/>
    <n v="0.99918493948287646"/>
    <b v="0"/>
  </r>
  <r>
    <n v="1511"/>
    <m/>
    <x v="18"/>
    <m/>
    <s v="PENNSY SUPPLY INC"/>
    <n v="0"/>
    <n v="0"/>
    <n v="0"/>
    <n v="0"/>
    <n v="599.78"/>
    <n v="607.98"/>
    <n v="0"/>
    <n v="0"/>
    <n v="1207.76"/>
    <n v="2.4353622681406955E-6"/>
    <n v="0.99918737484514464"/>
    <b v="0"/>
  </r>
  <r>
    <n v="617"/>
    <m/>
    <x v="18"/>
    <m/>
    <s v="WALDALE MANUFACTURING LTD"/>
    <n v="265.04000000000002"/>
    <n v="222.43"/>
    <n v="177.77"/>
    <n v="188.96"/>
    <n v="203.54"/>
    <n v="147.09"/>
    <n v="0"/>
    <n v="0"/>
    <n v="1204.83"/>
    <n v="2.429454131221397E-6"/>
    <n v="0.99918980429927584"/>
    <b v="0"/>
  </r>
  <r>
    <n v="453"/>
    <m/>
    <x v="18"/>
    <m/>
    <s v="KAT PIG HOMES LLC"/>
    <n v="1200"/>
    <n v="0"/>
    <n v="0"/>
    <n v="0"/>
    <n v="0"/>
    <n v="0"/>
    <n v="0"/>
    <n v="0"/>
    <n v="1200"/>
    <n v="2.4197147792349761E-6"/>
    <n v="0.99919222401405505"/>
    <b v="0"/>
  </r>
  <r>
    <n v="518"/>
    <m/>
    <x v="18"/>
    <m/>
    <s v="JAMES B MARSILII"/>
    <n v="650"/>
    <n v="0"/>
    <n v="0"/>
    <n v="0"/>
    <n v="0"/>
    <n v="550"/>
    <n v="0"/>
    <n v="0"/>
    <n v="1200"/>
    <n v="2.4197147792349761E-6"/>
    <n v="0.99919464372883426"/>
    <b v="0"/>
  </r>
  <r>
    <n v="826"/>
    <m/>
    <x v="18"/>
    <m/>
    <s v="LEE SWIFT"/>
    <n v="0"/>
    <n v="1200"/>
    <n v="0"/>
    <n v="0"/>
    <n v="0"/>
    <n v="0"/>
    <n v="0"/>
    <n v="0"/>
    <n v="1200"/>
    <n v="2.4197147792349761E-6"/>
    <n v="0.99919706344361348"/>
    <b v="0"/>
  </r>
  <r>
    <n v="891"/>
    <m/>
    <x v="18"/>
    <m/>
    <s v="RYAN BACHER"/>
    <n v="0"/>
    <n v="400"/>
    <n v="400"/>
    <n v="0"/>
    <n v="0"/>
    <n v="400"/>
    <n v="0"/>
    <n v="0"/>
    <n v="1200"/>
    <n v="2.4197147792349761E-6"/>
    <n v="0.99919948315839269"/>
    <b v="0"/>
  </r>
  <r>
    <n v="1130"/>
    <m/>
    <x v="18"/>
    <m/>
    <s v="DESMOND M KAHN"/>
    <n v="0"/>
    <n v="0"/>
    <n v="400"/>
    <n v="0"/>
    <n v="400"/>
    <n v="0"/>
    <n v="0"/>
    <n v="400"/>
    <n v="1200"/>
    <n v="2.4197147792349761E-6"/>
    <n v="0.9992019028731719"/>
    <b v="0"/>
  </r>
  <r>
    <n v="1480"/>
    <m/>
    <x v="18"/>
    <m/>
    <s v="GROUND PENETRATING RADAR SYSTEMS INC"/>
    <n v="0"/>
    <n v="0"/>
    <n v="0"/>
    <n v="0"/>
    <n v="1200"/>
    <n v="0"/>
    <n v="0"/>
    <n v="0"/>
    <n v="1200"/>
    <n v="2.4197147792349761E-6"/>
    <n v="0.99920432258795111"/>
    <b v="0"/>
  </r>
  <r>
    <n v="2074"/>
    <m/>
    <x v="18"/>
    <m/>
    <s v="LEWES-REHOBOTH ROTARY CLUB"/>
    <n v="0"/>
    <n v="0"/>
    <n v="0"/>
    <n v="0"/>
    <n v="0"/>
    <n v="0"/>
    <n v="1200"/>
    <n v="0"/>
    <n v="1200"/>
    <n v="2.4197147792349761E-6"/>
    <n v="0.99920674230273032"/>
    <b v="0"/>
  </r>
  <r>
    <n v="2075"/>
    <m/>
    <x v="18"/>
    <m/>
    <s v="DEVINE'S INC"/>
    <n v="0"/>
    <n v="0"/>
    <n v="0"/>
    <n v="0"/>
    <n v="0"/>
    <n v="0"/>
    <n v="1200"/>
    <n v="0"/>
    <n v="1200"/>
    <n v="2.4197147792349761E-6"/>
    <n v="0.99920916201750953"/>
    <b v="0"/>
  </r>
  <r>
    <n v="2325"/>
    <m/>
    <x v="18"/>
    <m/>
    <s v="THOMAS T NEALEIGH"/>
    <n v="0"/>
    <n v="0"/>
    <n v="0"/>
    <n v="0"/>
    <n v="0"/>
    <n v="0"/>
    <n v="0"/>
    <n v="1200"/>
    <n v="1200"/>
    <n v="2.4197147792349761E-6"/>
    <n v="0.99921158173228874"/>
    <b v="0"/>
  </r>
  <r>
    <n v="2326"/>
    <m/>
    <x v="18"/>
    <m/>
    <s v="BRADS FUEL FILTERING"/>
    <n v="0"/>
    <n v="0"/>
    <n v="0"/>
    <n v="0"/>
    <n v="0"/>
    <n v="0"/>
    <n v="0"/>
    <n v="1200"/>
    <n v="1200"/>
    <n v="2.4197147792349761E-6"/>
    <n v="0.99921400144706796"/>
    <b v="0"/>
  </r>
  <r>
    <n v="1082"/>
    <m/>
    <x v="18"/>
    <m/>
    <s v="SCENARIO LEARNING LLC DBA VECTOR"/>
    <n v="0"/>
    <n v="0"/>
    <n v="1199.0999999999999"/>
    <n v="0"/>
    <n v="0"/>
    <n v="0"/>
    <n v="0"/>
    <n v="0"/>
    <n v="1199.0999999999999"/>
    <n v="2.4178999931505496E-6"/>
    <n v="0.99921641934706107"/>
    <b v="0"/>
  </r>
  <r>
    <n v="456"/>
    <m/>
    <x v="18"/>
    <m/>
    <s v="LISA SUMPTION"/>
    <n v="1194.3900000000001"/>
    <n v="0"/>
    <n v="0"/>
    <n v="0"/>
    <n v="0"/>
    <n v="0"/>
    <n v="0"/>
    <n v="0"/>
    <n v="1194.3900000000001"/>
    <n v="2.4084026126420529E-6"/>
    <n v="0.99921882774967374"/>
    <b v="0"/>
  </r>
  <r>
    <n v="2076"/>
    <m/>
    <x v="18"/>
    <m/>
    <s v="WILCOX LANDSCAPING"/>
    <n v="0"/>
    <n v="0"/>
    <n v="0"/>
    <n v="0"/>
    <n v="0"/>
    <n v="0"/>
    <n v="1188"/>
    <n v="0"/>
    <n v="1188"/>
    <n v="2.3955176314426263E-6"/>
    <n v="0.99922122326730523"/>
    <b v="0"/>
  </r>
  <r>
    <n v="1616"/>
    <m/>
    <x v="18"/>
    <m/>
    <s v="ELLEN S DIERENFELD"/>
    <n v="0"/>
    <n v="0"/>
    <n v="0"/>
    <n v="0"/>
    <n v="93.75"/>
    <n v="112.5"/>
    <n v="281.25"/>
    <n v="693.75"/>
    <n v="1181.25"/>
    <n v="2.3819067358094298E-6"/>
    <n v="0.99922360517404107"/>
    <b v="0"/>
  </r>
  <r>
    <n v="2327"/>
    <m/>
    <x v="18"/>
    <m/>
    <s v="DE STATE POLICE"/>
    <n v="0"/>
    <n v="0"/>
    <n v="0"/>
    <n v="0"/>
    <n v="0"/>
    <n v="0"/>
    <n v="0"/>
    <n v="1156"/>
    <n v="1156"/>
    <n v="2.3309919039963604E-6"/>
    <n v="0.99922593616594502"/>
    <b v="0"/>
  </r>
  <r>
    <n v="459"/>
    <m/>
    <x v="18"/>
    <m/>
    <s v="NORTH CREEK NURSERIES"/>
    <n v="1155.55"/>
    <n v="0"/>
    <n v="0"/>
    <n v="0"/>
    <n v="0"/>
    <n v="0"/>
    <n v="0"/>
    <n v="0"/>
    <n v="1155.55"/>
    <n v="2.3300845109541473E-6"/>
    <n v="0.99922826625045602"/>
    <b v="0"/>
  </r>
  <r>
    <n v="1798"/>
    <m/>
    <x v="18"/>
    <m/>
    <s v="BRAVO LOCK &amp; SAFE CO"/>
    <n v="0"/>
    <n v="0"/>
    <n v="0"/>
    <n v="0"/>
    <n v="0"/>
    <n v="614"/>
    <n v="539"/>
    <n v="0"/>
    <n v="1153"/>
    <n v="2.3249426170482731E-6"/>
    <n v="0.99923059119307311"/>
    <b v="0"/>
  </r>
  <r>
    <n v="1481"/>
    <m/>
    <x v="18"/>
    <m/>
    <s v="GREATER THAN MINISTRIES"/>
    <n v="0"/>
    <n v="0"/>
    <n v="0"/>
    <n v="0"/>
    <n v="1152"/>
    <n v="0"/>
    <n v="0"/>
    <n v="0"/>
    <n v="1152"/>
    <n v="2.3229261880655772E-6"/>
    <n v="0.99923291411926118"/>
    <b v="0"/>
  </r>
  <r>
    <n v="603"/>
    <m/>
    <x v="18"/>
    <m/>
    <s v="TOMMY KEITH THE ACOUSTIC JAM"/>
    <n v="350"/>
    <n v="350"/>
    <n v="250"/>
    <n v="200"/>
    <n v="0"/>
    <n v="0"/>
    <n v="0"/>
    <n v="0"/>
    <n v="1150"/>
    <n v="2.3188933301001855E-6"/>
    <n v="0.99923523301259132"/>
    <b v="0"/>
  </r>
  <r>
    <n v="863"/>
    <m/>
    <x v="18"/>
    <m/>
    <s v="JOHN COLGAN-DAVIS"/>
    <n v="0"/>
    <n v="600"/>
    <n v="0"/>
    <n v="0"/>
    <n v="0"/>
    <n v="0"/>
    <n v="550"/>
    <n v="0"/>
    <n v="1150"/>
    <n v="2.3188933301001855E-6"/>
    <n v="0.99923755190592145"/>
    <b v="0"/>
  </r>
  <r>
    <n v="1111"/>
    <m/>
    <x v="18"/>
    <m/>
    <s v="RANDALL SHINE"/>
    <n v="0"/>
    <n v="0"/>
    <n v="650"/>
    <n v="500"/>
    <n v="0"/>
    <n v="0"/>
    <n v="0"/>
    <n v="0"/>
    <n v="1150"/>
    <n v="2.3188933301001855E-6"/>
    <n v="0.99923987079925158"/>
    <b v="0"/>
  </r>
  <r>
    <n v="2078"/>
    <m/>
    <x v="18"/>
    <m/>
    <s v="CHRIS URBAN"/>
    <n v="0"/>
    <n v="0"/>
    <n v="0"/>
    <n v="0"/>
    <n v="0"/>
    <n v="0"/>
    <n v="1150"/>
    <n v="0"/>
    <n v="1150"/>
    <n v="2.3188933301001855E-6"/>
    <n v="0.99924218969258172"/>
    <b v="0"/>
  </r>
  <r>
    <n v="2328"/>
    <m/>
    <x v="18"/>
    <m/>
    <s v="DELAWARE BUILDING SUPPLY INC"/>
    <n v="0"/>
    <n v="0"/>
    <n v="0"/>
    <n v="0"/>
    <n v="0"/>
    <n v="0"/>
    <n v="0"/>
    <n v="1147.2"/>
    <n v="1147.2"/>
    <n v="2.3132473289486374E-6"/>
    <n v="0.99924450293991063"/>
    <b v="0"/>
  </r>
  <r>
    <n v="1482"/>
    <m/>
    <x v="18"/>
    <m/>
    <s v="ANDREW GREENE"/>
    <n v="0"/>
    <n v="0"/>
    <n v="0"/>
    <n v="0"/>
    <n v="1145.31"/>
    <n v="0"/>
    <n v="0"/>
    <n v="0"/>
    <n v="1145.31"/>
    <n v="2.309436278171342E-6"/>
    <n v="0.99924681237618884"/>
    <b v="0"/>
  </r>
  <r>
    <n v="1333"/>
    <m/>
    <x v="18"/>
    <m/>
    <s v="MARK ZIMMERMANN"/>
    <n v="0"/>
    <n v="0"/>
    <n v="0"/>
    <n v="314.35000000000002"/>
    <n v="830"/>
    <n v="0"/>
    <n v="0"/>
    <n v="0"/>
    <n v="1144.3499999999999"/>
    <n v="2.3075005063479538E-6"/>
    <n v="0.99924911987669518"/>
    <b v="0"/>
  </r>
  <r>
    <n v="2198"/>
    <m/>
    <x v="18"/>
    <m/>
    <s v="MCDONALD SAFETY EQUIPMENT INC."/>
    <n v="0"/>
    <n v="0"/>
    <n v="0"/>
    <n v="0"/>
    <n v="0"/>
    <n v="0"/>
    <n v="127.35"/>
    <n v="1016.1"/>
    <n v="1143.45"/>
    <n v="2.3056857202635281E-6"/>
    <n v="0.99925142556241542"/>
    <b v="0"/>
  </r>
  <r>
    <n v="2329"/>
    <m/>
    <x v="18"/>
    <m/>
    <s v="DEJANA TRUCK &amp; UTILITY EQUIPMENT INC"/>
    <n v="0"/>
    <n v="0"/>
    <n v="0"/>
    <n v="0"/>
    <n v="0"/>
    <n v="0"/>
    <n v="0"/>
    <n v="1143"/>
    <n v="1143"/>
    <n v="2.3047783272213147E-6"/>
    <n v="0.99925373034074261"/>
    <b v="0"/>
  </r>
  <r>
    <n v="623"/>
    <m/>
    <x v="18"/>
    <m/>
    <s v="BIOMEDICAL WASTE SERVICES INC"/>
    <n v="214.97"/>
    <n v="179.14"/>
    <n v="87.54"/>
    <n v="101.4"/>
    <n v="118.5"/>
    <n v="177.75"/>
    <n v="98.75"/>
    <n v="158"/>
    <n v="1136.0500000000002"/>
    <n v="2.2907641457915794E-6"/>
    <n v="0.99925602110488843"/>
    <b v="0"/>
  </r>
  <r>
    <n v="570"/>
    <m/>
    <x v="18"/>
    <m/>
    <s v="JOHN LISTER"/>
    <n v="480"/>
    <n v="0"/>
    <n v="0"/>
    <n v="0"/>
    <n v="120"/>
    <n v="480"/>
    <n v="55.73"/>
    <n v="0"/>
    <n v="1135.73"/>
    <n v="2.2901188885171164E-6"/>
    <n v="0.99925831122377695"/>
    <b v="0"/>
  </r>
  <r>
    <n v="1483"/>
    <m/>
    <x v="18"/>
    <m/>
    <s v="BENJAMIN HANNAS"/>
    <n v="0"/>
    <n v="0"/>
    <n v="0"/>
    <n v="0"/>
    <n v="1125"/>
    <n v="0"/>
    <n v="0"/>
    <n v="0"/>
    <n v="1125"/>
    <n v="2.2684826055327904E-6"/>
    <n v="0.99926057970638249"/>
    <b v="0"/>
  </r>
  <r>
    <n v="1317"/>
    <m/>
    <x v="18"/>
    <m/>
    <s v="STEAMBOAT STICKER COMPANY"/>
    <n v="0"/>
    <n v="0"/>
    <n v="0"/>
    <n v="464"/>
    <n v="213"/>
    <n v="0"/>
    <n v="0"/>
    <n v="447"/>
    <n v="1124"/>
    <n v="2.2664661765500945E-6"/>
    <n v="0.999262846172559"/>
    <b v="0"/>
  </r>
  <r>
    <n v="1802"/>
    <m/>
    <x v="18"/>
    <m/>
    <s v="SANFORD SCHOOL"/>
    <n v="0"/>
    <n v="0"/>
    <n v="0"/>
    <n v="0"/>
    <n v="0"/>
    <n v="560"/>
    <n v="0"/>
    <n v="560"/>
    <n v="1120"/>
    <n v="2.2584004606193109E-6"/>
    <n v="0.99926510457301965"/>
    <b v="0"/>
  </r>
  <r>
    <n v="879"/>
    <m/>
    <x v="18"/>
    <m/>
    <s v="KENT SCHOCH"/>
    <n v="0"/>
    <n v="450"/>
    <n v="0"/>
    <n v="0"/>
    <n v="300"/>
    <n v="350"/>
    <n v="0"/>
    <n v="0"/>
    <n v="1100"/>
    <n v="2.2180718809653948E-6"/>
    <n v="0.99926732264490059"/>
    <b v="0"/>
  </r>
  <r>
    <n v="2182"/>
    <m/>
    <x v="18"/>
    <m/>
    <s v="STATE OF DELAWARE"/>
    <n v="0"/>
    <n v="0"/>
    <n v="0"/>
    <n v="0"/>
    <n v="0"/>
    <n v="0"/>
    <n v="187.5"/>
    <n v="900"/>
    <n v="1087.5"/>
    <n v="2.1928665186816973E-6"/>
    <n v="0.99926951551141929"/>
    <b v="0"/>
  </r>
  <r>
    <n v="625"/>
    <m/>
    <x v="18"/>
    <m/>
    <s v="DELAWARE STATE EDUCATION ASSOC"/>
    <n v="203.61"/>
    <n v="150.84"/>
    <n v="72.77"/>
    <n v="74.739999999999995"/>
    <n v="108.26"/>
    <n v="105.24"/>
    <n v="134.05000000000001"/>
    <n v="232.82"/>
    <n v="1082.33"/>
    <n v="2.1824415808411597E-6"/>
    <n v="0.99927169795300008"/>
    <b v="0"/>
  </r>
  <r>
    <n v="2080"/>
    <m/>
    <x v="18"/>
    <m/>
    <s v="COZY QUARTERS FARM"/>
    <n v="0"/>
    <n v="0"/>
    <n v="0"/>
    <n v="0"/>
    <n v="0"/>
    <n v="0"/>
    <n v="1075"/>
    <n v="0"/>
    <n v="1075"/>
    <n v="2.1676611563979993E-6"/>
    <n v="0.99927386561415643"/>
    <b v="0"/>
  </r>
  <r>
    <n v="644"/>
    <m/>
    <x v="18"/>
    <m/>
    <s v="STOCKLEY MATERIALS LLC"/>
    <n v="157.5"/>
    <n v="346.96"/>
    <n v="145.04"/>
    <n v="424"/>
    <n v="0"/>
    <n v="0"/>
    <n v="0"/>
    <n v="0"/>
    <n v="1073.5"/>
    <n v="2.1646365129239557E-6"/>
    <n v="0.99927603025066936"/>
    <b v="0"/>
  </r>
  <r>
    <n v="2330"/>
    <m/>
    <x v="18"/>
    <m/>
    <s v="BRUNSWICK CORPORATION"/>
    <n v="0"/>
    <n v="0"/>
    <n v="0"/>
    <n v="0"/>
    <n v="0"/>
    <n v="0"/>
    <n v="0"/>
    <n v="1069.82"/>
    <n v="1069.82"/>
    <n v="2.1572160542676352E-6"/>
    <n v="0.99927818746672359"/>
    <b v="0"/>
  </r>
  <r>
    <n v="2331"/>
    <m/>
    <x v="18"/>
    <m/>
    <s v="ATLANTIC SURVEYING AND MAPPING LLC"/>
    <n v="0"/>
    <n v="0"/>
    <n v="0"/>
    <n v="0"/>
    <n v="0"/>
    <n v="0"/>
    <n v="0"/>
    <n v="1065"/>
    <n v="1065"/>
    <n v="2.1474968665710413E-6"/>
    <n v="0.99928033496359014"/>
    <b v="0"/>
  </r>
  <r>
    <n v="1567"/>
    <m/>
    <x v="18"/>
    <m/>
    <s v="SUSSEX PRINTING CORP"/>
    <n v="0"/>
    <n v="0"/>
    <n v="0"/>
    <n v="0"/>
    <n v="225"/>
    <n v="0"/>
    <n v="0"/>
    <n v="836"/>
    <n v="1061"/>
    <n v="2.1394311506402582E-6"/>
    <n v="0.99928247439474083"/>
    <b v="0"/>
  </r>
  <r>
    <n v="2120"/>
    <m/>
    <x v="18"/>
    <m/>
    <s v="GEIGER BROTHERS"/>
    <n v="0"/>
    <n v="0"/>
    <n v="0"/>
    <n v="0"/>
    <n v="0"/>
    <n v="0"/>
    <n v="507.21"/>
    <n v="550.64"/>
    <n v="1057.8499999999999"/>
    <n v="2.133079399344766E-6"/>
    <n v="0.99928460747414016"/>
    <b v="0"/>
  </r>
  <r>
    <n v="529"/>
    <m/>
    <x v="18"/>
    <m/>
    <s v="LAURA MORATIN SANCHEZ"/>
    <n v="600"/>
    <n v="450"/>
    <n v="0"/>
    <n v="0"/>
    <n v="0"/>
    <n v="0"/>
    <n v="0"/>
    <n v="0"/>
    <n v="1050"/>
    <n v="2.1172504318306042E-6"/>
    <n v="0.99928672472457203"/>
    <b v="0"/>
  </r>
  <r>
    <n v="1084"/>
    <m/>
    <x v="18"/>
    <m/>
    <s v="BLUE JAR LLC"/>
    <n v="0"/>
    <n v="0"/>
    <n v="1050"/>
    <n v="0"/>
    <n v="0"/>
    <n v="0"/>
    <n v="0"/>
    <n v="0"/>
    <n v="1050"/>
    <n v="2.1172504318306042E-6"/>
    <n v="0.99928884197500389"/>
    <b v="0"/>
  </r>
  <r>
    <n v="1318"/>
    <m/>
    <x v="18"/>
    <m/>
    <s v="AMY SPAMPINATO"/>
    <n v="0"/>
    <n v="0"/>
    <n v="0"/>
    <n v="450"/>
    <n v="300"/>
    <n v="300"/>
    <n v="0"/>
    <n v="0"/>
    <n v="1050"/>
    <n v="2.1172504318306042E-6"/>
    <n v="0.99929095922543576"/>
    <b v="0"/>
  </r>
  <r>
    <n v="2114"/>
    <m/>
    <x v="18"/>
    <m/>
    <s v="KENNETH GILDEA"/>
    <n v="0"/>
    <n v="0"/>
    <n v="0"/>
    <n v="0"/>
    <n v="0"/>
    <n v="0"/>
    <n v="550"/>
    <n v="500"/>
    <n v="1050"/>
    <n v="2.1172504318306042E-6"/>
    <n v="0.99929307647586763"/>
    <b v="0"/>
  </r>
  <r>
    <n v="1361"/>
    <m/>
    <x v="18"/>
    <m/>
    <s v="FORESTRY SUPPLIERS INC"/>
    <n v="0"/>
    <n v="0"/>
    <n v="0"/>
    <n v="179.15"/>
    <n v="0"/>
    <n v="0"/>
    <n v="404.38"/>
    <n v="466.14"/>
    <n v="1049.67"/>
    <n v="2.1165850102663146E-6"/>
    <n v="0.99929519306087788"/>
    <b v="0"/>
  </r>
  <r>
    <n v="923"/>
    <m/>
    <x v="18"/>
    <m/>
    <s v="THE LAB AT SEASCAPE"/>
    <n v="0"/>
    <n v="160"/>
    <n v="550"/>
    <n v="0"/>
    <n v="160"/>
    <n v="175"/>
    <n v="0"/>
    <n v="0"/>
    <n v="1045"/>
    <n v="2.1071682869171252E-6"/>
    <n v="0.99929730022916485"/>
    <b v="0"/>
  </r>
  <r>
    <n v="1767"/>
    <m/>
    <x v="18"/>
    <m/>
    <s v="DOVER NUNAN LLC"/>
    <n v="0"/>
    <n v="0"/>
    <n v="0"/>
    <n v="0"/>
    <n v="0"/>
    <n v="1035.83"/>
    <n v="0"/>
    <n v="0"/>
    <n v="1035.83"/>
    <n v="2.0886776331458045E-6"/>
    <n v="0.99929938890679804"/>
    <b v="0"/>
  </r>
  <r>
    <n v="2332"/>
    <m/>
    <x v="18"/>
    <m/>
    <s v="WHEELING PARK COMMISSION"/>
    <n v="0"/>
    <n v="0"/>
    <n v="0"/>
    <n v="0"/>
    <n v="0"/>
    <n v="0"/>
    <n v="0"/>
    <n v="1032.1099999999999"/>
    <n v="1032.1099999999999"/>
    <n v="2.0811765173301759E-6"/>
    <n v="0.99930147008331538"/>
    <b v="0"/>
  </r>
  <r>
    <n v="469"/>
    <m/>
    <x v="18"/>
    <m/>
    <s v="DUKES LUMBER &amp; HOME CTR"/>
    <n v="1031.1500000000001"/>
    <n v="0"/>
    <n v="0"/>
    <n v="0"/>
    <n v="0"/>
    <n v="0"/>
    <n v="0"/>
    <n v="0"/>
    <n v="1031.1500000000001"/>
    <n v="2.0792407455067881E-6"/>
    <n v="0.99930354932406085"/>
    <b v="0"/>
  </r>
  <r>
    <n v="2333"/>
    <m/>
    <x v="18"/>
    <m/>
    <s v="WILLIAM C GRAYSON"/>
    <n v="0"/>
    <n v="0"/>
    <n v="0"/>
    <n v="0"/>
    <n v="0"/>
    <n v="0"/>
    <n v="0"/>
    <n v="1030.8"/>
    <n v="1030.8"/>
    <n v="2.0785349953628444E-6"/>
    <n v="0.99930562785905619"/>
    <b v="0"/>
  </r>
  <r>
    <n v="1879"/>
    <m/>
    <x v="18"/>
    <m/>
    <s v="SARAH ZIMMERMAN"/>
    <n v="0"/>
    <n v="0"/>
    <n v="0"/>
    <n v="0"/>
    <n v="0"/>
    <n v="195.49"/>
    <n v="159.97"/>
    <n v="668.59"/>
    <n v="1024.0500000000002"/>
    <n v="2.0649240997296484E-6"/>
    <n v="0.9993076927831559"/>
    <b v="0"/>
  </r>
  <r>
    <n v="1768"/>
    <m/>
    <x v="18"/>
    <m/>
    <s v="JACQUE ANNE WILLIAMSON"/>
    <n v="0"/>
    <n v="0"/>
    <n v="0"/>
    <n v="0"/>
    <n v="0"/>
    <n v="1018.56"/>
    <n v="0"/>
    <n v="0"/>
    <n v="1018.56"/>
    <n v="2.0538539046146478E-6"/>
    <n v="0.99930974663706051"/>
    <b v="0"/>
  </r>
  <r>
    <n v="1503"/>
    <m/>
    <x v="18"/>
    <m/>
    <s v="FORAKER OIL INCORPORATED"/>
    <n v="0"/>
    <n v="0"/>
    <n v="0"/>
    <n v="0"/>
    <n v="683"/>
    <n v="0"/>
    <n v="0"/>
    <n v="335.5"/>
    <n v="1018.5"/>
    <n v="2.0537329188756861E-6"/>
    <n v="0.99931180036997935"/>
    <b v="0"/>
  </r>
  <r>
    <n v="470"/>
    <m/>
    <x v="18"/>
    <m/>
    <s v="Peter Dudley"/>
    <n v="1017.48"/>
    <n v="0"/>
    <n v="0"/>
    <n v="0"/>
    <n v="0"/>
    <n v="0"/>
    <n v="0"/>
    <n v="0"/>
    <n v="1017.48"/>
    <n v="2.0516761613133366E-6"/>
    <n v="0.99931385204614065"/>
    <b v="0"/>
  </r>
  <r>
    <n v="473"/>
    <m/>
    <x v="18"/>
    <m/>
    <s v="GLOBAL PUBLIC SAFETY LLC"/>
    <n v="1000"/>
    <n v="0"/>
    <n v="0"/>
    <n v="0"/>
    <n v="0"/>
    <n v="0"/>
    <n v="0"/>
    <n v="0"/>
    <n v="1000"/>
    <n v="2.0164289826958136E-6"/>
    <n v="0.99931586847512333"/>
    <b v="0"/>
  </r>
  <r>
    <n v="476"/>
    <m/>
    <x v="18"/>
    <m/>
    <s v="JAMIE WEBB DBA POOHS PLACE DAYCARE"/>
    <n v="1000"/>
    <n v="0"/>
    <n v="0"/>
    <n v="0"/>
    <n v="0"/>
    <n v="0"/>
    <n v="0"/>
    <n v="0"/>
    <n v="1000"/>
    <n v="2.0164289826958136E-6"/>
    <n v="0.999317884904106"/>
    <b v="0"/>
  </r>
  <r>
    <n v="552"/>
    <m/>
    <x v="18"/>
    <m/>
    <s v="JOSEPH AVAMPATO"/>
    <n v="500"/>
    <n v="500"/>
    <n v="0"/>
    <n v="0"/>
    <n v="0"/>
    <n v="0"/>
    <n v="0"/>
    <n v="0"/>
    <n v="1000"/>
    <n v="2.0164289826958136E-6"/>
    <n v="0.99931990133308868"/>
    <b v="0"/>
  </r>
  <r>
    <n v="835"/>
    <m/>
    <x v="18"/>
    <m/>
    <s v="MARQUEZ EFFERSON DBA MLANJENI MAGIC ASSO"/>
    <n v="0"/>
    <n v="1000"/>
    <n v="0"/>
    <n v="0"/>
    <n v="0"/>
    <n v="0"/>
    <n v="0"/>
    <n v="0"/>
    <n v="1000"/>
    <n v="2.0164289826958136E-6"/>
    <n v="0.99932191776207135"/>
    <b v="0"/>
  </r>
  <r>
    <n v="876"/>
    <m/>
    <x v="18"/>
    <m/>
    <s v="BRIAN NEAL ROSS"/>
    <n v="0"/>
    <n v="500"/>
    <n v="500"/>
    <n v="0"/>
    <n v="0"/>
    <n v="0"/>
    <n v="0"/>
    <n v="0"/>
    <n v="1000"/>
    <n v="2.0164289826958136E-6"/>
    <n v="0.99932393419105403"/>
    <b v="0"/>
  </r>
  <r>
    <n v="895"/>
    <m/>
    <x v="18"/>
    <m/>
    <s v="BRIAN MILLER"/>
    <n v="0"/>
    <n v="350"/>
    <n v="350"/>
    <n v="0"/>
    <n v="0"/>
    <n v="150"/>
    <n v="150"/>
    <n v="0"/>
    <n v="1000"/>
    <n v="2.0164289826958136E-6"/>
    <n v="0.99932595062003671"/>
    <b v="0"/>
  </r>
  <r>
    <n v="1281"/>
    <m/>
    <x v="18"/>
    <m/>
    <s v="SHERRIE KREBS"/>
    <n v="0"/>
    <n v="0"/>
    <n v="0"/>
    <n v="1000"/>
    <n v="0"/>
    <n v="0"/>
    <n v="0"/>
    <n v="0"/>
    <n v="1000"/>
    <n v="2.0164289826958136E-6"/>
    <n v="0.99932796704901938"/>
    <b v="0"/>
  </r>
  <r>
    <n v="1769"/>
    <m/>
    <x v="18"/>
    <m/>
    <s v="MELISSA HILL"/>
    <n v="0"/>
    <n v="0"/>
    <n v="0"/>
    <n v="0"/>
    <n v="0"/>
    <n v="1000"/>
    <n v="0"/>
    <n v="0"/>
    <n v="1000"/>
    <n v="2.0164289826958136E-6"/>
    <n v="0.99932998347800206"/>
    <b v="0"/>
  </r>
  <r>
    <n v="1770"/>
    <m/>
    <x v="18"/>
    <m/>
    <s v="SARAH BRYSON"/>
    <n v="0"/>
    <n v="0"/>
    <n v="0"/>
    <n v="0"/>
    <n v="0"/>
    <n v="1000"/>
    <n v="0"/>
    <n v="0"/>
    <n v="1000"/>
    <n v="2.0164289826958136E-6"/>
    <n v="0.99933199990698474"/>
    <b v="0"/>
  </r>
  <r>
    <n v="2334"/>
    <m/>
    <x v="18"/>
    <m/>
    <s v="CASE OF BLUES LLC"/>
    <n v="0"/>
    <n v="0"/>
    <n v="0"/>
    <n v="0"/>
    <n v="0"/>
    <n v="0"/>
    <n v="0"/>
    <n v="1000"/>
    <n v="1000"/>
    <n v="2.0164289826958136E-6"/>
    <n v="0.99933401633596741"/>
    <b v="0"/>
  </r>
  <r>
    <n v="2335"/>
    <m/>
    <x v="18"/>
    <m/>
    <s v="GEORGE WALTON"/>
    <n v="0"/>
    <n v="0"/>
    <n v="0"/>
    <n v="0"/>
    <n v="0"/>
    <n v="0"/>
    <n v="0"/>
    <n v="1000"/>
    <n v="1000"/>
    <n v="2.0164289826958136E-6"/>
    <n v="0.99933603276495009"/>
    <b v="0"/>
  </r>
  <r>
    <n v="2336"/>
    <m/>
    <x v="18"/>
    <m/>
    <s v="JOHN T DRYSDALE"/>
    <n v="0"/>
    <n v="0"/>
    <n v="0"/>
    <n v="0"/>
    <n v="0"/>
    <n v="0"/>
    <n v="0"/>
    <n v="1000"/>
    <n v="1000"/>
    <n v="2.0164289826958136E-6"/>
    <n v="0.99933804919393276"/>
    <b v="0"/>
  </r>
  <r>
    <n v="837"/>
    <m/>
    <x v="18"/>
    <m/>
    <s v="JAMES TOBIN"/>
    <n v="0"/>
    <n v="997.72"/>
    <n v="0"/>
    <n v="0"/>
    <n v="0"/>
    <n v="0"/>
    <n v="0"/>
    <n v="0"/>
    <n v="997.72"/>
    <n v="2.0118315246152669E-6"/>
    <n v="0.99934006102545736"/>
    <b v="0"/>
  </r>
  <r>
    <n v="838"/>
    <m/>
    <x v="18"/>
    <m/>
    <s v="COLEMAN WOODARD"/>
    <n v="0"/>
    <n v="996.4"/>
    <n v="0"/>
    <n v="0"/>
    <n v="0"/>
    <n v="0"/>
    <n v="0"/>
    <n v="0"/>
    <n v="996.4"/>
    <n v="2.0091698383581084E-6"/>
    <n v="0.99934207019529575"/>
    <b v="0"/>
  </r>
  <r>
    <n v="1486"/>
    <m/>
    <x v="18"/>
    <m/>
    <s v="Douglas K Olson"/>
    <n v="0"/>
    <n v="0"/>
    <n v="0"/>
    <n v="0"/>
    <n v="995.41"/>
    <n v="0"/>
    <n v="0"/>
    <n v="0"/>
    <n v="995.41"/>
    <n v="2.0071735736652395E-6"/>
    <n v="0.99934407736886943"/>
    <b v="0"/>
  </r>
  <r>
    <n v="1560"/>
    <m/>
    <x v="18"/>
    <m/>
    <s v="LYNN M KLEIN"/>
    <n v="0"/>
    <n v="0"/>
    <n v="0"/>
    <n v="0"/>
    <n v="240"/>
    <n v="425.3"/>
    <n v="270"/>
    <n v="60"/>
    <n v="995.3"/>
    <n v="2.0069517664771431E-6"/>
    <n v="0.99934608432063587"/>
    <b v="0"/>
  </r>
  <r>
    <n v="1771"/>
    <m/>
    <x v="18"/>
    <m/>
    <s v="BERLITE INC  CLEAR VIEW MICROSCOPE"/>
    <n v="0"/>
    <n v="0"/>
    <n v="0"/>
    <n v="0"/>
    <n v="0"/>
    <n v="995"/>
    <n v="0"/>
    <n v="0"/>
    <n v="995"/>
    <n v="2.0063468377823346E-6"/>
    <n v="0.99934809066747365"/>
    <b v="0"/>
  </r>
  <r>
    <n v="2337"/>
    <m/>
    <x v="18"/>
    <m/>
    <s v="SOUTHERN LIVING"/>
    <n v="0"/>
    <n v="0"/>
    <n v="0"/>
    <n v="0"/>
    <n v="0"/>
    <n v="0"/>
    <n v="0"/>
    <n v="995"/>
    <n v="995"/>
    <n v="2.0063468377823346E-6"/>
    <n v="0.99935009701431143"/>
    <b v="0"/>
  </r>
  <r>
    <n v="1087"/>
    <m/>
    <x v="18"/>
    <m/>
    <s v="EWING FOUNDATION"/>
    <n v="0"/>
    <n v="0"/>
    <n v="994.06"/>
    <n v="0"/>
    <n v="0"/>
    <n v="0"/>
    <n v="0"/>
    <n v="0"/>
    <n v="994.06"/>
    <n v="2.0044513945386004E-6"/>
    <n v="0.99935210146570597"/>
    <b v="0"/>
  </r>
  <r>
    <n v="2082"/>
    <m/>
    <x v="18"/>
    <m/>
    <s v="WIND RIVER ENVIRIONMENTAL DBA ROSEYS"/>
    <n v="0"/>
    <n v="0"/>
    <n v="0"/>
    <n v="0"/>
    <n v="0"/>
    <n v="0"/>
    <n v="990"/>
    <n v="0"/>
    <n v="990"/>
    <n v="1.9962646928688551E-6"/>
    <n v="0.99935409773039885"/>
    <b v="0"/>
  </r>
  <r>
    <n v="2208"/>
    <m/>
    <x v="18"/>
    <m/>
    <s v="DENNIS EAST INTERNATIONAL"/>
    <n v="0"/>
    <n v="0"/>
    <n v="0"/>
    <n v="0"/>
    <n v="0"/>
    <n v="0"/>
    <n v="93.15"/>
    <n v="885.73"/>
    <n v="978.88"/>
    <n v="1.9738420025812778E-6"/>
    <n v="0.99935607157240147"/>
    <b v="0"/>
  </r>
  <r>
    <n v="890"/>
    <m/>
    <x v="18"/>
    <m/>
    <s v="SANTA JOHN HINTZ"/>
    <n v="0"/>
    <n v="400"/>
    <n v="0"/>
    <n v="0"/>
    <n v="0"/>
    <n v="300"/>
    <n v="275"/>
    <n v="0"/>
    <n v="975"/>
    <n v="1.9660182581284181E-6"/>
    <n v="0.99935803759065955"/>
    <b v="0"/>
  </r>
  <r>
    <n v="1090"/>
    <m/>
    <x v="18"/>
    <m/>
    <s v="ANDY PRESSURE CLEANING SERVICE LLC"/>
    <n v="0"/>
    <n v="0"/>
    <n v="975"/>
    <n v="0"/>
    <n v="0"/>
    <n v="0"/>
    <n v="0"/>
    <n v="0"/>
    <n v="975"/>
    <n v="1.9660182581284181E-6"/>
    <n v="0.99936000360891764"/>
    <b v="0"/>
  </r>
  <r>
    <n v="2083"/>
    <m/>
    <x v="18"/>
    <m/>
    <s v="RICHARD L EWING"/>
    <n v="0"/>
    <n v="0"/>
    <n v="0"/>
    <n v="0"/>
    <n v="0"/>
    <n v="0"/>
    <n v="975"/>
    <n v="0"/>
    <n v="975"/>
    <n v="1.9660182581284181E-6"/>
    <n v="0.99936196962717572"/>
    <b v="0"/>
  </r>
  <r>
    <n v="1773"/>
    <m/>
    <x v="18"/>
    <m/>
    <s v="CYNTHIA AMAN"/>
    <n v="0"/>
    <n v="0"/>
    <n v="0"/>
    <n v="0"/>
    <n v="0"/>
    <n v="972"/>
    <n v="0"/>
    <n v="0"/>
    <n v="972"/>
    <n v="1.9599689711803308E-6"/>
    <n v="0.99936392959614695"/>
    <b v="0"/>
  </r>
  <r>
    <n v="2338"/>
    <m/>
    <x v="18"/>
    <m/>
    <s v="DANIEL FISTERE"/>
    <n v="0"/>
    <n v="0"/>
    <n v="0"/>
    <n v="0"/>
    <n v="0"/>
    <n v="0"/>
    <n v="0"/>
    <n v="964.08"/>
    <n v="964.08"/>
    <n v="1.9439988536373799E-6"/>
    <n v="0.99936587359500062"/>
    <b v="0"/>
  </r>
  <r>
    <n v="1109"/>
    <m/>
    <x v="18"/>
    <m/>
    <s v="KHARI HAYDEN"/>
    <n v="0"/>
    <n v="0"/>
    <n v="663.6"/>
    <n v="300"/>
    <n v="0"/>
    <n v="0"/>
    <n v="0"/>
    <n v="0"/>
    <n v="963.6"/>
    <n v="1.9430309677256858E-6"/>
    <n v="0.9993678166259683"/>
    <b v="0"/>
  </r>
  <r>
    <n v="1816"/>
    <m/>
    <x v="18"/>
    <m/>
    <s v="RICHARD SZUTENBACH II"/>
    <n v="0"/>
    <n v="0"/>
    <n v="0"/>
    <n v="0"/>
    <n v="0"/>
    <n v="440"/>
    <n v="480"/>
    <n v="42.52"/>
    <n v="962.52"/>
    <n v="1.9408532244243742E-6"/>
    <n v="0.99936975747919277"/>
    <b v="0"/>
  </r>
  <r>
    <n v="523"/>
    <m/>
    <x v="18"/>
    <m/>
    <s v="REHOBOTH BEACH-DEWEY BEACH CHAMBER OF CO"/>
    <n v="620"/>
    <n v="0"/>
    <n v="0"/>
    <n v="0"/>
    <n v="0"/>
    <n v="0"/>
    <n v="0"/>
    <n v="340"/>
    <n v="960"/>
    <n v="1.935771823387981E-6"/>
    <n v="0.99937169325101616"/>
    <b v="0"/>
  </r>
  <r>
    <n v="2084"/>
    <m/>
    <x v="18"/>
    <m/>
    <s v="VERITEXT CORP"/>
    <n v="0"/>
    <n v="0"/>
    <n v="0"/>
    <n v="0"/>
    <n v="0"/>
    <n v="0"/>
    <n v="960"/>
    <n v="0"/>
    <n v="960"/>
    <n v="1.935771823387981E-6"/>
    <n v="0.99937362902283955"/>
    <b v="0"/>
  </r>
  <r>
    <n v="510"/>
    <m/>
    <x v="18"/>
    <m/>
    <s v="JORDAN BROWN"/>
    <n v="722.5"/>
    <n v="235.46"/>
    <n v="0"/>
    <n v="0"/>
    <n v="0"/>
    <n v="0"/>
    <n v="0"/>
    <n v="0"/>
    <n v="957.96"/>
    <n v="1.9316583082632816E-6"/>
    <n v="0.99937556068114786"/>
    <b v="0"/>
  </r>
  <r>
    <n v="1091"/>
    <m/>
    <x v="18"/>
    <m/>
    <s v="James Kessler"/>
    <n v="0"/>
    <n v="0"/>
    <n v="955.6"/>
    <n v="0"/>
    <n v="0"/>
    <n v="0"/>
    <n v="0"/>
    <n v="0"/>
    <n v="955.6"/>
    <n v="1.9268995358641195E-6"/>
    <n v="0.99937748758068368"/>
    <b v="0"/>
  </r>
  <r>
    <n v="1489"/>
    <m/>
    <x v="18"/>
    <m/>
    <s v="NATIONAL KIDNEY FOUNDATION"/>
    <n v="0"/>
    <n v="0"/>
    <n v="0"/>
    <n v="0"/>
    <n v="955"/>
    <n v="0"/>
    <n v="0"/>
    <n v="0"/>
    <n v="955"/>
    <n v="1.925689678474502E-6"/>
    <n v="0.99937941327036217"/>
    <b v="0"/>
  </r>
  <r>
    <n v="2118"/>
    <m/>
    <x v="18"/>
    <m/>
    <s v="R E MICHEL CO INC"/>
    <n v="0"/>
    <n v="0"/>
    <n v="0"/>
    <n v="0"/>
    <n v="0"/>
    <n v="0"/>
    <n v="516.41"/>
    <n v="438.46"/>
    <n v="954.86999999999989"/>
    <n v="1.9254275427067511E-6"/>
    <n v="0.99938133869790491"/>
    <b v="0"/>
  </r>
  <r>
    <n v="481"/>
    <m/>
    <x v="18"/>
    <m/>
    <s v="RICHARD L LAYTON JR"/>
    <n v="950"/>
    <n v="0"/>
    <n v="0"/>
    <n v="0"/>
    <n v="0"/>
    <n v="0"/>
    <n v="0"/>
    <n v="0"/>
    <n v="950"/>
    <n v="1.915607533561023E-6"/>
    <n v="0.99938325430543851"/>
    <b v="0"/>
  </r>
  <r>
    <n v="2086"/>
    <m/>
    <x v="18"/>
    <m/>
    <s v="K9BITEDR LLC"/>
    <n v="0"/>
    <n v="0"/>
    <n v="0"/>
    <n v="0"/>
    <n v="0"/>
    <n v="0"/>
    <n v="950"/>
    <n v="0"/>
    <n v="950"/>
    <n v="1.915607533561023E-6"/>
    <n v="0.9993851699129721"/>
    <b v="0"/>
  </r>
  <r>
    <n v="1857"/>
    <m/>
    <x v="18"/>
    <m/>
    <s v="WENDY COPITHORNE"/>
    <n v="0"/>
    <n v="0"/>
    <n v="0"/>
    <n v="0"/>
    <n v="0"/>
    <n v="230.68"/>
    <n v="236.34"/>
    <n v="472.68"/>
    <n v="939.7"/>
    <n v="1.894838315039256E-6"/>
    <n v="0.99938706475128714"/>
    <b v="0"/>
  </r>
  <r>
    <n v="2339"/>
    <m/>
    <x v="18"/>
    <m/>
    <s v="ROTO-ROOTER SERVICES CO"/>
    <n v="0"/>
    <n v="0"/>
    <n v="0"/>
    <n v="0"/>
    <n v="0"/>
    <n v="0"/>
    <n v="0"/>
    <n v="933.75"/>
    <n v="933.75"/>
    <n v="1.8828405625922158E-6"/>
    <n v="0.99938894759184971"/>
    <b v="0"/>
  </r>
  <r>
    <n v="1515"/>
    <m/>
    <x v="18"/>
    <m/>
    <s v="FEIFISH LLC"/>
    <n v="0"/>
    <n v="0"/>
    <n v="0"/>
    <n v="0"/>
    <n v="566"/>
    <n v="0"/>
    <n v="362.95"/>
    <n v="0"/>
    <n v="928.95"/>
    <n v="1.8731617034752761E-6"/>
    <n v="0.99939082075355323"/>
    <b v="0"/>
  </r>
  <r>
    <n v="1490"/>
    <m/>
    <x v="18"/>
    <m/>
    <s v="ROBERT MATTHIAS"/>
    <n v="0"/>
    <n v="0"/>
    <n v="0"/>
    <n v="0"/>
    <n v="927.92"/>
    <n v="0"/>
    <n v="0"/>
    <n v="0"/>
    <n v="927.92"/>
    <n v="1.8710847816230992E-6"/>
    <n v="0.9993926918383349"/>
    <b v="0"/>
  </r>
  <r>
    <n v="1092"/>
    <m/>
    <x v="18"/>
    <m/>
    <s v="TAPPAHANNA SERVICES LLC"/>
    <n v="0"/>
    <n v="0"/>
    <n v="926.25"/>
    <n v="0"/>
    <n v="0"/>
    <n v="0"/>
    <n v="0"/>
    <n v="0"/>
    <n v="926.25"/>
    <n v="1.8677173452219972E-6"/>
    <n v="0.99939455955568013"/>
    <b v="0"/>
  </r>
  <r>
    <n v="1775"/>
    <m/>
    <x v="18"/>
    <m/>
    <s v="ADEL B KORKOR FOUNDATION"/>
    <n v="0"/>
    <n v="0"/>
    <n v="0"/>
    <n v="0"/>
    <n v="0"/>
    <n v="925"/>
    <n v="0"/>
    <n v="0"/>
    <n v="925"/>
    <n v="1.8651968089936275E-6"/>
    <n v="0.99939642475248913"/>
    <b v="0"/>
  </r>
  <r>
    <n v="1787"/>
    <m/>
    <x v="18"/>
    <m/>
    <s v="ELITE FASHION ACCESSORIES CORP"/>
    <n v="0"/>
    <n v="0"/>
    <n v="0"/>
    <n v="0"/>
    <n v="0"/>
    <n v="797.89"/>
    <n v="124.43"/>
    <n v="0"/>
    <n v="922.31999999999994"/>
    <n v="1.8597927793200026E-6"/>
    <n v="0.99939828454526847"/>
    <b v="0"/>
  </r>
  <r>
    <n v="484"/>
    <m/>
    <x v="18"/>
    <m/>
    <s v="WEST DOVER SAWMILL LLC"/>
    <n v="920"/>
    <n v="0"/>
    <n v="0"/>
    <n v="0"/>
    <n v="0"/>
    <n v="0"/>
    <n v="0"/>
    <n v="0"/>
    <n v="920"/>
    <n v="1.8551146640801485E-6"/>
    <n v="0.99940013965993257"/>
    <b v="0"/>
  </r>
  <r>
    <n v="1283"/>
    <m/>
    <x v="18"/>
    <m/>
    <s v="SILK BARON INC"/>
    <n v="0"/>
    <n v="0"/>
    <n v="0"/>
    <n v="920"/>
    <n v="0"/>
    <n v="0"/>
    <n v="0"/>
    <n v="0"/>
    <n v="920"/>
    <n v="1.8551146640801485E-6"/>
    <n v="0.99940199477459668"/>
    <b v="0"/>
  </r>
  <r>
    <n v="2127"/>
    <m/>
    <x v="18"/>
    <m/>
    <s v="DELAWARE RIVER BASIN COMMISSION"/>
    <n v="0"/>
    <n v="0"/>
    <n v="0"/>
    <n v="0"/>
    <n v="0"/>
    <n v="0"/>
    <n v="462"/>
    <n v="456"/>
    <n v="918"/>
    <n v="1.8510818061147569E-6"/>
    <n v="0.99940384585640285"/>
    <b v="0"/>
  </r>
  <r>
    <n v="2340"/>
    <m/>
    <x v="18"/>
    <m/>
    <s v="ASHWORTH ASSOC MFG &amp; WHLS JEWELERS INC"/>
    <n v="0"/>
    <n v="0"/>
    <n v="0"/>
    <n v="0"/>
    <n v="0"/>
    <n v="0"/>
    <n v="0"/>
    <n v="912.5"/>
    <n v="912.5"/>
    <n v="1.8399914467099297E-6"/>
    <n v="0.99940568584784961"/>
    <b v="0"/>
  </r>
  <r>
    <n v="1139"/>
    <m/>
    <x v="18"/>
    <m/>
    <s v="DELAWARE ZOOLOGICAL SOCIETY INC"/>
    <n v="0"/>
    <n v="0"/>
    <n v="310.89999999999998"/>
    <n v="0"/>
    <n v="0"/>
    <n v="0"/>
    <n v="0"/>
    <n v="600"/>
    <n v="910.9"/>
    <n v="1.8367651603376165E-6"/>
    <n v="0.99940752261300991"/>
    <b v="0"/>
  </r>
  <r>
    <n v="1093"/>
    <m/>
    <x v="18"/>
    <m/>
    <s v="THERESA J CHARNEY"/>
    <n v="0"/>
    <n v="0"/>
    <n v="900.13"/>
    <n v="0"/>
    <n v="0"/>
    <n v="0"/>
    <n v="0"/>
    <n v="0"/>
    <n v="900.13"/>
    <n v="1.8150482201939826E-6"/>
    <n v="0.99940933766123008"/>
    <b v="0"/>
  </r>
  <r>
    <n v="667"/>
    <m/>
    <x v="18"/>
    <m/>
    <s v="THOMAS STEVEN NOBLES"/>
    <n v="100"/>
    <n v="100"/>
    <n v="200"/>
    <n v="0"/>
    <n v="0"/>
    <n v="200"/>
    <n v="100"/>
    <n v="200"/>
    <n v="900"/>
    <n v="1.8147860844262322E-6"/>
    <n v="0.99941115244731449"/>
    <b v="0"/>
  </r>
  <r>
    <n v="1094"/>
    <m/>
    <x v="18"/>
    <m/>
    <s v="ROBINS HARBOR ART STUDIOS"/>
    <n v="0"/>
    <n v="0"/>
    <n v="900"/>
    <n v="0"/>
    <n v="0"/>
    <n v="0"/>
    <n v="0"/>
    <n v="0"/>
    <n v="900"/>
    <n v="1.8147860844262322E-6"/>
    <n v="0.9994129672333989"/>
    <b v="0"/>
  </r>
  <r>
    <n v="1328"/>
    <m/>
    <x v="18"/>
    <m/>
    <s v="COASTAL TOWING INC"/>
    <n v="0"/>
    <n v="0"/>
    <n v="0"/>
    <n v="350"/>
    <n v="0"/>
    <n v="0"/>
    <n v="550"/>
    <n v="0"/>
    <n v="900"/>
    <n v="1.8147860844262322E-6"/>
    <n v="0.99941478201948331"/>
    <b v="0"/>
  </r>
  <r>
    <n v="1813"/>
    <m/>
    <x v="18"/>
    <m/>
    <s v="James F Garee"/>
    <n v="0"/>
    <n v="0"/>
    <n v="0"/>
    <n v="0"/>
    <n v="0"/>
    <n v="450"/>
    <n v="0"/>
    <n v="450"/>
    <n v="900"/>
    <n v="1.8147860844262322E-6"/>
    <n v="0.99941659680556771"/>
    <b v="0"/>
  </r>
  <r>
    <n v="1824"/>
    <m/>
    <x v="18"/>
    <m/>
    <s v="ALBERT H KLEINSCHMIDT"/>
    <n v="0"/>
    <n v="0"/>
    <n v="0"/>
    <n v="0"/>
    <n v="0"/>
    <n v="400"/>
    <n v="500"/>
    <n v="0"/>
    <n v="900"/>
    <n v="1.8147860844262322E-6"/>
    <n v="0.99941841159165212"/>
    <b v="0"/>
  </r>
  <r>
    <n v="2131"/>
    <m/>
    <x v="18"/>
    <m/>
    <s v="WILLIAM MCDANIEL"/>
    <n v="0"/>
    <n v="0"/>
    <n v="0"/>
    <n v="0"/>
    <n v="0"/>
    <n v="0"/>
    <n v="450"/>
    <n v="450"/>
    <n v="900"/>
    <n v="1.8147860844262322E-6"/>
    <n v="0.99942022637773653"/>
    <b v="0"/>
  </r>
  <r>
    <n v="488"/>
    <m/>
    <x v="18"/>
    <m/>
    <s v="KTM 2 LLC DBA ARROW SAFETY DEVICE CO"/>
    <n v="898"/>
    <n v="0"/>
    <n v="0"/>
    <n v="0"/>
    <n v="0"/>
    <n v="0"/>
    <n v="0"/>
    <n v="0"/>
    <n v="898"/>
    <n v="1.8107532264608406E-6"/>
    <n v="0.999422037130963"/>
    <b v="0"/>
  </r>
  <r>
    <n v="2341"/>
    <m/>
    <x v="18"/>
    <m/>
    <s v="SUSAN C BREEDING"/>
    <n v="0"/>
    <n v="0"/>
    <n v="0"/>
    <n v="0"/>
    <n v="0"/>
    <n v="0"/>
    <n v="0"/>
    <n v="896.17"/>
    <n v="896.17"/>
    <n v="1.8070631614225071E-6"/>
    <n v="0.99942384419412444"/>
    <b v="0"/>
  </r>
  <r>
    <n v="2087"/>
    <m/>
    <x v="18"/>
    <m/>
    <s v="MYSTIC SEAPORT MUSEUM INC"/>
    <n v="0"/>
    <n v="0"/>
    <n v="0"/>
    <n v="0"/>
    <n v="0"/>
    <n v="0"/>
    <n v="893.5"/>
    <n v="0"/>
    <n v="893.5"/>
    <n v="1.8016792960387093E-6"/>
    <n v="0.99942564587342053"/>
    <b v="0"/>
  </r>
  <r>
    <n v="1095"/>
    <m/>
    <x v="18"/>
    <m/>
    <s v="THE PETTING ZOO INC"/>
    <n v="0"/>
    <n v="0"/>
    <n v="888.11"/>
    <n v="0"/>
    <n v="0"/>
    <n v="0"/>
    <n v="0"/>
    <n v="0"/>
    <n v="888.11"/>
    <n v="1.790810743821979E-6"/>
    <n v="0.99942743668416434"/>
    <b v="0"/>
  </r>
  <r>
    <n v="885"/>
    <m/>
    <x v="18"/>
    <m/>
    <s v="OCEAN CITY BERLIN OPTIMIST CLUB DBA"/>
    <n v="0"/>
    <n v="440"/>
    <n v="440"/>
    <n v="0"/>
    <n v="0"/>
    <n v="0"/>
    <n v="0"/>
    <n v="0"/>
    <n v="880"/>
    <n v="1.7744575047723159E-6"/>
    <n v="0.99942921114166916"/>
    <b v="0"/>
  </r>
  <r>
    <n v="2342"/>
    <m/>
    <x v="18"/>
    <m/>
    <s v="D BARRETT EDWARDS IV ESQ"/>
    <n v="0"/>
    <n v="0"/>
    <n v="0"/>
    <n v="0"/>
    <n v="0"/>
    <n v="0"/>
    <n v="0"/>
    <n v="878.91"/>
    <n v="878.91"/>
    <n v="1.7722595971811774E-6"/>
    <n v="0.99943098340126635"/>
    <b v="0"/>
  </r>
  <r>
    <n v="1287"/>
    <m/>
    <x v="18"/>
    <m/>
    <s v="FRIENDS OF AUBURN VALLEY"/>
    <n v="0"/>
    <n v="0"/>
    <n v="0"/>
    <n v="878"/>
    <n v="0"/>
    <n v="0"/>
    <n v="0"/>
    <n v="0"/>
    <n v="878"/>
    <n v="1.7704246468069243E-6"/>
    <n v="0.99943275382591312"/>
    <b v="0"/>
  </r>
  <r>
    <n v="1777"/>
    <m/>
    <x v="18"/>
    <m/>
    <s v="PARDEE PLUMBING LLC"/>
    <n v="0"/>
    <n v="0"/>
    <n v="0"/>
    <n v="0"/>
    <n v="0"/>
    <n v="876.93"/>
    <n v="0"/>
    <n v="0"/>
    <n v="876.93"/>
    <n v="1.7682670677954397E-6"/>
    <n v="0.99943452209298089"/>
    <b v="0"/>
  </r>
  <r>
    <n v="621"/>
    <m/>
    <x v="18"/>
    <m/>
    <s v="KELLY MARTIN DBA PAPER HIBISCUS"/>
    <n v="225"/>
    <n v="250"/>
    <n v="400"/>
    <n v="0"/>
    <n v="0"/>
    <n v="0"/>
    <n v="0"/>
    <n v="0"/>
    <n v="875"/>
    <n v="1.7643753598588369E-6"/>
    <n v="0.99943628646834071"/>
    <b v="0"/>
  </r>
  <r>
    <n v="842"/>
    <m/>
    <x v="18"/>
    <m/>
    <s v="MCKINNEYS TOWING &amp; RD SVC LLC"/>
    <n v="0"/>
    <n v="875"/>
    <n v="0"/>
    <n v="0"/>
    <n v="0"/>
    <n v="0"/>
    <n v="0"/>
    <n v="0"/>
    <n v="875"/>
    <n v="1.7643753598588369E-6"/>
    <n v="0.99943805084370052"/>
    <b v="0"/>
  </r>
  <r>
    <n v="2343"/>
    <m/>
    <x v="18"/>
    <m/>
    <s v="MARJORIE L MILLER"/>
    <n v="0"/>
    <n v="0"/>
    <n v="0"/>
    <n v="0"/>
    <n v="0"/>
    <n v="0"/>
    <n v="0"/>
    <n v="875"/>
    <n v="875"/>
    <n v="1.7643753598588369E-6"/>
    <n v="0.99943981521906033"/>
    <b v="0"/>
  </r>
  <r>
    <n v="2088"/>
    <m/>
    <x v="18"/>
    <m/>
    <s v="SAVANNAH ANIMAL HOSPITAL LLC"/>
    <n v="0"/>
    <n v="0"/>
    <n v="0"/>
    <n v="0"/>
    <n v="0"/>
    <n v="0"/>
    <n v="873.67"/>
    <n v="0"/>
    <n v="873.67"/>
    <n v="1.7616935093118513E-6"/>
    <n v="0.99944157691256963"/>
    <b v="0"/>
  </r>
  <r>
    <n v="2089"/>
    <m/>
    <x v="18"/>
    <m/>
    <s v="S G WILLIAMS &amp; BROS CO INC"/>
    <n v="0"/>
    <n v="0"/>
    <n v="0"/>
    <n v="0"/>
    <n v="0"/>
    <n v="0"/>
    <n v="866.4"/>
    <n v="0"/>
    <n v="866.4"/>
    <n v="1.7470340706076528E-6"/>
    <n v="0.99944332394664026"/>
    <b v="0"/>
  </r>
  <r>
    <n v="613"/>
    <m/>
    <x v="18"/>
    <m/>
    <s v="ELITE ELECTRIC DESIGN GROUP INC"/>
    <n v="280"/>
    <n v="0"/>
    <n v="0"/>
    <n v="260"/>
    <n v="325"/>
    <n v="0"/>
    <n v="0"/>
    <n v="0"/>
    <n v="865"/>
    <n v="1.7442110700318786E-6"/>
    <n v="0.99944506815771028"/>
    <b v="0"/>
  </r>
  <r>
    <n v="1779"/>
    <m/>
    <x v="18"/>
    <m/>
    <s v="ALISHA MALCARNE"/>
    <n v="0"/>
    <n v="0"/>
    <n v="0"/>
    <n v="0"/>
    <n v="0"/>
    <n v="864"/>
    <n v="0"/>
    <n v="0"/>
    <n v="864"/>
    <n v="1.7421946410491829E-6"/>
    <n v="0.99944681035235128"/>
    <b v="0"/>
  </r>
  <r>
    <n v="2344"/>
    <m/>
    <x v="18"/>
    <m/>
    <s v="KRISTA M L SCUDLARK"/>
    <n v="0"/>
    <n v="0"/>
    <n v="0"/>
    <n v="0"/>
    <n v="0"/>
    <n v="0"/>
    <n v="0"/>
    <n v="864"/>
    <n v="864"/>
    <n v="1.7421946410491829E-6"/>
    <n v="0.99944855254699227"/>
    <b v="0"/>
  </r>
  <r>
    <n v="1780"/>
    <m/>
    <x v="18"/>
    <m/>
    <s v="SHORE ELECTRIC INC"/>
    <n v="0"/>
    <n v="0"/>
    <n v="0"/>
    <n v="0"/>
    <n v="0"/>
    <n v="853"/>
    <n v="0"/>
    <n v="0"/>
    <n v="853"/>
    <n v="1.720013922239529E-6"/>
    <n v="0.99945027256091457"/>
    <b v="0"/>
  </r>
  <r>
    <n v="1097"/>
    <m/>
    <x v="18"/>
    <m/>
    <s v="GARY JOHNSON RENOVATION LLC"/>
    <n v="0"/>
    <n v="0"/>
    <n v="850"/>
    <n v="0"/>
    <n v="0"/>
    <n v="0"/>
    <n v="0"/>
    <n v="0"/>
    <n v="850"/>
    <n v="1.7139646352914415E-6"/>
    <n v="0.9994519865255499"/>
    <b v="0"/>
  </r>
  <r>
    <n v="1137"/>
    <m/>
    <x v="18"/>
    <m/>
    <s v="MARK A TURDO"/>
    <n v="0"/>
    <n v="0"/>
    <n v="350"/>
    <n v="0"/>
    <n v="0"/>
    <n v="500"/>
    <n v="0"/>
    <n v="0"/>
    <n v="850"/>
    <n v="1.7139646352914415E-6"/>
    <n v="0.99945370049018523"/>
    <b v="0"/>
  </r>
  <r>
    <n v="1491"/>
    <m/>
    <x v="18"/>
    <m/>
    <s v="SUSSEX MARINE CONSTRUCTION INC"/>
    <n v="0"/>
    <n v="0"/>
    <n v="0"/>
    <n v="0"/>
    <n v="850"/>
    <n v="0"/>
    <n v="0"/>
    <n v="0"/>
    <n v="850"/>
    <n v="1.7139646352914415E-6"/>
    <n v="0.99945541445482056"/>
    <b v="0"/>
  </r>
  <r>
    <n v="1782"/>
    <m/>
    <x v="18"/>
    <m/>
    <s v="KIDSTUFF PUBLICATIONS INC"/>
    <n v="0"/>
    <n v="0"/>
    <n v="0"/>
    <n v="0"/>
    <n v="0"/>
    <n v="850"/>
    <n v="0"/>
    <n v="0"/>
    <n v="850"/>
    <n v="1.7139646352914415E-6"/>
    <n v="0.99945712841945589"/>
    <b v="0"/>
  </r>
  <r>
    <n v="1103"/>
    <m/>
    <x v="18"/>
    <m/>
    <s v="SUSSEX LUMBER COMPANY INC"/>
    <n v="0"/>
    <n v="0"/>
    <n v="754.4"/>
    <n v="0"/>
    <n v="0"/>
    <n v="0"/>
    <n v="0"/>
    <n v="92.69"/>
    <n v="847.08999999999992"/>
    <n v="1.7080968269517964E-6"/>
    <n v="0.99945883651628287"/>
    <b v="0"/>
  </r>
  <r>
    <n v="843"/>
    <m/>
    <x v="18"/>
    <m/>
    <s v="UNITED STATES FISH AND WILDLIFE SERVICE"/>
    <n v="0"/>
    <n v="841.5"/>
    <n v="0"/>
    <n v="0"/>
    <n v="0"/>
    <n v="0"/>
    <n v="0"/>
    <n v="0"/>
    <n v="841.5"/>
    <n v="1.6968249889385271E-6"/>
    <n v="0.99946053334127183"/>
    <b v="0"/>
  </r>
  <r>
    <n v="534"/>
    <m/>
    <x v="18"/>
    <m/>
    <s v="ANGEL BURNS"/>
    <n v="600"/>
    <n v="240"/>
    <n v="0"/>
    <n v="0"/>
    <n v="0"/>
    <n v="0"/>
    <n v="0"/>
    <n v="0"/>
    <n v="840"/>
    <n v="1.6938003454644833E-6"/>
    <n v="0.99946222714161725"/>
    <b v="0"/>
  </r>
  <r>
    <n v="569"/>
    <m/>
    <x v="18"/>
    <m/>
    <s v="ALISON VANVORST"/>
    <n v="480"/>
    <n v="360"/>
    <n v="0"/>
    <n v="0"/>
    <n v="0"/>
    <n v="0"/>
    <n v="0"/>
    <n v="0"/>
    <n v="840"/>
    <n v="1.6938003454644833E-6"/>
    <n v="0.99946392094196268"/>
    <b v="0"/>
  </r>
  <r>
    <n v="1122"/>
    <m/>
    <x v="18"/>
    <m/>
    <s v="THOMAS SUMMERS"/>
    <n v="0"/>
    <n v="0"/>
    <n v="480"/>
    <n v="360"/>
    <n v="0"/>
    <n v="0"/>
    <n v="0"/>
    <n v="0"/>
    <n v="840"/>
    <n v="1.6938003454644833E-6"/>
    <n v="0.99946561474230811"/>
    <b v="0"/>
  </r>
  <r>
    <n v="844"/>
    <m/>
    <x v="18"/>
    <m/>
    <s v="THE BUG GUY LLC"/>
    <n v="0"/>
    <n v="837.5"/>
    <n v="0"/>
    <n v="0"/>
    <n v="0"/>
    <n v="0"/>
    <n v="0"/>
    <n v="0"/>
    <n v="837.5"/>
    <n v="1.6887592730077438E-6"/>
    <n v="0.99946730350158108"/>
    <b v="0"/>
  </r>
  <r>
    <n v="1783"/>
    <m/>
    <x v="18"/>
    <m/>
    <s v="MICHAEL C VENDZULES"/>
    <n v="0"/>
    <n v="0"/>
    <n v="0"/>
    <n v="0"/>
    <n v="0"/>
    <n v="830.07"/>
    <n v="0"/>
    <n v="0"/>
    <n v="830.07"/>
    <n v="1.673777205666314E-6"/>
    <n v="0.9994689772787867"/>
    <b v="0"/>
  </r>
  <r>
    <n v="2090"/>
    <m/>
    <x v="18"/>
    <m/>
    <s v="M &amp; H ENTERPRISES INC"/>
    <n v="0"/>
    <n v="0"/>
    <n v="0"/>
    <n v="0"/>
    <n v="0"/>
    <n v="0"/>
    <n v="827.09"/>
    <n v="0"/>
    <n v="827.09"/>
    <n v="1.6677682472978804E-6"/>
    <n v="0.99947064504703398"/>
    <b v="0"/>
  </r>
  <r>
    <n v="497"/>
    <m/>
    <x v="18"/>
    <m/>
    <s v="Denise Lopes"/>
    <n v="825"/>
    <n v="0"/>
    <n v="0"/>
    <n v="0"/>
    <n v="0"/>
    <n v="0"/>
    <n v="0"/>
    <n v="0"/>
    <n v="825"/>
    <n v="1.663553910724046E-6"/>
    <n v="0.99947230860094471"/>
    <b v="0"/>
  </r>
  <r>
    <n v="1492"/>
    <m/>
    <x v="18"/>
    <m/>
    <s v="C&amp;M CONSTRUCTION COMPANY LLC"/>
    <n v="0"/>
    <n v="0"/>
    <n v="0"/>
    <n v="0"/>
    <n v="825"/>
    <n v="0"/>
    <n v="0"/>
    <n v="0"/>
    <n v="825"/>
    <n v="1.663553910724046E-6"/>
    <n v="0.99947397215485545"/>
    <b v="0"/>
  </r>
  <r>
    <n v="929"/>
    <m/>
    <x v="18"/>
    <m/>
    <s v="COLLIERS TRIM SHOP INC"/>
    <n v="0"/>
    <n v="125"/>
    <n v="25"/>
    <n v="0"/>
    <n v="235"/>
    <n v="430"/>
    <n v="0"/>
    <n v="0"/>
    <n v="815"/>
    <n v="1.643389620897088E-6"/>
    <n v="0.99947561554447639"/>
    <b v="0"/>
  </r>
  <r>
    <n v="2345"/>
    <m/>
    <x v="18"/>
    <m/>
    <s v="COCA-COLA ENTERPRISES INC"/>
    <n v="0"/>
    <n v="0"/>
    <n v="0"/>
    <n v="0"/>
    <n v="0"/>
    <n v="0"/>
    <n v="0"/>
    <n v="814.08"/>
    <n v="814.08"/>
    <n v="1.6415345062330079E-6"/>
    <n v="0.99947725707898261"/>
    <b v="0"/>
  </r>
  <r>
    <n v="2091"/>
    <m/>
    <x v="18"/>
    <m/>
    <s v="CAPITAL SCHOOL DISTRICT"/>
    <n v="0"/>
    <n v="0"/>
    <n v="0"/>
    <n v="0"/>
    <n v="0"/>
    <n v="0"/>
    <n v="810"/>
    <n v="0"/>
    <n v="810"/>
    <n v="1.633307475983609E-6"/>
    <n v="0.99947889038645854"/>
    <b v="0"/>
  </r>
  <r>
    <n v="498"/>
    <m/>
    <x v="18"/>
    <m/>
    <s v="STAPLES CONTRACT &amp; COMMERCIAL INC"/>
    <n v="803.83"/>
    <n v="0"/>
    <n v="0"/>
    <n v="0"/>
    <n v="0"/>
    <n v="0"/>
    <n v="0"/>
    <n v="0"/>
    <n v="803.83"/>
    <n v="1.6208661091603757E-6"/>
    <n v="0.99948051125256765"/>
    <b v="0"/>
  </r>
  <r>
    <n v="1784"/>
    <m/>
    <x v="18"/>
    <m/>
    <s v="CORMAN AND ASSOCIATES INC"/>
    <n v="0"/>
    <n v="0"/>
    <n v="0"/>
    <n v="0"/>
    <n v="0"/>
    <n v="802"/>
    <n v="0"/>
    <n v="0"/>
    <n v="802"/>
    <n v="1.6171760441220425E-6"/>
    <n v="0.99948212842861173"/>
    <b v="0"/>
  </r>
  <r>
    <n v="500"/>
    <m/>
    <x v="18"/>
    <m/>
    <s v="NINA SPENCER"/>
    <n v="800"/>
    <n v="0"/>
    <n v="0"/>
    <n v="0"/>
    <n v="0"/>
    <n v="0"/>
    <n v="0"/>
    <n v="0"/>
    <n v="800"/>
    <n v="1.6131431861566507E-6"/>
    <n v="0.99948374157179787"/>
    <b v="0"/>
  </r>
  <r>
    <n v="503"/>
    <m/>
    <x v="18"/>
    <m/>
    <s v="RANDY LEE ASHCRAFT"/>
    <n v="800"/>
    <n v="0"/>
    <n v="0"/>
    <n v="0"/>
    <n v="0"/>
    <n v="0"/>
    <n v="0"/>
    <n v="0"/>
    <n v="800"/>
    <n v="1.6131431861566507E-6"/>
    <n v="0.99948535471498401"/>
    <b v="0"/>
  </r>
  <r>
    <n v="846"/>
    <m/>
    <x v="18"/>
    <m/>
    <s v="William Legates"/>
    <n v="0"/>
    <n v="800"/>
    <n v="0"/>
    <n v="0"/>
    <n v="0"/>
    <n v="0"/>
    <n v="0"/>
    <n v="0"/>
    <n v="800"/>
    <n v="1.6131431861566507E-6"/>
    <n v="0.99948696785817015"/>
    <b v="0"/>
  </r>
  <r>
    <n v="1100"/>
    <m/>
    <x v="18"/>
    <m/>
    <s v="CHRISTINA FABRIS"/>
    <n v="0"/>
    <n v="0"/>
    <n v="800"/>
    <n v="0"/>
    <n v="0"/>
    <n v="0"/>
    <n v="0"/>
    <n v="0"/>
    <n v="800"/>
    <n v="1.6131431861566507E-6"/>
    <n v="0.99948858100135629"/>
    <b v="0"/>
  </r>
  <r>
    <n v="1131"/>
    <m/>
    <x v="18"/>
    <m/>
    <s v="NICK DIFALCO"/>
    <n v="0"/>
    <n v="0"/>
    <n v="400"/>
    <n v="0"/>
    <n v="400"/>
    <n v="0"/>
    <n v="0"/>
    <n v="0"/>
    <n v="800"/>
    <n v="1.6131431861566507E-6"/>
    <n v="0.99949019414454243"/>
    <b v="0"/>
  </r>
  <r>
    <n v="1291"/>
    <m/>
    <x v="18"/>
    <m/>
    <s v="MID SOUTH AUDIO L L C"/>
    <n v="0"/>
    <n v="0"/>
    <n v="0"/>
    <n v="800"/>
    <n v="0"/>
    <n v="0"/>
    <n v="0"/>
    <n v="0"/>
    <n v="800"/>
    <n v="1.6131431861566507E-6"/>
    <n v="0.99949180728772857"/>
    <b v="0"/>
  </r>
  <r>
    <n v="1292"/>
    <m/>
    <x v="18"/>
    <m/>
    <s v="J BENJAMIN ROY JR"/>
    <n v="0"/>
    <n v="0"/>
    <n v="0"/>
    <n v="800"/>
    <n v="0"/>
    <n v="0"/>
    <n v="0"/>
    <n v="0"/>
    <n v="800"/>
    <n v="1.6131431861566507E-6"/>
    <n v="0.99949342043091471"/>
    <b v="0"/>
  </r>
  <r>
    <n v="1493"/>
    <m/>
    <x v="18"/>
    <m/>
    <s v="LINDA SIMON"/>
    <n v="0"/>
    <n v="0"/>
    <n v="0"/>
    <n v="0"/>
    <n v="800"/>
    <n v="0"/>
    <n v="0"/>
    <n v="0"/>
    <n v="800"/>
    <n v="1.6131431861566507E-6"/>
    <n v="0.99949503357410086"/>
    <b v="0"/>
  </r>
  <r>
    <n v="1531"/>
    <m/>
    <x v="18"/>
    <m/>
    <s v="SHRUTI SHENAI"/>
    <n v="0"/>
    <n v="0"/>
    <n v="0"/>
    <n v="0"/>
    <n v="400"/>
    <n v="400"/>
    <n v="0"/>
    <n v="0"/>
    <n v="800"/>
    <n v="1.6131431861566507E-6"/>
    <n v="0.999496646717287"/>
    <b v="0"/>
  </r>
  <r>
    <n v="1786"/>
    <m/>
    <x v="18"/>
    <m/>
    <s v="KEVIN H SHORT TA THE REMINDERS"/>
    <n v="0"/>
    <n v="0"/>
    <n v="0"/>
    <n v="0"/>
    <n v="0"/>
    <n v="800"/>
    <n v="0"/>
    <n v="0"/>
    <n v="800"/>
    <n v="1.6131431861566507E-6"/>
    <n v="0.99949825986047314"/>
    <b v="0"/>
  </r>
  <r>
    <n v="1822"/>
    <m/>
    <x v="18"/>
    <m/>
    <s v="JERRY  LEE ADKINS"/>
    <n v="0"/>
    <n v="0"/>
    <n v="0"/>
    <n v="0"/>
    <n v="0"/>
    <n v="400"/>
    <n v="400"/>
    <n v="0"/>
    <n v="800"/>
    <n v="1.6131431861566507E-6"/>
    <n v="0.99949987300365928"/>
    <b v="0"/>
  </r>
  <r>
    <n v="2092"/>
    <m/>
    <x v="18"/>
    <m/>
    <s v="WOODROW J MARVEL"/>
    <n v="0"/>
    <n v="0"/>
    <n v="0"/>
    <n v="0"/>
    <n v="0"/>
    <n v="0"/>
    <n v="800"/>
    <n v="0"/>
    <n v="800"/>
    <n v="1.6131431861566507E-6"/>
    <n v="0.99950148614684542"/>
    <b v="0"/>
  </r>
  <r>
    <n v="2093"/>
    <m/>
    <x v="18"/>
    <m/>
    <s v="WINDISH MUSIC AND PRODUCTIONS"/>
    <n v="0"/>
    <n v="0"/>
    <n v="0"/>
    <n v="0"/>
    <n v="0"/>
    <n v="0"/>
    <n v="800"/>
    <n v="0"/>
    <n v="800"/>
    <n v="1.6131431861566507E-6"/>
    <n v="0.99950309929003156"/>
    <b v="0"/>
  </r>
  <r>
    <n v="1101"/>
    <m/>
    <x v="18"/>
    <m/>
    <s v="Vanessa Kline"/>
    <n v="0"/>
    <n v="0"/>
    <n v="795"/>
    <n v="0"/>
    <n v="0"/>
    <n v="0"/>
    <n v="0"/>
    <n v="0"/>
    <n v="795"/>
    <n v="1.6030610412431717E-6"/>
    <n v="0.9995047023510728"/>
    <b v="0"/>
  </r>
  <r>
    <n v="505"/>
    <m/>
    <x v="18"/>
    <m/>
    <s v="ALL MOBILITY SOLUTIONS LLC"/>
    <n v="782.99"/>
    <n v="0"/>
    <n v="0"/>
    <n v="0"/>
    <n v="0"/>
    <n v="0"/>
    <n v="0"/>
    <n v="0"/>
    <n v="782.99"/>
    <n v="1.5788437291609951E-6"/>
    <n v="0.999506281194802"/>
    <b v="0"/>
  </r>
  <r>
    <n v="2107"/>
    <m/>
    <x v="18"/>
    <m/>
    <s v="CAROLINE ANN GREENE"/>
    <n v="0"/>
    <n v="0"/>
    <n v="0"/>
    <n v="0"/>
    <n v="0"/>
    <n v="0"/>
    <n v="613.20000000000005"/>
    <n v="167.2"/>
    <n v="780.40000000000009"/>
    <n v="1.573621178095813E-6"/>
    <n v="0.99950785481598015"/>
    <b v="0"/>
  </r>
  <r>
    <n v="568"/>
    <m/>
    <x v="18"/>
    <m/>
    <s v="AMY HADDOCK"/>
    <n v="480"/>
    <n v="300"/>
    <n v="0"/>
    <n v="0"/>
    <n v="0"/>
    <n v="0"/>
    <n v="0"/>
    <n v="0"/>
    <n v="780"/>
    <n v="1.5728146065027344E-6"/>
    <n v="0.9995094276305867"/>
    <b v="0"/>
  </r>
  <r>
    <n v="2346"/>
    <m/>
    <x v="18"/>
    <m/>
    <s v="HARFORD COUNTY MARYLAND"/>
    <n v="0"/>
    <n v="0"/>
    <n v="0"/>
    <n v="0"/>
    <n v="0"/>
    <n v="0"/>
    <n v="0"/>
    <n v="780"/>
    <n v="780"/>
    <n v="1.5728146065027344E-6"/>
    <n v="0.99951100044519325"/>
    <b v="0"/>
  </r>
  <r>
    <n v="2347"/>
    <m/>
    <x v="18"/>
    <m/>
    <s v="THERESA CATHERINE MASEK"/>
    <n v="0"/>
    <n v="0"/>
    <n v="0"/>
    <n v="0"/>
    <n v="0"/>
    <n v="0"/>
    <n v="0"/>
    <n v="780"/>
    <n v="780"/>
    <n v="1.5728146065027344E-6"/>
    <n v="0.99951257325979981"/>
    <b v="0"/>
  </r>
  <r>
    <n v="507"/>
    <m/>
    <x v="18"/>
    <m/>
    <s v="Tiffany Wyman"/>
    <n v="777.68"/>
    <n v="0"/>
    <n v="0"/>
    <n v="0"/>
    <n v="0"/>
    <n v="0"/>
    <n v="0"/>
    <n v="0"/>
    <n v="777.68"/>
    <n v="1.5681364912628801E-6"/>
    <n v="0.99951414139629102"/>
    <b v="0"/>
  </r>
  <r>
    <n v="2348"/>
    <m/>
    <x v="18"/>
    <m/>
    <s v="CREATIVE CO-OP INC"/>
    <n v="0"/>
    <n v="0"/>
    <n v="0"/>
    <n v="0"/>
    <n v="0"/>
    <n v="0"/>
    <n v="0"/>
    <n v="776.26"/>
    <n v="776.26"/>
    <n v="1.5652731621074522E-6"/>
    <n v="0.99951570666945311"/>
    <b v="0"/>
  </r>
  <r>
    <n v="848"/>
    <m/>
    <x v="18"/>
    <m/>
    <s v="Kathleen Crane"/>
    <n v="0"/>
    <n v="769.4"/>
    <n v="0"/>
    <n v="0"/>
    <n v="0"/>
    <n v="0"/>
    <n v="0"/>
    <n v="0"/>
    <n v="769.4"/>
    <n v="1.5514404592861589E-6"/>
    <n v="0.99951725810991243"/>
    <b v="0"/>
  </r>
  <r>
    <n v="508"/>
    <m/>
    <x v="18"/>
    <m/>
    <s v="KOMINOS LLC DBA AIRMASTERS"/>
    <n v="766.02"/>
    <n v="0"/>
    <n v="0"/>
    <n v="0"/>
    <n v="0"/>
    <n v="0"/>
    <n v="0"/>
    <n v="0"/>
    <n v="766.02"/>
    <n v="1.5446249293246471E-6"/>
    <n v="0.99951880273484173"/>
    <b v="0"/>
  </r>
  <r>
    <n v="933"/>
    <m/>
    <x v="18"/>
    <m/>
    <s v="DEBRA CLARK"/>
    <n v="0"/>
    <n v="100"/>
    <n v="305"/>
    <n v="0"/>
    <n v="240"/>
    <n v="120"/>
    <n v="0"/>
    <n v="0"/>
    <n v="765"/>
    <n v="1.5425681717622974E-6"/>
    <n v="0.99952034530301348"/>
    <b v="0"/>
  </r>
  <r>
    <n v="1494"/>
    <m/>
    <x v="18"/>
    <m/>
    <s v="AMERICAN RED CROSS DELMARVA PENINSULA"/>
    <n v="0"/>
    <n v="0"/>
    <n v="0"/>
    <n v="0"/>
    <n v="760"/>
    <n v="0"/>
    <n v="0"/>
    <n v="0"/>
    <n v="760"/>
    <n v="1.5324860268488184E-6"/>
    <n v="0.99952187778904034"/>
    <b v="0"/>
  </r>
  <r>
    <n v="2140"/>
    <m/>
    <x v="18"/>
    <m/>
    <s v="KATHARINE SARA JACKSON CANNON"/>
    <n v="0"/>
    <n v="0"/>
    <n v="0"/>
    <n v="0"/>
    <n v="0"/>
    <n v="0"/>
    <n v="380"/>
    <n v="380"/>
    <n v="760"/>
    <n v="1.5324860268488184E-6"/>
    <n v="0.99952341027506719"/>
    <b v="0"/>
  </r>
  <r>
    <n v="1612"/>
    <m/>
    <x v="18"/>
    <m/>
    <s v="PASCO OF MILLSBORO"/>
    <n v="0"/>
    <n v="0"/>
    <n v="0"/>
    <n v="0"/>
    <n v="109.63"/>
    <n v="432.55"/>
    <n v="214.07"/>
    <n v="0"/>
    <n v="756.25"/>
    <n v="1.5249244181637089E-6"/>
    <n v="0.99952493519948538"/>
    <b v="0"/>
  </r>
  <r>
    <n v="1495"/>
    <m/>
    <x v="18"/>
    <m/>
    <s v="SUZANNE NOVAL"/>
    <n v="0"/>
    <n v="0"/>
    <n v="0"/>
    <n v="0"/>
    <n v="753.5"/>
    <n v="0"/>
    <n v="0"/>
    <n v="0"/>
    <n v="753.5"/>
    <n v="1.5193792384612955E-6"/>
    <n v="0.9995264545787238"/>
    <b v="0"/>
  </r>
  <r>
    <n v="1105"/>
    <m/>
    <x v="18"/>
    <m/>
    <s v="STANTONS 4TH WALL"/>
    <n v="0"/>
    <n v="0"/>
    <n v="750"/>
    <n v="0"/>
    <n v="0"/>
    <n v="0"/>
    <n v="0"/>
    <n v="0"/>
    <n v="750"/>
    <n v="1.5123217370218601E-6"/>
    <n v="0.99952796690046086"/>
    <b v="0"/>
  </r>
  <r>
    <n v="1106"/>
    <m/>
    <x v="18"/>
    <m/>
    <s v="REDDIX TRANSPORTATION INC"/>
    <n v="0"/>
    <n v="0"/>
    <n v="750"/>
    <n v="0"/>
    <n v="0"/>
    <n v="0"/>
    <n v="0"/>
    <n v="0"/>
    <n v="750"/>
    <n v="1.5123217370218601E-6"/>
    <n v="0.99952947922219793"/>
    <b v="0"/>
  </r>
  <r>
    <n v="1174"/>
    <m/>
    <x v="18"/>
    <m/>
    <s v="JUNE P GALLAGHER"/>
    <n v="0"/>
    <n v="0"/>
    <n v="100"/>
    <n v="100"/>
    <n v="0"/>
    <n v="300"/>
    <n v="100"/>
    <n v="150"/>
    <n v="750"/>
    <n v="1.5123217370218601E-6"/>
    <n v="0.99953099154393499"/>
    <b v="0"/>
  </r>
  <r>
    <n v="1496"/>
    <m/>
    <x v="18"/>
    <m/>
    <s v="AMBER SHOEMATE"/>
    <n v="0"/>
    <n v="0"/>
    <n v="0"/>
    <n v="0"/>
    <n v="750"/>
    <n v="0"/>
    <n v="0"/>
    <n v="0"/>
    <n v="750"/>
    <n v="1.5123217370218601E-6"/>
    <n v="0.99953250386567205"/>
    <b v="0"/>
  </r>
  <r>
    <n v="1497"/>
    <m/>
    <x v="18"/>
    <m/>
    <s v="Denise Austin"/>
    <n v="0"/>
    <n v="0"/>
    <n v="0"/>
    <n v="0"/>
    <n v="750"/>
    <n v="0"/>
    <n v="0"/>
    <n v="0"/>
    <n v="750"/>
    <n v="1.5123217370218601E-6"/>
    <n v="0.99953401618740911"/>
    <b v="0"/>
  </r>
  <r>
    <n v="1498"/>
    <m/>
    <x v="18"/>
    <m/>
    <s v="STEPHANIE REISSNER"/>
    <n v="0"/>
    <n v="0"/>
    <n v="0"/>
    <n v="0"/>
    <n v="750"/>
    <n v="0"/>
    <n v="0"/>
    <n v="0"/>
    <n v="750"/>
    <n v="1.5123217370218601E-6"/>
    <n v="0.99953552850914618"/>
    <b v="0"/>
  </r>
  <r>
    <n v="1499"/>
    <m/>
    <x v="18"/>
    <m/>
    <s v="RACHEL YOUNG"/>
    <n v="0"/>
    <n v="0"/>
    <n v="0"/>
    <n v="0"/>
    <n v="750"/>
    <n v="0"/>
    <n v="0"/>
    <n v="0"/>
    <n v="750"/>
    <n v="1.5123217370218601E-6"/>
    <n v="0.99953704083088324"/>
    <b v="0"/>
  </r>
  <r>
    <n v="1788"/>
    <m/>
    <x v="18"/>
    <m/>
    <s v="DUANE DOUGLAS"/>
    <n v="0"/>
    <n v="0"/>
    <n v="0"/>
    <n v="0"/>
    <n v="0"/>
    <n v="750"/>
    <n v="0"/>
    <n v="0"/>
    <n v="750"/>
    <n v="1.5123217370218601E-6"/>
    <n v="0.9995385531526203"/>
    <b v="0"/>
  </r>
  <r>
    <n v="1851"/>
    <m/>
    <x v="18"/>
    <m/>
    <s v="1ST DELAWARE REGIMENT"/>
    <n v="0"/>
    <n v="0"/>
    <n v="0"/>
    <n v="0"/>
    <n v="0"/>
    <n v="250"/>
    <n v="250"/>
    <n v="250"/>
    <n v="750"/>
    <n v="1.5123217370218601E-6"/>
    <n v="0.99954006547435736"/>
    <b v="0"/>
  </r>
  <r>
    <n v="2095"/>
    <m/>
    <x v="18"/>
    <m/>
    <s v="CHARLES SKINNER"/>
    <n v="0"/>
    <n v="0"/>
    <n v="0"/>
    <n v="0"/>
    <n v="0"/>
    <n v="0"/>
    <n v="750"/>
    <n v="0"/>
    <n v="750"/>
    <n v="1.5123217370218601E-6"/>
    <n v="0.99954157779609443"/>
    <b v="0"/>
  </r>
  <r>
    <n v="2096"/>
    <m/>
    <x v="18"/>
    <m/>
    <s v="STEVE BINNIG"/>
    <n v="0"/>
    <n v="0"/>
    <n v="0"/>
    <n v="0"/>
    <n v="0"/>
    <n v="0"/>
    <n v="750"/>
    <n v="0"/>
    <n v="750"/>
    <n v="1.5123217370218601E-6"/>
    <n v="0.99954309011783149"/>
    <b v="0"/>
  </r>
  <r>
    <n v="2097"/>
    <m/>
    <x v="18"/>
    <m/>
    <s v="HMSHOST CORPORATION"/>
    <n v="0"/>
    <n v="0"/>
    <n v="0"/>
    <n v="0"/>
    <n v="0"/>
    <n v="0"/>
    <n v="750"/>
    <n v="0"/>
    <n v="750"/>
    <n v="1.5123217370218601E-6"/>
    <n v="0.99954460243956855"/>
    <b v="0"/>
  </r>
  <r>
    <n v="509"/>
    <m/>
    <x v="18"/>
    <m/>
    <s v="ROYS ELECTRICAL SERVICE INC"/>
    <n v="747.24"/>
    <n v="0"/>
    <n v="0"/>
    <n v="0"/>
    <n v="0"/>
    <n v="0"/>
    <n v="0"/>
    <n v="0"/>
    <n v="747.24"/>
    <n v="1.5067563930296197E-6"/>
    <n v="0.99954610919596154"/>
    <b v="0"/>
  </r>
  <r>
    <n v="2349"/>
    <m/>
    <x v="18"/>
    <m/>
    <s v="SCHOOL SPECIALTY"/>
    <n v="0"/>
    <n v="0"/>
    <n v="0"/>
    <n v="0"/>
    <n v="0"/>
    <n v="0"/>
    <n v="0"/>
    <n v="743.36"/>
    <n v="743.36"/>
    <n v="1.49893264857676E-6"/>
    <n v="0.9995476081286101"/>
    <b v="0"/>
  </r>
  <r>
    <n v="1296"/>
    <m/>
    <x v="18"/>
    <m/>
    <s v="ASHLEY SK DAVIS"/>
    <n v="0"/>
    <n v="0"/>
    <n v="0"/>
    <n v="740"/>
    <n v="0"/>
    <n v="0"/>
    <n v="0"/>
    <n v="0"/>
    <n v="740"/>
    <n v="1.4921574471949021E-6"/>
    <n v="0.99954910028605726"/>
    <b v="0"/>
  </r>
  <r>
    <n v="1826"/>
    <m/>
    <x v="18"/>
    <m/>
    <s v="WEAVERS SANITATION LLC"/>
    <n v="0"/>
    <n v="0"/>
    <n v="0"/>
    <n v="0"/>
    <n v="0"/>
    <n v="397"/>
    <n v="186"/>
    <n v="157"/>
    <n v="740"/>
    <n v="1.4921574471949021E-6"/>
    <n v="0.99955059244350442"/>
    <b v="0"/>
  </r>
  <r>
    <n v="2350"/>
    <m/>
    <x v="18"/>
    <m/>
    <s v="MICHAEL TOUGIAS"/>
    <n v="0"/>
    <n v="0"/>
    <n v="0"/>
    <n v="0"/>
    <n v="0"/>
    <n v="0"/>
    <n v="0"/>
    <n v="736"/>
    <n v="736"/>
    <n v="1.4840917312641187E-6"/>
    <n v="0.9995520765352357"/>
    <b v="0"/>
  </r>
  <r>
    <n v="1107"/>
    <m/>
    <x v="18"/>
    <m/>
    <s v="CLASSIC TREATS LLC"/>
    <n v="0"/>
    <n v="0"/>
    <n v="730"/>
    <n v="0"/>
    <n v="0"/>
    <n v="0"/>
    <n v="0"/>
    <n v="0"/>
    <n v="730"/>
    <n v="1.4719931573679438E-6"/>
    <n v="0.99955354852839307"/>
    <b v="0"/>
  </r>
  <r>
    <n v="1146"/>
    <m/>
    <x v="18"/>
    <m/>
    <s v="VEOLIA ES TECHNICAL SOLUTIONS"/>
    <n v="0"/>
    <n v="0"/>
    <n v="289.45999999999998"/>
    <n v="161.71"/>
    <n v="0"/>
    <n v="0"/>
    <n v="0"/>
    <n v="272.52999999999997"/>
    <n v="723.69999999999993"/>
    <n v="1.4592896547769601E-6"/>
    <n v="0.99955500781804785"/>
    <b v="0"/>
  </r>
  <r>
    <n v="2165"/>
    <m/>
    <x v="18"/>
    <m/>
    <s v="CAROLINE FOLTZ"/>
    <n v="0"/>
    <n v="0"/>
    <n v="0"/>
    <n v="0"/>
    <n v="0"/>
    <n v="0"/>
    <n v="240"/>
    <n v="480"/>
    <n v="720"/>
    <n v="1.4518288675409858E-6"/>
    <n v="0.99955645964691542"/>
    <b v="0"/>
  </r>
  <r>
    <n v="852"/>
    <m/>
    <x v="18"/>
    <m/>
    <s v="Tyler Beutler"/>
    <n v="0"/>
    <n v="717.66"/>
    <n v="0"/>
    <n v="0"/>
    <n v="0"/>
    <n v="0"/>
    <n v="0"/>
    <n v="0"/>
    <n v="717.66"/>
    <n v="1.4471104237214774E-6"/>
    <n v="0.99955790675733913"/>
    <b v="0"/>
  </r>
  <r>
    <n v="853"/>
    <m/>
    <x v="18"/>
    <m/>
    <s v="MIKA DRAKE"/>
    <n v="0"/>
    <n v="696.25"/>
    <n v="0"/>
    <n v="0"/>
    <n v="0"/>
    <n v="20.010000000000002"/>
    <n v="0"/>
    <n v="0"/>
    <n v="716.26"/>
    <n v="1.4442874231457033E-6"/>
    <n v="0.99955935104476223"/>
    <b v="0"/>
  </r>
  <r>
    <n v="1297"/>
    <m/>
    <x v="18"/>
    <m/>
    <s v="FIRST STATE ELECTRIC COMPANY INC"/>
    <n v="0"/>
    <n v="0"/>
    <n v="0"/>
    <n v="715"/>
    <n v="0"/>
    <n v="0"/>
    <n v="0"/>
    <n v="0"/>
    <n v="715"/>
    <n v="1.4417467226275065E-6"/>
    <n v="0.99956079279148491"/>
    <b v="0"/>
  </r>
  <r>
    <n v="1791"/>
    <m/>
    <x v="18"/>
    <m/>
    <s v="KELLY FARRELL"/>
    <n v="0"/>
    <n v="0"/>
    <n v="0"/>
    <n v="0"/>
    <n v="0"/>
    <n v="713.31"/>
    <n v="0"/>
    <n v="0"/>
    <n v="713.31"/>
    <n v="1.4383389576467506E-6"/>
    <n v="0.99956223113044251"/>
    <b v="0"/>
  </r>
  <r>
    <n v="2351"/>
    <m/>
    <x v="18"/>
    <m/>
    <s v="AIRBORNE SIDING &amp; WINDOW"/>
    <n v="0"/>
    <n v="0"/>
    <n v="0"/>
    <n v="0"/>
    <n v="0"/>
    <n v="0"/>
    <n v="0"/>
    <n v="708.39"/>
    <n v="708.39"/>
    <n v="1.4284181270518873E-6"/>
    <n v="0.99956365954856952"/>
    <b v="0"/>
  </r>
  <r>
    <n v="512"/>
    <m/>
    <x v="18"/>
    <m/>
    <s v="TY SHERWOOD"/>
    <n v="700"/>
    <n v="0"/>
    <n v="0"/>
    <n v="0"/>
    <n v="0"/>
    <n v="0"/>
    <n v="0"/>
    <n v="0"/>
    <n v="700"/>
    <n v="1.4115002878870695E-6"/>
    <n v="0.99956507104885739"/>
    <b v="0"/>
  </r>
  <r>
    <n v="513"/>
    <m/>
    <x v="18"/>
    <m/>
    <s v="DALLAS VALLEY"/>
    <n v="700"/>
    <n v="0"/>
    <n v="0"/>
    <n v="0"/>
    <n v="0"/>
    <n v="0"/>
    <n v="0"/>
    <n v="0"/>
    <n v="700"/>
    <n v="1.4115002878870695E-6"/>
    <n v="0.99956648254914526"/>
    <b v="0"/>
  </r>
  <r>
    <n v="665"/>
    <m/>
    <x v="18"/>
    <m/>
    <s v="MEETA GAJJAR PARKER"/>
    <n v="100"/>
    <n v="100"/>
    <n v="100"/>
    <n v="100"/>
    <n v="0"/>
    <n v="0"/>
    <n v="200"/>
    <n v="100"/>
    <n v="700"/>
    <n v="1.4115002878870695E-6"/>
    <n v="0.99956789404943314"/>
    <b v="0"/>
  </r>
  <r>
    <n v="1136"/>
    <m/>
    <x v="18"/>
    <m/>
    <s v="OSWALD M BECKE"/>
    <n v="0"/>
    <n v="0"/>
    <n v="350"/>
    <n v="0"/>
    <n v="350"/>
    <n v="0"/>
    <n v="0"/>
    <n v="0"/>
    <n v="700"/>
    <n v="1.4115002878870695E-6"/>
    <n v="0.99956930554972101"/>
    <b v="0"/>
  </r>
  <r>
    <n v="1500"/>
    <m/>
    <x v="18"/>
    <m/>
    <s v="ASHLEY HUGHES"/>
    <n v="0"/>
    <n v="0"/>
    <n v="0"/>
    <n v="0"/>
    <n v="700"/>
    <n v="0"/>
    <n v="0"/>
    <n v="0"/>
    <n v="700"/>
    <n v="1.4115002878870695E-6"/>
    <n v="0.99957071705000888"/>
    <b v="0"/>
  </r>
  <r>
    <n v="2101"/>
    <m/>
    <x v="18"/>
    <m/>
    <s v="RAY AQUINO"/>
    <n v="0"/>
    <n v="0"/>
    <n v="0"/>
    <n v="0"/>
    <n v="0"/>
    <n v="0"/>
    <n v="700"/>
    <n v="0"/>
    <n v="700"/>
    <n v="1.4115002878870695E-6"/>
    <n v="0.99957212855029676"/>
    <b v="0"/>
  </r>
  <r>
    <n v="2129"/>
    <m/>
    <x v="18"/>
    <m/>
    <s v="KEVIN W COTTMAN"/>
    <n v="0"/>
    <n v="0"/>
    <n v="0"/>
    <n v="0"/>
    <n v="0"/>
    <n v="0"/>
    <n v="450"/>
    <n v="250"/>
    <n v="700"/>
    <n v="1.4115002878870695E-6"/>
    <n v="0.99957354005058463"/>
    <b v="0"/>
  </r>
  <r>
    <n v="2352"/>
    <m/>
    <x v="18"/>
    <m/>
    <s v="PENINSULA WINPRO INCORPORATED"/>
    <n v="0"/>
    <n v="0"/>
    <n v="0"/>
    <n v="0"/>
    <n v="0"/>
    <n v="0"/>
    <n v="0"/>
    <n v="700"/>
    <n v="700"/>
    <n v="1.4115002878870695E-6"/>
    <n v="0.9995749515508725"/>
    <b v="0"/>
  </r>
  <r>
    <n v="2102"/>
    <m/>
    <x v="18"/>
    <m/>
    <s v="ANCHOR FENCE OF DE"/>
    <n v="0"/>
    <n v="0"/>
    <n v="0"/>
    <n v="0"/>
    <n v="0"/>
    <n v="0"/>
    <n v="695"/>
    <n v="0"/>
    <n v="695"/>
    <n v="1.4014181429735905E-6"/>
    <n v="0.99957635296901548"/>
    <b v="0"/>
  </r>
  <r>
    <n v="854"/>
    <m/>
    <x v="18"/>
    <m/>
    <s v="CHRISTOPHER HERTRICH"/>
    <n v="0"/>
    <n v="692.49"/>
    <n v="0"/>
    <n v="0"/>
    <n v="0"/>
    <n v="0"/>
    <n v="0"/>
    <n v="0"/>
    <n v="692.49"/>
    <n v="1.3963569062270239E-6"/>
    <n v="0.99957774932592169"/>
    <b v="0"/>
  </r>
  <r>
    <n v="2353"/>
    <m/>
    <x v="18"/>
    <m/>
    <s v="R D COLLINS &amp; SONS"/>
    <n v="0"/>
    <n v="0"/>
    <n v="0"/>
    <n v="0"/>
    <n v="0"/>
    <n v="0"/>
    <n v="0"/>
    <n v="690"/>
    <n v="690"/>
    <n v="1.3913359980601112E-6"/>
    <n v="0.99957914066191977"/>
    <b v="0"/>
  </r>
  <r>
    <n v="1502"/>
    <m/>
    <x v="18"/>
    <m/>
    <s v="DELAWARE BREAST CANCER COALITION"/>
    <n v="0"/>
    <n v="0"/>
    <n v="0"/>
    <n v="0"/>
    <n v="687.5"/>
    <n v="0"/>
    <n v="0"/>
    <n v="0"/>
    <n v="687.5"/>
    <n v="1.3862949256033717E-6"/>
    <n v="0.99958052695684541"/>
    <b v="0"/>
  </r>
  <r>
    <n v="2354"/>
    <m/>
    <x v="18"/>
    <m/>
    <s v="GLENN DOBROGOSZ"/>
    <n v="0"/>
    <n v="0"/>
    <n v="0"/>
    <n v="0"/>
    <n v="0"/>
    <n v="0"/>
    <n v="0"/>
    <n v="685.85"/>
    <n v="685.85"/>
    <n v="1.3829678177819238E-6"/>
    <n v="0.99958190992466323"/>
    <b v="0"/>
  </r>
  <r>
    <n v="1564"/>
    <m/>
    <x v="18"/>
    <m/>
    <s v="SLAUGHTER SEPTIC SERVICES INC"/>
    <n v="0"/>
    <n v="0"/>
    <n v="0"/>
    <n v="0"/>
    <n v="235"/>
    <n v="240"/>
    <n v="0"/>
    <n v="210"/>
    <n v="685"/>
    <n v="1.3812538531466322E-6"/>
    <n v="0.99958329117851641"/>
    <b v="0"/>
  </r>
  <r>
    <n v="2355"/>
    <m/>
    <x v="18"/>
    <m/>
    <s v="SHANA SABBATH"/>
    <n v="0"/>
    <n v="0"/>
    <n v="0"/>
    <n v="0"/>
    <n v="0"/>
    <n v="0"/>
    <n v="0"/>
    <n v="683.5"/>
    <n v="683.5"/>
    <n v="1.3782292096725886E-6"/>
    <n v="0.99958466940772606"/>
    <b v="0"/>
  </r>
  <r>
    <n v="1532"/>
    <m/>
    <x v="18"/>
    <m/>
    <s v="SAFELITE FULFILLMENT INC"/>
    <n v="0"/>
    <n v="0"/>
    <n v="0"/>
    <n v="0"/>
    <n v="350.65"/>
    <n v="190.97"/>
    <n v="0"/>
    <n v="135.97"/>
    <n v="677.59"/>
    <n v="1.3663121143848563E-6"/>
    <n v="0.99958603571984039"/>
    <b v="0"/>
  </r>
  <r>
    <n v="2135"/>
    <m/>
    <x v="18"/>
    <m/>
    <s v="FAIRWAY MFG CO"/>
    <n v="0"/>
    <n v="0"/>
    <n v="0"/>
    <n v="0"/>
    <n v="0"/>
    <n v="0"/>
    <n v="409"/>
    <n v="266.83"/>
    <n v="675.82999999999993"/>
    <n v="1.3627631993753115E-6"/>
    <n v="0.99958739848303979"/>
    <b v="0"/>
  </r>
  <r>
    <n v="1299"/>
    <m/>
    <x v="18"/>
    <m/>
    <s v="DALE H SIPPLE"/>
    <n v="0"/>
    <n v="0"/>
    <n v="0"/>
    <n v="675"/>
    <n v="0"/>
    <n v="0"/>
    <n v="0"/>
    <n v="0"/>
    <n v="675"/>
    <n v="1.3610895633196742E-6"/>
    <n v="0.99958875957260307"/>
    <b v="0"/>
  </r>
  <r>
    <n v="1504"/>
    <m/>
    <x v="18"/>
    <m/>
    <s v="JULIANN D EMORY"/>
    <n v="0"/>
    <n v="0"/>
    <n v="0"/>
    <n v="0"/>
    <n v="675"/>
    <n v="0"/>
    <n v="0"/>
    <n v="0"/>
    <n v="675"/>
    <n v="1.3610895633196742E-6"/>
    <n v="0.99959012066216635"/>
    <b v="0"/>
  </r>
  <r>
    <n v="2103"/>
    <m/>
    <x v="18"/>
    <m/>
    <s v="WALKER  AND  LABERGE OF DELAWARE INC"/>
    <n v="0"/>
    <n v="0"/>
    <n v="0"/>
    <n v="0"/>
    <n v="0"/>
    <n v="0"/>
    <n v="675"/>
    <n v="0"/>
    <n v="675"/>
    <n v="1.3610895633196742E-6"/>
    <n v="0.99959148175172963"/>
    <b v="0"/>
  </r>
  <r>
    <n v="1300"/>
    <m/>
    <x v="18"/>
    <m/>
    <s v="JOHN GIESEKING"/>
    <n v="0"/>
    <n v="0"/>
    <n v="0"/>
    <n v="669.97"/>
    <n v="0"/>
    <n v="0"/>
    <n v="0"/>
    <n v="0"/>
    <n v="669.97"/>
    <n v="1.3509469255367143E-6"/>
    <n v="0.99959283269865518"/>
    <b v="0"/>
  </r>
  <r>
    <n v="2104"/>
    <m/>
    <x v="18"/>
    <m/>
    <s v="BRIDGEVILLE RIFLE"/>
    <n v="0"/>
    <n v="0"/>
    <n v="0"/>
    <n v="0"/>
    <n v="0"/>
    <n v="0"/>
    <n v="666.67"/>
    <n v="0"/>
    <n v="666.67"/>
    <n v="1.3442927098938179E-6"/>
    <n v="0.9995941769913651"/>
    <b v="0"/>
  </r>
  <r>
    <n v="1926"/>
    <m/>
    <x v="18"/>
    <m/>
    <s v="BEST EQUIPMENT INC"/>
    <n v="0"/>
    <n v="0"/>
    <n v="0"/>
    <n v="0"/>
    <n v="0"/>
    <n v="61.95"/>
    <n v="592.83000000000004"/>
    <n v="6.84"/>
    <n v="661.62000000000012"/>
    <n v="1.3341097435312044E-6"/>
    <n v="0.99959551110110867"/>
    <b v="0"/>
  </r>
  <r>
    <n v="1538"/>
    <m/>
    <x v="18"/>
    <m/>
    <s v="CHAMBERS MOTORS INC"/>
    <n v="0"/>
    <n v="0"/>
    <n v="0"/>
    <n v="0"/>
    <n v="330.6"/>
    <n v="330.6"/>
    <n v="0"/>
    <n v="0"/>
    <n v="661.2"/>
    <n v="1.333262843358472E-6"/>
    <n v="0.99959684436395202"/>
    <b v="0"/>
  </r>
  <r>
    <n v="2356"/>
    <m/>
    <x v="18"/>
    <m/>
    <s v="SWINGING DELICIOUS LLC"/>
    <n v="0"/>
    <n v="0"/>
    <n v="0"/>
    <n v="0"/>
    <n v="0"/>
    <n v="0"/>
    <n v="0"/>
    <n v="660"/>
    <n v="660"/>
    <n v="1.3308431285792369E-6"/>
    <n v="0.99959817520708061"/>
    <b v="0"/>
  </r>
  <r>
    <n v="1845"/>
    <m/>
    <x v="18"/>
    <m/>
    <s v="DAVID JOHNSON"/>
    <n v="0"/>
    <n v="0"/>
    <n v="0"/>
    <n v="0"/>
    <n v="0"/>
    <n v="280"/>
    <n v="105"/>
    <n v="271"/>
    <n v="656"/>
    <n v="1.3227774126484536E-6"/>
    <n v="0.99959949798449321"/>
    <b v="0"/>
  </r>
  <r>
    <n v="1505"/>
    <m/>
    <x v="18"/>
    <m/>
    <s v="SUDANOS PRODUCE LLC"/>
    <n v="0"/>
    <n v="0"/>
    <n v="0"/>
    <n v="0"/>
    <n v="653.22"/>
    <n v="0"/>
    <n v="0"/>
    <n v="0"/>
    <n v="653.22"/>
    <n v="1.3171717400765593E-6"/>
    <n v="0.99960081515623334"/>
    <b v="0"/>
  </r>
  <r>
    <n v="1550"/>
    <m/>
    <x v="18"/>
    <m/>
    <s v="SAFEWARE INC"/>
    <n v="0"/>
    <n v="0"/>
    <n v="0"/>
    <n v="0"/>
    <n v="294.72000000000003"/>
    <n v="358.32"/>
    <n v="0"/>
    <n v="0"/>
    <n v="653.04"/>
    <n v="1.316808782859674E-6"/>
    <n v="0.99960213196501624"/>
    <b v="0"/>
  </r>
  <r>
    <n v="857"/>
    <m/>
    <x v="18"/>
    <m/>
    <s v="WESCO RECEIVABLES CORP"/>
    <n v="0"/>
    <n v="651.23"/>
    <n v="0"/>
    <n v="0"/>
    <n v="0"/>
    <n v="0"/>
    <n v="0"/>
    <n v="0"/>
    <n v="651.23"/>
    <n v="1.3131590464009946E-6"/>
    <n v="0.99960344512406263"/>
    <b v="0"/>
  </r>
  <r>
    <n v="519"/>
    <m/>
    <x v="18"/>
    <m/>
    <s v="GRETCHEN REEDER"/>
    <n v="650"/>
    <n v="0"/>
    <n v="0"/>
    <n v="0"/>
    <n v="0"/>
    <n v="0"/>
    <n v="0"/>
    <n v="0"/>
    <n v="650"/>
    <n v="1.3106788387522789E-6"/>
    <n v="0.99960475580290142"/>
    <b v="0"/>
  </r>
  <r>
    <n v="897"/>
    <m/>
    <x v="18"/>
    <m/>
    <s v="DAVID L WOOD"/>
    <n v="0"/>
    <n v="325"/>
    <n v="325"/>
    <n v="0"/>
    <n v="0"/>
    <n v="0"/>
    <n v="0"/>
    <n v="0"/>
    <n v="650"/>
    <n v="1.3106788387522789E-6"/>
    <n v="0.99960606648174022"/>
    <b v="0"/>
  </r>
  <r>
    <n v="1112"/>
    <m/>
    <x v="18"/>
    <m/>
    <s v="ASHER LURIE"/>
    <n v="0"/>
    <n v="0"/>
    <n v="650"/>
    <n v="0"/>
    <n v="0"/>
    <n v="0"/>
    <n v="0"/>
    <n v="0"/>
    <n v="650"/>
    <n v="1.3106788387522789E-6"/>
    <n v="0.99960737716057901"/>
    <b v="0"/>
  </r>
  <r>
    <n v="1301"/>
    <m/>
    <x v="18"/>
    <m/>
    <s v="MADELYNN NIEVES"/>
    <n v="0"/>
    <n v="0"/>
    <n v="0"/>
    <n v="650"/>
    <n v="0"/>
    <n v="0"/>
    <n v="0"/>
    <n v="0"/>
    <n v="650"/>
    <n v="1.3106788387522789E-6"/>
    <n v="0.99960868783941781"/>
    <b v="0"/>
  </r>
  <r>
    <n v="1506"/>
    <m/>
    <x v="18"/>
    <m/>
    <s v="JULIE COONEY"/>
    <n v="0"/>
    <n v="0"/>
    <n v="0"/>
    <n v="0"/>
    <n v="650"/>
    <n v="0"/>
    <n v="0"/>
    <n v="0"/>
    <n v="650"/>
    <n v="1.3106788387522789E-6"/>
    <n v="0.9996099985182566"/>
    <b v="0"/>
  </r>
  <r>
    <n v="1507"/>
    <m/>
    <x v="18"/>
    <m/>
    <s v="DENISE WESTBROOK"/>
    <n v="0"/>
    <n v="0"/>
    <n v="0"/>
    <n v="0"/>
    <n v="650"/>
    <n v="0"/>
    <n v="0"/>
    <n v="0"/>
    <n v="650"/>
    <n v="1.3106788387522789E-6"/>
    <n v="0.9996113091970954"/>
    <b v="0"/>
  </r>
  <r>
    <n v="1794"/>
    <m/>
    <x v="18"/>
    <m/>
    <s v="PAMELA W GORDY"/>
    <n v="0"/>
    <n v="0"/>
    <n v="0"/>
    <n v="0"/>
    <n v="0"/>
    <n v="650"/>
    <n v="0"/>
    <n v="0"/>
    <n v="650"/>
    <n v="1.3106788387522789E-6"/>
    <n v="0.99961261987593419"/>
    <b v="0"/>
  </r>
  <r>
    <n v="1795"/>
    <m/>
    <x v="18"/>
    <m/>
    <s v="MARK LEARY"/>
    <n v="0"/>
    <n v="0"/>
    <n v="0"/>
    <n v="0"/>
    <n v="0"/>
    <n v="650"/>
    <n v="0"/>
    <n v="0"/>
    <n v="650"/>
    <n v="1.3106788387522789E-6"/>
    <n v="0.99961393055477299"/>
    <b v="0"/>
  </r>
  <r>
    <n v="2105"/>
    <m/>
    <x v="18"/>
    <m/>
    <s v="HEATHER BLANCH"/>
    <n v="0"/>
    <n v="0"/>
    <n v="0"/>
    <n v="0"/>
    <n v="0"/>
    <n v="0"/>
    <n v="650"/>
    <n v="0"/>
    <n v="650"/>
    <n v="1.3106788387522789E-6"/>
    <n v="0.99961524123361178"/>
    <b v="0"/>
  </r>
  <r>
    <n v="1796"/>
    <m/>
    <x v="18"/>
    <m/>
    <s v="KAY WACHTER"/>
    <n v="0"/>
    <n v="0"/>
    <n v="0"/>
    <n v="0"/>
    <n v="0"/>
    <n v="648"/>
    <n v="0"/>
    <n v="0"/>
    <n v="648"/>
    <n v="1.3066459807868871E-6"/>
    <n v="0.99961654787959253"/>
    <b v="0"/>
  </r>
  <r>
    <n v="1331"/>
    <m/>
    <x v="18"/>
    <m/>
    <s v="OFFICE DEPOT"/>
    <n v="0"/>
    <n v="0"/>
    <n v="0"/>
    <n v="324.60000000000002"/>
    <n v="0"/>
    <n v="322.74"/>
    <n v="0"/>
    <n v="0"/>
    <n v="647.34"/>
    <n v="1.3053151376583081E-6"/>
    <n v="0.99961785319473018"/>
    <b v="0"/>
  </r>
  <r>
    <n v="1113"/>
    <m/>
    <x v="18"/>
    <m/>
    <s v="CHICAGO ZOOLOGICAL SOCIETY"/>
    <n v="0"/>
    <n v="0"/>
    <n v="638.75"/>
    <n v="0"/>
    <n v="0"/>
    <n v="0"/>
    <n v="0"/>
    <n v="0"/>
    <n v="638.75"/>
    <n v="1.2879940126969509E-6"/>
    <n v="0.99961914118874284"/>
    <b v="0"/>
  </r>
  <r>
    <n v="1302"/>
    <m/>
    <x v="18"/>
    <m/>
    <s v="KATHERINE GRAHL"/>
    <n v="0"/>
    <n v="0"/>
    <n v="0"/>
    <n v="635"/>
    <n v="0"/>
    <n v="0"/>
    <n v="0"/>
    <n v="0"/>
    <n v="635"/>
    <n v="1.2804324040118416E-6"/>
    <n v="0.99962042162114684"/>
    <b v="0"/>
  </r>
  <r>
    <n v="2185"/>
    <m/>
    <x v="18"/>
    <m/>
    <s v="DELAWARE NURSEY &amp; LANDSCAPING ASSOC"/>
    <n v="0"/>
    <n v="0"/>
    <n v="0"/>
    <n v="0"/>
    <n v="0"/>
    <n v="0"/>
    <n v="175"/>
    <n v="460"/>
    <n v="635"/>
    <n v="1.2804324040118416E-6"/>
    <n v="0.99962170205355083"/>
    <b v="0"/>
  </r>
  <r>
    <n v="2357"/>
    <m/>
    <x v="18"/>
    <m/>
    <s v="KANE ELECTRIC INC"/>
    <n v="0"/>
    <n v="0"/>
    <n v="0"/>
    <n v="0"/>
    <n v="0"/>
    <n v="0"/>
    <n v="0"/>
    <n v="628.20000000000005"/>
    <n v="628.20000000000005"/>
    <n v="1.2667206869295102E-6"/>
    <n v="0.99962296877423773"/>
    <b v="0"/>
  </r>
  <r>
    <n v="2115"/>
    <m/>
    <x v="18"/>
    <m/>
    <s v="DONOVAN MARINE INC"/>
    <n v="0"/>
    <n v="0"/>
    <n v="0"/>
    <n v="0"/>
    <n v="0"/>
    <n v="0"/>
    <n v="538.83000000000004"/>
    <n v="83.38"/>
    <n v="622.21"/>
    <n v="1.2546422773231621E-6"/>
    <n v="0.99962422341651502"/>
    <b v="0"/>
  </r>
  <r>
    <n v="2358"/>
    <m/>
    <x v="18"/>
    <m/>
    <s v="MORNING STAR FELLOWSHIP"/>
    <n v="0"/>
    <n v="0"/>
    <n v="0"/>
    <n v="0"/>
    <n v="0"/>
    <n v="0"/>
    <n v="0"/>
    <n v="620"/>
    <n v="620"/>
    <n v="1.2501859692714043E-6"/>
    <n v="0.99962547360248433"/>
    <b v="0"/>
  </r>
  <r>
    <n v="1966"/>
    <m/>
    <x v="18"/>
    <m/>
    <s v="VERITIV OPERATING COMAPNY"/>
    <n v="0"/>
    <n v="0"/>
    <n v="0"/>
    <n v="0"/>
    <n v="0"/>
    <n v="13.65"/>
    <n v="602.41"/>
    <n v="0"/>
    <n v="616.05999999999995"/>
    <n v="1.2422412390795827E-6"/>
    <n v="0.99962671584372342"/>
    <b v="0"/>
  </r>
  <r>
    <n v="1303"/>
    <m/>
    <x v="18"/>
    <m/>
    <s v="FREDERICK ENTERPRISES INC"/>
    <n v="0"/>
    <n v="0"/>
    <n v="0"/>
    <n v="614"/>
    <n v="0"/>
    <n v="0"/>
    <n v="0"/>
    <n v="0"/>
    <n v="614"/>
    <n v="1.2380873953752294E-6"/>
    <n v="0.99962795393111881"/>
    <b v="0"/>
  </r>
  <r>
    <n v="861"/>
    <m/>
    <x v="18"/>
    <m/>
    <s v="DURANTE RENTALS LLC DBA IRON SOURCE LLC"/>
    <n v="0"/>
    <n v="613.03"/>
    <n v="0"/>
    <n v="0"/>
    <n v="0"/>
    <n v="0"/>
    <n v="0"/>
    <n v="0"/>
    <n v="613.03"/>
    <n v="1.2361314592620144E-6"/>
    <n v="0.99962919006257811"/>
    <b v="0"/>
  </r>
  <r>
    <n v="1799"/>
    <m/>
    <x v="18"/>
    <m/>
    <s v="THOMAS SCIENTIFIC INC"/>
    <n v="0"/>
    <n v="0"/>
    <n v="0"/>
    <n v="0"/>
    <n v="0"/>
    <n v="611.80999999999995"/>
    <n v="0"/>
    <n v="0"/>
    <n v="611.80999999999995"/>
    <n v="1.2336714159031255E-6"/>
    <n v="0.99963042373399402"/>
    <b v="0"/>
  </r>
  <r>
    <n v="1373"/>
    <m/>
    <x v="18"/>
    <m/>
    <s v="SANDRA M FISCHER"/>
    <n v="0"/>
    <n v="0"/>
    <n v="0"/>
    <n v="120.5"/>
    <n v="0"/>
    <n v="123.5"/>
    <n v="247"/>
    <n v="120"/>
    <n v="611"/>
    <n v="1.232038108427142E-6"/>
    <n v="0.99963165577210245"/>
    <b v="0"/>
  </r>
  <r>
    <n v="2108"/>
    <m/>
    <x v="18"/>
    <m/>
    <s v="INDIAN RIVER EDUCATIONAL COMPLEX"/>
    <n v="0"/>
    <n v="0"/>
    <n v="0"/>
    <n v="0"/>
    <n v="0"/>
    <n v="0"/>
    <n v="606.20000000000005"/>
    <n v="0"/>
    <n v="606.20000000000005"/>
    <n v="1.2223592493102021E-6"/>
    <n v="0.99963287813135171"/>
    <b v="0"/>
  </r>
  <r>
    <n v="530"/>
    <m/>
    <x v="18"/>
    <m/>
    <s v="JUSTIN SAMMIS"/>
    <n v="600"/>
    <n v="0"/>
    <n v="0"/>
    <n v="0"/>
    <n v="0"/>
    <n v="0"/>
    <n v="0"/>
    <n v="0"/>
    <n v="600"/>
    <n v="1.209857389617488E-6"/>
    <n v="0.99963408798874132"/>
    <b v="0"/>
  </r>
  <r>
    <n v="531"/>
    <m/>
    <x v="18"/>
    <m/>
    <s v="MICHAEL D DAVIS"/>
    <n v="600"/>
    <n v="0"/>
    <n v="0"/>
    <n v="0"/>
    <n v="0"/>
    <n v="0"/>
    <n v="0"/>
    <n v="0"/>
    <n v="600"/>
    <n v="1.209857389617488E-6"/>
    <n v="0.99963529784613092"/>
    <b v="0"/>
  </r>
  <r>
    <n v="533"/>
    <m/>
    <x v="18"/>
    <m/>
    <s v="MARY CORCORAN"/>
    <n v="600"/>
    <n v="0"/>
    <n v="0"/>
    <n v="0"/>
    <n v="0"/>
    <n v="0"/>
    <n v="0"/>
    <n v="0"/>
    <n v="600"/>
    <n v="1.209857389617488E-6"/>
    <n v="0.99963650770352053"/>
    <b v="0"/>
  </r>
  <r>
    <n v="609"/>
    <m/>
    <x v="18"/>
    <m/>
    <s v="PRISTINE RAEIGN LLC"/>
    <n v="300"/>
    <n v="300"/>
    <n v="0"/>
    <n v="0"/>
    <n v="0"/>
    <n v="0"/>
    <n v="0"/>
    <n v="0"/>
    <n v="600"/>
    <n v="1.209857389617488E-6"/>
    <n v="0.99963771756091013"/>
    <b v="0"/>
  </r>
  <r>
    <n v="664"/>
    <m/>
    <x v="18"/>
    <m/>
    <s v="PETER J MCCARTHY"/>
    <n v="100"/>
    <n v="100"/>
    <n v="100"/>
    <n v="100"/>
    <n v="0"/>
    <n v="0"/>
    <n v="200"/>
    <n v="0"/>
    <n v="600"/>
    <n v="1.209857389617488E-6"/>
    <n v="0.99963892741829974"/>
    <b v="0"/>
  </r>
  <r>
    <n v="864"/>
    <m/>
    <x v="18"/>
    <m/>
    <s v="CHRISTOPHER HALL"/>
    <n v="0"/>
    <n v="600"/>
    <n v="0"/>
    <n v="0"/>
    <n v="0"/>
    <n v="0"/>
    <n v="0"/>
    <n v="0"/>
    <n v="600"/>
    <n v="1.209857389617488E-6"/>
    <n v="0.99964013727568934"/>
    <b v="0"/>
  </r>
  <r>
    <n v="865"/>
    <m/>
    <x v="18"/>
    <m/>
    <s v="STRAIGHT LINE STRIPING LLC"/>
    <n v="0"/>
    <n v="600"/>
    <n v="0"/>
    <n v="0"/>
    <n v="0"/>
    <n v="0"/>
    <n v="0"/>
    <n v="0"/>
    <n v="600"/>
    <n v="1.209857389617488E-6"/>
    <n v="0.99964134713307895"/>
    <b v="0"/>
  </r>
  <r>
    <n v="866"/>
    <m/>
    <x v="18"/>
    <m/>
    <s v="MARY E CORCORAN"/>
    <n v="0"/>
    <n v="600"/>
    <n v="0"/>
    <n v="0"/>
    <n v="0"/>
    <n v="0"/>
    <n v="0"/>
    <n v="0"/>
    <n v="600"/>
    <n v="1.209857389617488E-6"/>
    <n v="0.99964255699046856"/>
    <b v="0"/>
  </r>
  <r>
    <n v="867"/>
    <m/>
    <x v="18"/>
    <m/>
    <s v="BRITTANY ANN TRANBAUGH"/>
    <n v="0"/>
    <n v="600"/>
    <n v="0"/>
    <n v="0"/>
    <n v="0"/>
    <n v="0"/>
    <n v="0"/>
    <n v="0"/>
    <n v="600"/>
    <n v="1.209857389617488E-6"/>
    <n v="0.99964376684785816"/>
    <b v="0"/>
  </r>
  <r>
    <n v="1305"/>
    <m/>
    <x v="18"/>
    <m/>
    <s v="Raymond Irwin"/>
    <n v="0"/>
    <n v="0"/>
    <n v="0"/>
    <n v="600"/>
    <n v="0"/>
    <n v="0"/>
    <n v="0"/>
    <n v="0"/>
    <n v="600"/>
    <n v="1.209857389617488E-6"/>
    <n v="0.99964497670524777"/>
    <b v="0"/>
  </r>
  <r>
    <n v="1306"/>
    <m/>
    <x v="18"/>
    <m/>
    <s v="SOUTHERN DELAWARE TOURISM INC"/>
    <n v="0"/>
    <n v="0"/>
    <n v="0"/>
    <n v="600"/>
    <n v="0"/>
    <n v="0"/>
    <n v="0"/>
    <n v="0"/>
    <n v="600"/>
    <n v="1.209857389617488E-6"/>
    <n v="0.99964618656263737"/>
    <b v="0"/>
  </r>
  <r>
    <n v="1307"/>
    <m/>
    <x v="18"/>
    <m/>
    <s v="ROBIN L SCHURICHT"/>
    <n v="0"/>
    <n v="0"/>
    <n v="0"/>
    <n v="600"/>
    <n v="0"/>
    <n v="0"/>
    <n v="0"/>
    <n v="0"/>
    <n v="600"/>
    <n v="1.209857389617488E-6"/>
    <n v="0.99964739642002698"/>
    <b v="0"/>
  </r>
  <r>
    <n v="1336"/>
    <m/>
    <x v="18"/>
    <m/>
    <s v="DUCKSHOP OF LITTLE CREEK"/>
    <n v="0"/>
    <n v="0"/>
    <n v="0"/>
    <n v="300"/>
    <n v="300"/>
    <n v="0"/>
    <n v="0"/>
    <n v="0"/>
    <n v="600"/>
    <n v="1.209857389617488E-6"/>
    <n v="0.99964860627741658"/>
    <b v="0"/>
  </r>
  <r>
    <n v="1509"/>
    <m/>
    <x v="18"/>
    <m/>
    <s v="GEORGE ELLIOT"/>
    <n v="0"/>
    <n v="0"/>
    <n v="0"/>
    <n v="0"/>
    <n v="600"/>
    <n v="0"/>
    <n v="0"/>
    <n v="0"/>
    <n v="600"/>
    <n v="1.209857389617488E-6"/>
    <n v="0.99964981613480619"/>
    <b v="0"/>
  </r>
  <r>
    <n v="1869"/>
    <m/>
    <x v="18"/>
    <m/>
    <s v="DOVER ENGLISH COUNTRY DANCERS"/>
    <n v="0"/>
    <n v="0"/>
    <n v="0"/>
    <n v="0"/>
    <n v="0"/>
    <n v="200"/>
    <n v="200"/>
    <n v="200"/>
    <n v="600"/>
    <n v="1.209857389617488E-6"/>
    <n v="0.9996510259921958"/>
    <b v="0"/>
  </r>
  <r>
    <n v="1875"/>
    <m/>
    <x v="18"/>
    <m/>
    <s v="RICHARD M HUDSON"/>
    <n v="0"/>
    <n v="0"/>
    <n v="0"/>
    <n v="0"/>
    <n v="0"/>
    <n v="200"/>
    <n v="200"/>
    <n v="200"/>
    <n v="600"/>
    <n v="1.209857389617488E-6"/>
    <n v="0.9996522358495854"/>
    <b v="0"/>
  </r>
  <r>
    <n v="2109"/>
    <m/>
    <x v="18"/>
    <m/>
    <s v="KAREN RODRIGUEZ"/>
    <n v="0"/>
    <n v="0"/>
    <n v="0"/>
    <n v="0"/>
    <n v="0"/>
    <n v="0"/>
    <n v="600"/>
    <n v="0"/>
    <n v="600"/>
    <n v="1.209857389617488E-6"/>
    <n v="0.99965344570697501"/>
    <b v="0"/>
  </r>
  <r>
    <n v="2151"/>
    <m/>
    <x v="18"/>
    <m/>
    <s v="JONATHAN COHEN"/>
    <n v="0"/>
    <n v="0"/>
    <n v="0"/>
    <n v="0"/>
    <n v="0"/>
    <n v="0"/>
    <n v="300"/>
    <n v="300"/>
    <n v="600"/>
    <n v="1.209857389617488E-6"/>
    <n v="0.99965465556436461"/>
    <b v="0"/>
  </r>
  <r>
    <n v="2359"/>
    <m/>
    <x v="18"/>
    <m/>
    <s v="MARTY MITCHELL"/>
    <n v="0"/>
    <n v="0"/>
    <n v="0"/>
    <n v="0"/>
    <n v="0"/>
    <n v="0"/>
    <n v="0"/>
    <n v="600"/>
    <n v="600"/>
    <n v="1.209857389617488E-6"/>
    <n v="0.99965586542175422"/>
    <b v="0"/>
  </r>
  <r>
    <n v="2360"/>
    <m/>
    <x v="18"/>
    <m/>
    <s v="BIG WHISKEY LLC"/>
    <n v="0"/>
    <n v="0"/>
    <n v="0"/>
    <n v="0"/>
    <n v="0"/>
    <n v="0"/>
    <n v="0"/>
    <n v="600"/>
    <n v="600"/>
    <n v="1.209857389617488E-6"/>
    <n v="0.99965707527914383"/>
    <b v="0"/>
  </r>
  <r>
    <n v="2361"/>
    <m/>
    <x v="18"/>
    <m/>
    <s v="ANDREW CHARLES MOORE"/>
    <n v="0"/>
    <n v="0"/>
    <n v="0"/>
    <n v="0"/>
    <n v="0"/>
    <n v="0"/>
    <n v="0"/>
    <n v="600"/>
    <n v="600"/>
    <n v="1.209857389617488E-6"/>
    <n v="0.99965828513653343"/>
    <b v="0"/>
  </r>
  <r>
    <n v="2362"/>
    <m/>
    <x v="18"/>
    <m/>
    <s v="DEAN RUBENSTEIN"/>
    <n v="0"/>
    <n v="0"/>
    <n v="0"/>
    <n v="0"/>
    <n v="0"/>
    <n v="0"/>
    <n v="0"/>
    <n v="600"/>
    <n v="600"/>
    <n v="1.209857389617488E-6"/>
    <n v="0.99965949499392304"/>
    <b v="0"/>
  </r>
  <r>
    <n v="2363"/>
    <m/>
    <x v="18"/>
    <m/>
    <s v="KWESI KANKAM"/>
    <n v="0"/>
    <n v="0"/>
    <n v="0"/>
    <n v="0"/>
    <n v="0"/>
    <n v="0"/>
    <n v="0"/>
    <n v="600"/>
    <n v="600"/>
    <n v="1.209857389617488E-6"/>
    <n v="0.99966070485131264"/>
    <b v="0"/>
  </r>
  <r>
    <n v="2110"/>
    <m/>
    <x v="18"/>
    <m/>
    <s v="COMPLIANCE ENVIROMENTAL INC"/>
    <n v="0"/>
    <n v="0"/>
    <n v="0"/>
    <n v="0"/>
    <n v="0"/>
    <n v="0"/>
    <n v="597.5"/>
    <n v="0"/>
    <n v="597.5"/>
    <n v="1.2048163171607485E-6"/>
    <n v="0.9996619096676298"/>
    <b v="0"/>
  </r>
  <r>
    <n v="536"/>
    <m/>
    <x v="18"/>
    <m/>
    <s v="CHARLOTTE HOLT"/>
    <n v="595"/>
    <n v="0"/>
    <n v="0"/>
    <n v="0"/>
    <n v="0"/>
    <n v="0"/>
    <n v="0"/>
    <n v="0"/>
    <n v="595"/>
    <n v="1.199775244704009E-6"/>
    <n v="0.99966310944287451"/>
    <b v="0"/>
  </r>
  <r>
    <n v="2364"/>
    <m/>
    <x v="18"/>
    <m/>
    <s v="BRIAN GARY"/>
    <n v="0"/>
    <n v="0"/>
    <n v="0"/>
    <n v="0"/>
    <n v="0"/>
    <n v="0"/>
    <n v="0"/>
    <n v="595"/>
    <n v="595"/>
    <n v="1.199775244704009E-6"/>
    <n v="0.99966430921811922"/>
    <b v="0"/>
  </r>
  <r>
    <n v="1310"/>
    <m/>
    <x v="18"/>
    <m/>
    <s v="DNREC FISCAL MANAGEMENT"/>
    <n v="0"/>
    <n v="0"/>
    <n v="0"/>
    <n v="556.34"/>
    <n v="0"/>
    <n v="0"/>
    <n v="0"/>
    <n v="37.49"/>
    <n v="593.83000000000004"/>
    <n v="1.197416022794255E-6"/>
    <n v="0.999665506634142"/>
    <b v="0"/>
  </r>
  <r>
    <n v="868"/>
    <m/>
    <x v="18"/>
    <m/>
    <s v="CHARLES R KREPLEY"/>
    <n v="0"/>
    <n v="590"/>
    <n v="0"/>
    <n v="0"/>
    <n v="0"/>
    <n v="0"/>
    <n v="0"/>
    <n v="0"/>
    <n v="590"/>
    <n v="1.18969309979053E-6"/>
    <n v="0.99966669632724181"/>
    <b v="0"/>
  </r>
  <r>
    <n v="1512"/>
    <m/>
    <x v="18"/>
    <m/>
    <s v="FUSION LAX"/>
    <n v="0"/>
    <n v="0"/>
    <n v="0"/>
    <n v="0"/>
    <n v="590"/>
    <n v="0"/>
    <n v="0"/>
    <n v="0"/>
    <n v="590"/>
    <n v="1.18969309979053E-6"/>
    <n v="0.99966788602034162"/>
    <b v="0"/>
  </r>
  <r>
    <n v="1646"/>
    <m/>
    <x v="18"/>
    <m/>
    <s v="OMB DELAWARE SURPLUS SERVICES"/>
    <n v="0"/>
    <n v="0"/>
    <n v="0"/>
    <n v="0"/>
    <n v="20"/>
    <n v="116.5"/>
    <n v="130"/>
    <n v="320"/>
    <n v="586.5"/>
    <n v="1.1826355983510946E-6"/>
    <n v="0.99966906865593996"/>
    <b v="0"/>
  </r>
  <r>
    <n v="1801"/>
    <m/>
    <x v="18"/>
    <m/>
    <s v="MATHEW SMITH"/>
    <n v="0"/>
    <n v="0"/>
    <n v="0"/>
    <n v="0"/>
    <n v="0"/>
    <n v="586"/>
    <n v="0"/>
    <n v="0"/>
    <n v="586"/>
    <n v="1.1816273838597467E-6"/>
    <n v="0.99967025028332379"/>
    <b v="0"/>
  </r>
  <r>
    <n v="1513"/>
    <m/>
    <x v="18"/>
    <m/>
    <s v="TERESA ALLEN"/>
    <n v="0"/>
    <n v="0"/>
    <n v="0"/>
    <n v="0"/>
    <n v="576"/>
    <n v="0"/>
    <n v="0"/>
    <n v="0"/>
    <n v="576"/>
    <n v="1.1614630940327886E-6"/>
    <n v="0.99967141174641783"/>
    <b v="0"/>
  </r>
  <r>
    <n v="1308"/>
    <m/>
    <x v="18"/>
    <m/>
    <s v="JEWISH FEDERATION OF DELAWARE"/>
    <n v="0"/>
    <n v="0"/>
    <n v="0"/>
    <n v="575"/>
    <n v="0"/>
    <n v="0"/>
    <n v="0"/>
    <n v="0"/>
    <n v="575"/>
    <n v="1.1594466650500927E-6"/>
    <n v="0.99967257119308284"/>
    <b v="0"/>
  </r>
  <r>
    <n v="2112"/>
    <m/>
    <x v="18"/>
    <m/>
    <s v="THE JUGGLING HOFFMANS"/>
    <n v="0"/>
    <n v="0"/>
    <n v="0"/>
    <n v="0"/>
    <n v="0"/>
    <n v="0"/>
    <n v="575"/>
    <n v="0"/>
    <n v="575"/>
    <n v="1.1594466650500927E-6"/>
    <n v="0.99967373063974785"/>
    <b v="0"/>
  </r>
  <r>
    <n v="1514"/>
    <m/>
    <x v="18"/>
    <m/>
    <s v="DANIELLE &amp; MATT BERGEZ"/>
    <n v="0"/>
    <n v="0"/>
    <n v="0"/>
    <n v="0"/>
    <n v="570"/>
    <n v="0"/>
    <n v="0"/>
    <n v="0"/>
    <n v="570"/>
    <n v="1.1493645201366137E-6"/>
    <n v="0.99967488000426796"/>
    <b v="0"/>
  </r>
  <r>
    <n v="1309"/>
    <m/>
    <x v="18"/>
    <m/>
    <s v="ENVIROCORP INC"/>
    <n v="0"/>
    <n v="0"/>
    <n v="0"/>
    <n v="565"/>
    <n v="0"/>
    <n v="0"/>
    <n v="0"/>
    <n v="0"/>
    <n v="565"/>
    <n v="1.1392823752231347E-6"/>
    <n v="0.99967601928664318"/>
    <b v="0"/>
  </r>
  <r>
    <n v="931"/>
    <m/>
    <x v="18"/>
    <m/>
    <s v="KELSEY DOYLE"/>
    <n v="0"/>
    <n v="120"/>
    <n v="440"/>
    <n v="0"/>
    <n v="0"/>
    <n v="0"/>
    <n v="0"/>
    <n v="0"/>
    <n v="560"/>
    <n v="1.1292002303096555E-6"/>
    <n v="0.9996771484868735"/>
    <b v="0"/>
  </r>
  <r>
    <n v="1586"/>
    <m/>
    <x v="18"/>
    <m/>
    <s v="DARRYL BRYANT"/>
    <n v="0"/>
    <n v="0"/>
    <n v="0"/>
    <n v="0"/>
    <n v="200"/>
    <n v="360"/>
    <n v="0"/>
    <n v="0"/>
    <n v="560"/>
    <n v="1.1292002303096555E-6"/>
    <n v="0.99967827768710382"/>
    <b v="0"/>
  </r>
  <r>
    <n v="2113"/>
    <m/>
    <x v="18"/>
    <m/>
    <s v="MARTIN COUGHLIN"/>
    <n v="0"/>
    <n v="0"/>
    <n v="0"/>
    <n v="0"/>
    <n v="0"/>
    <n v="0"/>
    <n v="560"/>
    <n v="0"/>
    <n v="560"/>
    <n v="1.1292002303096555E-6"/>
    <n v="0.99967940688733414"/>
    <b v="0"/>
  </r>
  <r>
    <n v="2365"/>
    <m/>
    <x v="18"/>
    <m/>
    <s v="NATIONAL GEOGRAPHIC PARTNERS LLC"/>
    <n v="0"/>
    <n v="0"/>
    <n v="0"/>
    <n v="0"/>
    <n v="0"/>
    <n v="0"/>
    <n v="0"/>
    <n v="551.04"/>
    <n v="551.04"/>
    <n v="1.111133026624701E-6"/>
    <n v="0.99968051802036073"/>
    <b v="0"/>
  </r>
  <r>
    <n v="869"/>
    <m/>
    <x v="18"/>
    <m/>
    <s v="KENNETH SINGLETON"/>
    <n v="0"/>
    <n v="550"/>
    <n v="0"/>
    <n v="0"/>
    <n v="0"/>
    <n v="0"/>
    <n v="0"/>
    <n v="0"/>
    <n v="550"/>
    <n v="1.1090359404826974E-6"/>
    <n v="0.99968162705630126"/>
    <b v="0"/>
  </r>
  <r>
    <n v="871"/>
    <m/>
    <x v="18"/>
    <m/>
    <s v="MICHAEL A CARVER JR"/>
    <n v="0"/>
    <n v="550"/>
    <n v="0"/>
    <n v="0"/>
    <n v="0"/>
    <n v="0"/>
    <n v="0"/>
    <n v="0"/>
    <n v="550"/>
    <n v="1.1090359404826974E-6"/>
    <n v="0.99968273609224179"/>
    <b v="0"/>
  </r>
  <r>
    <n v="1516"/>
    <m/>
    <x v="18"/>
    <m/>
    <s v="LOIS HOFFMAN"/>
    <n v="0"/>
    <n v="0"/>
    <n v="0"/>
    <n v="0"/>
    <n v="550"/>
    <n v="0"/>
    <n v="0"/>
    <n v="0"/>
    <n v="550"/>
    <n v="1.1090359404826974E-6"/>
    <n v="0.99968384512818231"/>
    <b v="0"/>
  </r>
  <r>
    <n v="1803"/>
    <m/>
    <x v="18"/>
    <m/>
    <s v="ANDREW SCHARFF"/>
    <n v="0"/>
    <n v="0"/>
    <n v="0"/>
    <n v="0"/>
    <n v="0"/>
    <n v="550"/>
    <n v="0"/>
    <n v="0"/>
    <n v="550"/>
    <n v="1.1090359404826974E-6"/>
    <n v="0.99968495416412284"/>
    <b v="0"/>
  </r>
  <r>
    <n v="2366"/>
    <m/>
    <x v="18"/>
    <m/>
    <s v="DENNIS P MCCAUGHEY DBA TROPICAL SOUL"/>
    <n v="0"/>
    <n v="0"/>
    <n v="0"/>
    <n v="0"/>
    <n v="0"/>
    <n v="0"/>
    <n v="0"/>
    <n v="550"/>
    <n v="550"/>
    <n v="1.1090359404826974E-6"/>
    <n v="0.99968606320006337"/>
    <b v="0"/>
  </r>
  <r>
    <n v="896"/>
    <m/>
    <x v="18"/>
    <m/>
    <s v="BUTLER FUEL AND SONS INC"/>
    <n v="0"/>
    <n v="335.15"/>
    <n v="0"/>
    <n v="0"/>
    <n v="0"/>
    <n v="210.9"/>
    <n v="0"/>
    <n v="0"/>
    <n v="546.04999999999995"/>
    <n v="1.1010710460010488E-6"/>
    <n v="0.99968716427110937"/>
    <b v="0"/>
  </r>
  <r>
    <n v="2157"/>
    <m/>
    <x v="18"/>
    <m/>
    <s v="SECURITY GUARD INC DBA GETTIER SECURTIY"/>
    <n v="0"/>
    <n v="0"/>
    <n v="0"/>
    <n v="0"/>
    <n v="0"/>
    <n v="0"/>
    <n v="273"/>
    <n v="273"/>
    <n v="546"/>
    <n v="1.1009702245519141E-6"/>
    <n v="0.99968826524133392"/>
    <b v="0"/>
  </r>
  <r>
    <n v="1119"/>
    <m/>
    <x v="18"/>
    <m/>
    <s v="CRAIG RHOADS"/>
    <n v="0"/>
    <n v="0"/>
    <n v="535.5"/>
    <n v="0"/>
    <n v="0"/>
    <n v="0"/>
    <n v="0"/>
    <n v="0"/>
    <n v="535.5"/>
    <n v="1.0797977202336081E-6"/>
    <n v="0.99968934503905416"/>
    <b v="0"/>
  </r>
  <r>
    <n v="643"/>
    <m/>
    <x v="18"/>
    <m/>
    <s v="WOODSIDE FARM INC"/>
    <n v="160"/>
    <n v="230"/>
    <n v="140"/>
    <n v="0"/>
    <n v="0"/>
    <n v="0"/>
    <n v="0"/>
    <n v="0"/>
    <n v="530"/>
    <n v="1.0687073608287811E-6"/>
    <n v="0.99969041374641499"/>
    <b v="0"/>
  </r>
  <r>
    <n v="2116"/>
    <m/>
    <x v="18"/>
    <m/>
    <s v="JONATHAN WICKERT"/>
    <n v="0"/>
    <n v="0"/>
    <n v="0"/>
    <n v="0"/>
    <n v="0"/>
    <n v="0"/>
    <n v="529.74"/>
    <n v="0"/>
    <n v="529.74"/>
    <n v="1.0681830892932802E-6"/>
    <n v="0.9996914819295043"/>
    <b v="0"/>
  </r>
  <r>
    <n v="2117"/>
    <m/>
    <x v="18"/>
    <m/>
    <s v="JACOB MILLER"/>
    <n v="0"/>
    <n v="0"/>
    <n v="0"/>
    <n v="0"/>
    <n v="0"/>
    <n v="0"/>
    <n v="528.17999999999995"/>
    <n v="0"/>
    <n v="528.17999999999995"/>
    <n v="1.0650374600802747E-6"/>
    <n v="0.99969254696696441"/>
    <b v="0"/>
  </r>
  <r>
    <n v="548"/>
    <m/>
    <x v="18"/>
    <m/>
    <s v="AMER PLANNING ASSOC"/>
    <n v="526"/>
    <n v="0"/>
    <n v="0"/>
    <n v="0"/>
    <n v="0"/>
    <n v="0"/>
    <n v="0"/>
    <n v="0"/>
    <n v="526"/>
    <n v="1.060641644897998E-6"/>
    <n v="0.99969360760860926"/>
    <b v="0"/>
  </r>
  <r>
    <n v="1370"/>
    <m/>
    <x v="18"/>
    <m/>
    <s v="WILLIS PHELPS JR"/>
    <n v="0"/>
    <n v="0"/>
    <n v="0"/>
    <n v="150"/>
    <n v="0"/>
    <n v="0"/>
    <n v="0"/>
    <n v="375"/>
    <n v="525"/>
    <n v="1.0586252159153021E-6"/>
    <n v="0.99969466623382519"/>
    <b v="0"/>
  </r>
  <r>
    <n v="1517"/>
    <m/>
    <x v="18"/>
    <m/>
    <s v="LIMEN HOUSE"/>
    <n v="0"/>
    <n v="0"/>
    <n v="0"/>
    <n v="0"/>
    <n v="525"/>
    <n v="0"/>
    <n v="0"/>
    <n v="0"/>
    <n v="525"/>
    <n v="1.0586252159153021E-6"/>
    <n v="0.99969572485904112"/>
    <b v="0"/>
  </r>
  <r>
    <n v="1922"/>
    <m/>
    <x v="18"/>
    <m/>
    <s v="RICHARD R SCHUMAN"/>
    <n v="0"/>
    <n v="0"/>
    <n v="0"/>
    <n v="0"/>
    <n v="0"/>
    <n v="75"/>
    <n v="75"/>
    <n v="375"/>
    <n v="525"/>
    <n v="1.0586252159153021E-6"/>
    <n v="0.99969678348425706"/>
    <b v="0"/>
  </r>
  <r>
    <n v="2367"/>
    <m/>
    <x v="18"/>
    <m/>
    <s v="SUN BEAR APIARY LLC"/>
    <n v="0"/>
    <n v="0"/>
    <n v="0"/>
    <n v="0"/>
    <n v="0"/>
    <n v="0"/>
    <n v="0"/>
    <n v="525"/>
    <n v="525"/>
    <n v="1.0586252159153021E-6"/>
    <n v="0.99969784210947299"/>
    <b v="0"/>
  </r>
  <r>
    <n v="2368"/>
    <m/>
    <x v="18"/>
    <m/>
    <s v="WESJEM INC"/>
    <n v="0"/>
    <n v="0"/>
    <n v="0"/>
    <n v="0"/>
    <n v="0"/>
    <n v="0"/>
    <n v="0"/>
    <n v="523.97"/>
    <n v="523.97"/>
    <n v="1.0565482940631254E-6"/>
    <n v="0.99969889865776707"/>
    <b v="0"/>
  </r>
  <r>
    <n v="1312"/>
    <m/>
    <x v="18"/>
    <m/>
    <s v="PETROCHOICE HOLDINGS INC"/>
    <n v="0"/>
    <n v="0"/>
    <n v="0"/>
    <n v="522.22"/>
    <n v="0"/>
    <n v="0"/>
    <n v="0"/>
    <n v="0"/>
    <n v="522.22"/>
    <n v="1.0530195433434079E-6"/>
    <n v="0.99969995167731041"/>
    <b v="0"/>
  </r>
  <r>
    <n v="2369"/>
    <m/>
    <x v="18"/>
    <m/>
    <s v="RIVER ROAD UNITARIAN"/>
    <n v="0"/>
    <n v="0"/>
    <n v="0"/>
    <n v="0"/>
    <n v="0"/>
    <n v="0"/>
    <n v="0"/>
    <n v="522"/>
    <n v="522"/>
    <n v="1.0525759289672147E-6"/>
    <n v="0.99970100425323938"/>
    <b v="0"/>
  </r>
  <r>
    <n v="943"/>
    <m/>
    <x v="18"/>
    <m/>
    <s v="KIMBALL MIDWEST"/>
    <n v="0"/>
    <n v="61.81"/>
    <n v="152.52000000000001"/>
    <n v="303.95"/>
    <n v="0"/>
    <n v="0"/>
    <n v="0"/>
    <n v="0"/>
    <n v="518.28"/>
    <n v="1.0450748131515862E-6"/>
    <n v="0.99970204932805251"/>
    <b v="0"/>
  </r>
  <r>
    <n v="2160"/>
    <m/>
    <x v="18"/>
    <m/>
    <s v="CONNEY SAFETY PRODUCTS LLC"/>
    <n v="0"/>
    <n v="0"/>
    <n v="0"/>
    <n v="0"/>
    <n v="0"/>
    <n v="0"/>
    <n v="258.33999999999997"/>
    <n v="258.52"/>
    <n v="516.8599999999999"/>
    <n v="1.042211483996158E-6"/>
    <n v="0.99970309153953651"/>
    <b v="0"/>
  </r>
  <r>
    <n v="905"/>
    <m/>
    <x v="18"/>
    <m/>
    <s v="SELBYVILLE TRACTOR &amp; EQUIPMENT INC"/>
    <n v="0"/>
    <n v="286"/>
    <n v="184"/>
    <n v="0"/>
    <n v="0"/>
    <n v="0"/>
    <n v="0"/>
    <n v="42.25"/>
    <n v="512.25"/>
    <n v="1.0329157463859305E-6"/>
    <n v="0.99970412445528289"/>
    <b v="0"/>
  </r>
  <r>
    <n v="2370"/>
    <m/>
    <x v="18"/>
    <m/>
    <s v="WALTER KENWORTHY"/>
    <n v="0"/>
    <n v="0"/>
    <n v="0"/>
    <n v="0"/>
    <n v="0"/>
    <n v="0"/>
    <n v="0"/>
    <n v="507.4"/>
    <n v="507.4"/>
    <n v="1.0231360658198557E-6"/>
    <n v="0.99970514759134876"/>
    <b v="0"/>
  </r>
  <r>
    <n v="550"/>
    <m/>
    <x v="18"/>
    <m/>
    <s v="CAMDEN AQUARIUM LLC DBA ADVENTURE AQUARI"/>
    <n v="507.15"/>
    <n v="0"/>
    <n v="0"/>
    <n v="0"/>
    <n v="0"/>
    <n v="0"/>
    <n v="0"/>
    <n v="0"/>
    <n v="507.15"/>
    <n v="1.0226319585741817E-6"/>
    <n v="0.99970617022330732"/>
    <b v="0"/>
  </r>
  <r>
    <n v="2149"/>
    <m/>
    <x v="18"/>
    <m/>
    <s v="SKYTOP IMAGES LLC"/>
    <n v="0"/>
    <n v="0"/>
    <n v="0"/>
    <n v="0"/>
    <n v="0"/>
    <n v="0"/>
    <n v="303"/>
    <n v="204"/>
    <n v="507"/>
    <n v="1.0223294942267774E-6"/>
    <n v="0.99970719255280149"/>
    <b v="0"/>
  </r>
  <r>
    <n v="556"/>
    <m/>
    <x v="18"/>
    <m/>
    <s v="GRETCHEN EMERY"/>
    <n v="500"/>
    <n v="0"/>
    <n v="0"/>
    <n v="0"/>
    <n v="0"/>
    <n v="0"/>
    <n v="0"/>
    <n v="0"/>
    <n v="500"/>
    <n v="1.0082144913479068E-6"/>
    <n v="0.99970820076729283"/>
    <b v="0"/>
  </r>
  <r>
    <n v="557"/>
    <m/>
    <x v="18"/>
    <m/>
    <s v="YEAGER PUBLISHING GROUP"/>
    <n v="500"/>
    <n v="0"/>
    <n v="0"/>
    <n v="0"/>
    <n v="0"/>
    <n v="0"/>
    <n v="0"/>
    <n v="0"/>
    <n v="500"/>
    <n v="1.0082144913479068E-6"/>
    <n v="0.99970920898178417"/>
    <b v="0"/>
  </r>
  <r>
    <n v="649"/>
    <m/>
    <x v="18"/>
    <m/>
    <s v="DELAWARE HUMANITIES COUNCIL"/>
    <n v="150"/>
    <n v="75"/>
    <n v="0"/>
    <n v="225"/>
    <n v="0"/>
    <n v="0"/>
    <n v="0"/>
    <n v="50"/>
    <n v="500"/>
    <n v="1.0082144913479068E-6"/>
    <n v="0.99971021719627551"/>
    <b v="0"/>
  </r>
  <r>
    <n v="1121"/>
    <m/>
    <x v="18"/>
    <m/>
    <s v="ALL AMERICAN BOOT MFGI NC"/>
    <n v="0"/>
    <n v="0"/>
    <n v="500"/>
    <n v="0"/>
    <n v="0"/>
    <n v="0"/>
    <n v="0"/>
    <n v="0"/>
    <n v="500"/>
    <n v="1.0082144913479068E-6"/>
    <n v="0.99971122541076685"/>
    <b v="0"/>
  </r>
  <r>
    <n v="1159"/>
    <m/>
    <x v="18"/>
    <m/>
    <s v="SAMUEL NOBLES"/>
    <n v="0"/>
    <n v="0"/>
    <n v="200"/>
    <n v="0"/>
    <n v="0"/>
    <n v="0"/>
    <n v="300"/>
    <n v="0"/>
    <n v="500"/>
    <n v="1.0082144913479068E-6"/>
    <n v="0.99971223362525818"/>
    <b v="0"/>
  </r>
  <r>
    <n v="1313"/>
    <m/>
    <x v="18"/>
    <m/>
    <s v="PORTER SAND &amp; GRAVEL INC"/>
    <n v="0"/>
    <n v="0"/>
    <n v="0"/>
    <n v="500"/>
    <n v="0"/>
    <n v="0"/>
    <n v="0"/>
    <n v="0"/>
    <n v="500"/>
    <n v="1.0082144913479068E-6"/>
    <n v="0.99971324183974952"/>
    <b v="0"/>
  </r>
  <r>
    <n v="1314"/>
    <m/>
    <x v="18"/>
    <m/>
    <s v="RON ALBANESE"/>
    <n v="0"/>
    <n v="0"/>
    <n v="0"/>
    <n v="500"/>
    <n v="0"/>
    <n v="0"/>
    <n v="0"/>
    <n v="0"/>
    <n v="500"/>
    <n v="1.0082144913479068E-6"/>
    <n v="0.99971425005424086"/>
    <b v="0"/>
  </r>
  <r>
    <n v="1315"/>
    <m/>
    <x v="18"/>
    <m/>
    <s v="Bethany Fiske"/>
    <n v="0"/>
    <n v="0"/>
    <n v="0"/>
    <n v="500"/>
    <n v="0"/>
    <n v="0"/>
    <n v="0"/>
    <n v="0"/>
    <n v="500"/>
    <n v="1.0082144913479068E-6"/>
    <n v="0.9997152582687322"/>
    <b v="0"/>
  </r>
  <r>
    <n v="1355"/>
    <m/>
    <x v="18"/>
    <m/>
    <s v="TRINITY BRASS DBA TOUCH OF BRASS"/>
    <n v="0"/>
    <n v="0"/>
    <n v="0"/>
    <n v="200"/>
    <n v="300"/>
    <n v="0"/>
    <n v="0"/>
    <n v="0"/>
    <n v="500"/>
    <n v="1.0082144913479068E-6"/>
    <n v="0.99971626648322354"/>
    <b v="0"/>
  </r>
  <r>
    <n v="1518"/>
    <m/>
    <x v="18"/>
    <m/>
    <s v="Benjamin Croucher"/>
    <n v="0"/>
    <n v="0"/>
    <n v="0"/>
    <n v="0"/>
    <n v="500"/>
    <n v="0"/>
    <n v="0"/>
    <n v="0"/>
    <n v="500"/>
    <n v="1.0082144913479068E-6"/>
    <n v="0.99971727469771487"/>
    <b v="0"/>
  </r>
  <r>
    <n v="1519"/>
    <m/>
    <x v="18"/>
    <m/>
    <s v="CANDI CAPORALE"/>
    <n v="0"/>
    <n v="0"/>
    <n v="0"/>
    <n v="0"/>
    <n v="500"/>
    <n v="0"/>
    <n v="0"/>
    <n v="0"/>
    <n v="500"/>
    <n v="1.0082144913479068E-6"/>
    <n v="0.99971828291220621"/>
    <b v="0"/>
  </r>
  <r>
    <n v="1554"/>
    <m/>
    <x v="18"/>
    <m/>
    <s v="BRITNEY WHITBY"/>
    <n v="0"/>
    <n v="0"/>
    <n v="0"/>
    <n v="0"/>
    <n v="250"/>
    <n v="250"/>
    <n v="0"/>
    <n v="0"/>
    <n v="500"/>
    <n v="1.0082144913479068E-6"/>
    <n v="0.99971929112669755"/>
    <b v="0"/>
  </r>
  <r>
    <n v="1804"/>
    <m/>
    <x v="18"/>
    <m/>
    <s v="HARPERS TRANSPORTATION INC"/>
    <n v="0"/>
    <n v="0"/>
    <n v="0"/>
    <n v="0"/>
    <n v="0"/>
    <n v="500"/>
    <n v="0"/>
    <n v="0"/>
    <n v="500"/>
    <n v="1.0082144913479068E-6"/>
    <n v="0.99972029934118889"/>
    <b v="0"/>
  </r>
  <r>
    <n v="1805"/>
    <m/>
    <x v="18"/>
    <m/>
    <s v="CHRISTOPHER BRADDOCK"/>
    <n v="0"/>
    <n v="0"/>
    <n v="0"/>
    <n v="0"/>
    <n v="0"/>
    <n v="500"/>
    <n v="0"/>
    <n v="0"/>
    <n v="500"/>
    <n v="1.0082144913479068E-6"/>
    <n v="0.99972130755568023"/>
    <b v="0"/>
  </r>
  <r>
    <n v="1806"/>
    <m/>
    <x v="18"/>
    <m/>
    <s v="JOHN FRANCIS MORAN"/>
    <n v="0"/>
    <n v="0"/>
    <n v="0"/>
    <n v="0"/>
    <n v="0"/>
    <n v="500"/>
    <n v="0"/>
    <n v="0"/>
    <n v="500"/>
    <n v="1.0082144913479068E-6"/>
    <n v="0.99972231577017157"/>
    <b v="0"/>
  </r>
  <r>
    <n v="2121"/>
    <m/>
    <x v="18"/>
    <m/>
    <s v="JOHN A CLARK"/>
    <n v="0"/>
    <n v="0"/>
    <n v="0"/>
    <n v="0"/>
    <n v="0"/>
    <n v="0"/>
    <n v="500"/>
    <n v="0"/>
    <n v="500"/>
    <n v="1.0082144913479068E-6"/>
    <n v="0.9997233239846629"/>
    <b v="0"/>
  </r>
  <r>
    <n v="2122"/>
    <m/>
    <x v="18"/>
    <m/>
    <s v="NANCY ELLEN GARDNER"/>
    <n v="0"/>
    <n v="0"/>
    <n v="0"/>
    <n v="0"/>
    <n v="0"/>
    <n v="0"/>
    <n v="500"/>
    <n v="0"/>
    <n v="500"/>
    <n v="1.0082144913479068E-6"/>
    <n v="0.99972433219915424"/>
    <b v="0"/>
  </r>
  <r>
    <n v="2145"/>
    <m/>
    <x v="18"/>
    <m/>
    <s v="CHARLIE LYNCH"/>
    <n v="0"/>
    <n v="0"/>
    <n v="0"/>
    <n v="0"/>
    <n v="0"/>
    <n v="0"/>
    <n v="350"/>
    <n v="150"/>
    <n v="500"/>
    <n v="1.0082144913479068E-6"/>
    <n v="0.99972534041364558"/>
    <b v="0"/>
  </r>
  <r>
    <n v="2371"/>
    <m/>
    <x v="18"/>
    <m/>
    <s v="TINA WHARTON"/>
    <n v="0"/>
    <n v="0"/>
    <n v="0"/>
    <n v="0"/>
    <n v="0"/>
    <n v="0"/>
    <n v="0"/>
    <n v="500"/>
    <n v="500"/>
    <n v="1.0082144913479068E-6"/>
    <n v="0.99972634862813692"/>
    <b v="0"/>
  </r>
  <r>
    <n v="2372"/>
    <m/>
    <x v="18"/>
    <m/>
    <s v="MEGAN HARRINGTON DALFOVO-SZABO"/>
    <n v="0"/>
    <n v="0"/>
    <n v="0"/>
    <n v="0"/>
    <n v="0"/>
    <n v="0"/>
    <n v="0"/>
    <n v="500"/>
    <n v="500"/>
    <n v="1.0082144913479068E-6"/>
    <n v="0.99972735684262826"/>
    <b v="0"/>
  </r>
  <r>
    <n v="2373"/>
    <m/>
    <x v="18"/>
    <m/>
    <s v="SONIA DIANE SAUNDERS"/>
    <n v="0"/>
    <n v="0"/>
    <n v="0"/>
    <n v="0"/>
    <n v="0"/>
    <n v="0"/>
    <n v="0"/>
    <n v="500"/>
    <n v="500"/>
    <n v="1.0082144913479068E-6"/>
    <n v="0.99972836505711959"/>
    <b v="0"/>
  </r>
  <r>
    <n v="2374"/>
    <m/>
    <x v="18"/>
    <m/>
    <s v="ANGELA HOWELL"/>
    <n v="0"/>
    <n v="0"/>
    <n v="0"/>
    <n v="0"/>
    <n v="0"/>
    <n v="0"/>
    <n v="0"/>
    <n v="500"/>
    <n v="500"/>
    <n v="1.0082144913479068E-6"/>
    <n v="0.99972937327161093"/>
    <b v="0"/>
  </r>
  <r>
    <n v="2375"/>
    <m/>
    <x v="18"/>
    <m/>
    <s v="ARCHMERE ACADEMY"/>
    <n v="0"/>
    <n v="0"/>
    <n v="0"/>
    <n v="0"/>
    <n v="0"/>
    <n v="0"/>
    <n v="0"/>
    <n v="500"/>
    <n v="500"/>
    <n v="1.0082144913479068E-6"/>
    <n v="0.99973038148610227"/>
    <b v="0"/>
  </r>
  <r>
    <n v="2376"/>
    <m/>
    <x v="18"/>
    <m/>
    <s v="DONNA ANTTILA"/>
    <n v="0"/>
    <n v="0"/>
    <n v="0"/>
    <n v="0"/>
    <n v="0"/>
    <n v="0"/>
    <n v="0"/>
    <n v="500"/>
    <n v="500"/>
    <n v="1.0082144913479068E-6"/>
    <n v="0.99973138970059361"/>
    <b v="0"/>
  </r>
  <r>
    <n v="2377"/>
    <m/>
    <x v="18"/>
    <m/>
    <s v="MADELINE ELLE ZIEGLER"/>
    <n v="0"/>
    <n v="0"/>
    <n v="0"/>
    <n v="0"/>
    <n v="0"/>
    <n v="0"/>
    <n v="0"/>
    <n v="500"/>
    <n v="500"/>
    <n v="1.0082144913479068E-6"/>
    <n v="0.99973239791508495"/>
    <b v="0"/>
  </r>
  <r>
    <n v="1807"/>
    <m/>
    <x v="18"/>
    <m/>
    <s v="MATT GISH"/>
    <n v="0"/>
    <n v="0"/>
    <n v="0"/>
    <n v="0"/>
    <n v="0"/>
    <n v="496"/>
    <n v="0"/>
    <n v="0"/>
    <n v="496"/>
    <n v="1.0001487754171235E-6"/>
    <n v="0.99973339806386041"/>
    <b v="0"/>
  </r>
  <r>
    <n v="1808"/>
    <m/>
    <x v="18"/>
    <m/>
    <s v="GAIL PINEAULT"/>
    <n v="0"/>
    <n v="0"/>
    <n v="0"/>
    <n v="0"/>
    <n v="0"/>
    <n v="495"/>
    <n v="0"/>
    <n v="0"/>
    <n v="495"/>
    <n v="9.9813234643442757E-7"/>
    <n v="0.99973439619620685"/>
    <b v="0"/>
  </r>
  <r>
    <n v="2123"/>
    <m/>
    <x v="18"/>
    <m/>
    <s v="LAURIE BROWN"/>
    <n v="0"/>
    <n v="0"/>
    <n v="0"/>
    <n v="0"/>
    <n v="0"/>
    <n v="0"/>
    <n v="495"/>
    <n v="0"/>
    <n v="495"/>
    <n v="9.9813234643442757E-7"/>
    <n v="0.9997353943285533"/>
    <b v="0"/>
  </r>
  <r>
    <n v="2378"/>
    <m/>
    <x v="18"/>
    <m/>
    <s v="GATEHOUSE MEDIA DE HOLDINGS INC"/>
    <n v="0"/>
    <n v="0"/>
    <n v="0"/>
    <n v="0"/>
    <n v="0"/>
    <n v="0"/>
    <n v="0"/>
    <n v="495"/>
    <n v="495"/>
    <n v="9.9813234643442757E-7"/>
    <n v="0.99973639246089974"/>
    <b v="0"/>
  </r>
  <r>
    <n v="2124"/>
    <m/>
    <x v="18"/>
    <m/>
    <s v="RED INC"/>
    <n v="0"/>
    <n v="0"/>
    <n v="0"/>
    <n v="0"/>
    <n v="0"/>
    <n v="0"/>
    <n v="492.7"/>
    <n v="0"/>
    <n v="492.7"/>
    <n v="9.9349455977422724E-7"/>
    <n v="0.99973738595545947"/>
    <b v="0"/>
  </r>
  <r>
    <n v="2379"/>
    <m/>
    <x v="18"/>
    <m/>
    <s v="DIRECTV LLC"/>
    <n v="0"/>
    <n v="0"/>
    <n v="0"/>
    <n v="0"/>
    <n v="0"/>
    <n v="0"/>
    <n v="0"/>
    <n v="490.15"/>
    <n v="490.15"/>
    <n v="9.8835266586835283E-7"/>
    <n v="0.99973837430812529"/>
    <b v="0"/>
  </r>
  <r>
    <n v="1880"/>
    <m/>
    <x v="18"/>
    <m/>
    <s v="CHIMNEYS INC LLC"/>
    <n v="0"/>
    <n v="0"/>
    <n v="0"/>
    <n v="0"/>
    <n v="0"/>
    <n v="189"/>
    <n v="0"/>
    <n v="300"/>
    <n v="489"/>
    <n v="9.8603377253825288E-7"/>
    <n v="0.99973936034189781"/>
    <b v="0"/>
  </r>
  <r>
    <n v="1809"/>
    <m/>
    <x v="18"/>
    <m/>
    <s v="JEFFERY C NORTHEY"/>
    <n v="0"/>
    <n v="0"/>
    <n v="0"/>
    <n v="0"/>
    <n v="0"/>
    <n v="480"/>
    <n v="0"/>
    <n v="0"/>
    <n v="480"/>
    <n v="9.6788591169399052E-7"/>
    <n v="0.99974032822780945"/>
    <b v="0"/>
  </r>
  <r>
    <n v="2380"/>
    <m/>
    <x v="18"/>
    <m/>
    <s v="JEFFERY NICKEL"/>
    <n v="0"/>
    <n v="0"/>
    <n v="0"/>
    <n v="0"/>
    <n v="0"/>
    <n v="0"/>
    <n v="0"/>
    <n v="480"/>
    <n v="480"/>
    <n v="9.6788591169399052E-7"/>
    <n v="0.99974129611372109"/>
    <b v="0"/>
  </r>
  <r>
    <n v="2381"/>
    <m/>
    <x v="18"/>
    <m/>
    <s v="PETER GABRIEL BOSSERMAN"/>
    <n v="0"/>
    <n v="0"/>
    <n v="0"/>
    <n v="0"/>
    <n v="0"/>
    <n v="0"/>
    <n v="0"/>
    <n v="480"/>
    <n v="480"/>
    <n v="9.6788591169399052E-7"/>
    <n v="0.99974226399963273"/>
    <b v="0"/>
  </r>
  <r>
    <n v="2382"/>
    <m/>
    <x v="18"/>
    <m/>
    <s v="ADAMS AUTO PARTS"/>
    <n v="0"/>
    <n v="0"/>
    <n v="0"/>
    <n v="0"/>
    <n v="0"/>
    <n v="0"/>
    <n v="0"/>
    <n v="476.24"/>
    <n v="476.24"/>
    <n v="9.6030413871905423E-7"/>
    <n v="0.99974322430377149"/>
    <b v="0"/>
  </r>
  <r>
    <n v="1520"/>
    <m/>
    <x v="18"/>
    <m/>
    <s v="CYNTHIA PACE"/>
    <n v="0"/>
    <n v="0"/>
    <n v="0"/>
    <n v="0"/>
    <n v="475"/>
    <n v="0"/>
    <n v="0"/>
    <n v="0"/>
    <n v="475"/>
    <n v="9.578037667805115E-7"/>
    <n v="0.99974418210753824"/>
    <b v="0"/>
  </r>
  <r>
    <n v="1810"/>
    <m/>
    <x v="18"/>
    <m/>
    <s v="KENCOR INC"/>
    <n v="0"/>
    <n v="0"/>
    <n v="0"/>
    <n v="0"/>
    <n v="0"/>
    <n v="475"/>
    <n v="0"/>
    <n v="0"/>
    <n v="475"/>
    <n v="9.578037667805115E-7"/>
    <n v="0.99974513991130498"/>
    <b v="0"/>
  </r>
  <r>
    <n v="1811"/>
    <m/>
    <x v="18"/>
    <m/>
    <s v="PAMELA K MINOR"/>
    <n v="0"/>
    <n v="0"/>
    <n v="0"/>
    <n v="0"/>
    <n v="0"/>
    <n v="475"/>
    <n v="0"/>
    <n v="0"/>
    <n v="475"/>
    <n v="9.578037667805115E-7"/>
    <n v="0.99974609771507172"/>
    <b v="0"/>
  </r>
  <r>
    <n v="2125"/>
    <m/>
    <x v="18"/>
    <m/>
    <s v="MARTEK OF MARYLAND INC"/>
    <n v="0"/>
    <n v="0"/>
    <n v="0"/>
    <n v="0"/>
    <n v="0"/>
    <n v="0"/>
    <n v="475"/>
    <n v="0"/>
    <n v="475"/>
    <n v="9.578037667805115E-7"/>
    <n v="0.99974705551883847"/>
    <b v="0"/>
  </r>
  <r>
    <n v="2126"/>
    <m/>
    <x v="18"/>
    <m/>
    <s v="MAINELY BUOYS LLC"/>
    <n v="0"/>
    <n v="0"/>
    <n v="0"/>
    <n v="0"/>
    <n v="0"/>
    <n v="0"/>
    <n v="470.34"/>
    <n v="0"/>
    <n v="470.34"/>
    <n v="9.4840720772114891E-7"/>
    <n v="0.99974800392604624"/>
    <b v="0"/>
  </r>
  <r>
    <n v="1316"/>
    <m/>
    <x v="18"/>
    <m/>
    <s v="SYRETTA KING"/>
    <n v="0"/>
    <n v="0"/>
    <n v="0"/>
    <n v="470"/>
    <n v="0"/>
    <n v="0"/>
    <n v="0"/>
    <n v="0"/>
    <n v="470"/>
    <n v="9.4772162186703237E-7"/>
    <n v="0.99974895164766808"/>
    <b v="0"/>
  </r>
  <r>
    <n v="1558"/>
    <m/>
    <x v="18"/>
    <m/>
    <s v="SETH HAMMONDS"/>
    <n v="0"/>
    <n v="0"/>
    <n v="0"/>
    <n v="0"/>
    <n v="250"/>
    <n v="215"/>
    <n v="0"/>
    <n v="0"/>
    <n v="465"/>
    <n v="9.3763947695355325E-7"/>
    <n v="0.99974988928714503"/>
    <b v="0"/>
  </r>
  <r>
    <n v="2383"/>
    <m/>
    <x v="18"/>
    <m/>
    <s v="THE BRIGGS COMPANY"/>
    <n v="0"/>
    <n v="0"/>
    <n v="0"/>
    <n v="0"/>
    <n v="0"/>
    <n v="0"/>
    <n v="0"/>
    <n v="464.7"/>
    <n v="464.7"/>
    <n v="9.3703454825874448E-7"/>
    <n v="0.99975082632169332"/>
    <b v="0"/>
  </r>
  <r>
    <n v="600"/>
    <m/>
    <x v="18"/>
    <m/>
    <s v="MINOUS DURHAM"/>
    <n v="360"/>
    <n v="100"/>
    <n v="0"/>
    <n v="0"/>
    <n v="0"/>
    <n v="0"/>
    <n v="0"/>
    <n v="0"/>
    <n v="460"/>
    <n v="9.2755733204007423E-7"/>
    <n v="0.99975175387902537"/>
    <b v="0"/>
  </r>
  <r>
    <n v="1812"/>
    <m/>
    <x v="18"/>
    <m/>
    <s v="LINDSEY SMITH"/>
    <n v="0"/>
    <n v="0"/>
    <n v="0"/>
    <n v="0"/>
    <n v="0"/>
    <n v="455"/>
    <n v="0"/>
    <n v="0"/>
    <n v="455"/>
    <n v="9.174751871265951E-7"/>
    <n v="0.99975267135421253"/>
    <b v="0"/>
  </r>
  <r>
    <n v="576"/>
    <m/>
    <x v="18"/>
    <m/>
    <s v="ATLAS TALENT &amp; SOUND LLC"/>
    <n v="450"/>
    <n v="0"/>
    <n v="0"/>
    <n v="0"/>
    <n v="0"/>
    <n v="0"/>
    <n v="0"/>
    <n v="0"/>
    <n v="450"/>
    <n v="9.0739304221311608E-7"/>
    <n v="0.99975357874725479"/>
    <b v="0"/>
  </r>
  <r>
    <n v="880"/>
    <m/>
    <x v="18"/>
    <m/>
    <s v="ESTHER ALEXANDRA NARANJO CORTEZ"/>
    <n v="0"/>
    <n v="450"/>
    <n v="0"/>
    <n v="0"/>
    <n v="0"/>
    <n v="0"/>
    <n v="0"/>
    <n v="0"/>
    <n v="450"/>
    <n v="9.0739304221311608E-7"/>
    <n v="0.99975448614029705"/>
    <b v="0"/>
  </r>
  <r>
    <n v="1126"/>
    <m/>
    <x v="18"/>
    <m/>
    <s v="GARY FRANCIS"/>
    <n v="0"/>
    <n v="0"/>
    <n v="450"/>
    <n v="0"/>
    <n v="0"/>
    <n v="0"/>
    <n v="0"/>
    <n v="0"/>
    <n v="450"/>
    <n v="9.0739304221311608E-7"/>
    <n v="0.99975539353333931"/>
    <b v="0"/>
  </r>
  <r>
    <n v="1335"/>
    <m/>
    <x v="18"/>
    <m/>
    <s v="HANNA PAIGE MELBA"/>
    <n v="0"/>
    <n v="0"/>
    <n v="0"/>
    <n v="300"/>
    <n v="0"/>
    <n v="0"/>
    <n v="0"/>
    <n v="150"/>
    <n v="450"/>
    <n v="9.0739304221311608E-7"/>
    <n v="0.99975630092638157"/>
    <b v="0"/>
  </r>
  <r>
    <n v="1814"/>
    <m/>
    <x v="18"/>
    <m/>
    <s v="MIKE RUSCK"/>
    <n v="0"/>
    <n v="0"/>
    <n v="0"/>
    <n v="0"/>
    <n v="0"/>
    <n v="450"/>
    <n v="0"/>
    <n v="0"/>
    <n v="450"/>
    <n v="9.0739304221311608E-7"/>
    <n v="0.99975720831942383"/>
    <b v="0"/>
  </r>
  <r>
    <n v="1848"/>
    <m/>
    <x v="18"/>
    <m/>
    <s v="WICKED R WESTERN PROD INC"/>
    <n v="0"/>
    <n v="0"/>
    <n v="0"/>
    <n v="0"/>
    <n v="0"/>
    <n v="270"/>
    <n v="0"/>
    <n v="180"/>
    <n v="450"/>
    <n v="9.0739304221311608E-7"/>
    <n v="0.99975811571246609"/>
    <b v="0"/>
  </r>
  <r>
    <n v="2128"/>
    <m/>
    <x v="18"/>
    <m/>
    <s v="GREATER WILMINGTON CONVENTION &amp; VISITORS"/>
    <n v="0"/>
    <n v="0"/>
    <n v="0"/>
    <n v="0"/>
    <n v="0"/>
    <n v="0"/>
    <n v="450"/>
    <n v="0"/>
    <n v="450"/>
    <n v="9.0739304221311608E-7"/>
    <n v="0.99975902310550835"/>
    <b v="0"/>
  </r>
  <r>
    <n v="2130"/>
    <m/>
    <x v="18"/>
    <m/>
    <s v="ANGELA MITCHELL"/>
    <n v="0"/>
    <n v="0"/>
    <n v="0"/>
    <n v="0"/>
    <n v="0"/>
    <n v="0"/>
    <n v="450"/>
    <n v="0"/>
    <n v="450"/>
    <n v="9.0739304221311608E-7"/>
    <n v="0.99975993049855061"/>
    <b v="0"/>
  </r>
  <r>
    <n v="2384"/>
    <m/>
    <x v="18"/>
    <m/>
    <s v="EUGENE R MCCLONE"/>
    <n v="0"/>
    <n v="0"/>
    <n v="0"/>
    <n v="0"/>
    <n v="0"/>
    <n v="0"/>
    <n v="0"/>
    <n v="450"/>
    <n v="450"/>
    <n v="9.0739304221311608E-7"/>
    <n v="0.99976083789159287"/>
    <b v="0"/>
  </r>
  <r>
    <n v="2385"/>
    <m/>
    <x v="18"/>
    <m/>
    <s v="LARRY WAYNE SPENCER"/>
    <n v="0"/>
    <n v="0"/>
    <n v="0"/>
    <n v="0"/>
    <n v="0"/>
    <n v="0"/>
    <n v="0"/>
    <n v="450"/>
    <n v="450"/>
    <n v="9.0739304221311608E-7"/>
    <n v="0.99976174528463513"/>
    <b v="0"/>
  </r>
  <r>
    <n v="2386"/>
    <m/>
    <x v="18"/>
    <m/>
    <s v="JAY S MILLER"/>
    <n v="0"/>
    <n v="0"/>
    <n v="0"/>
    <n v="0"/>
    <n v="0"/>
    <n v="0"/>
    <n v="0"/>
    <n v="450"/>
    <n v="450"/>
    <n v="9.0739304221311608E-7"/>
    <n v="0.99976265267767739"/>
    <b v="0"/>
  </r>
  <r>
    <n v="577"/>
    <m/>
    <x v="18"/>
    <m/>
    <s v="WIDGEON ENTERPRISES INC"/>
    <n v="448"/>
    <n v="0"/>
    <n v="0"/>
    <n v="0"/>
    <n v="0"/>
    <n v="0"/>
    <n v="0"/>
    <n v="0"/>
    <n v="448"/>
    <n v="9.0336018424772441E-7"/>
    <n v="0.9997635560378616"/>
    <b v="0"/>
  </r>
  <r>
    <n v="1522"/>
    <m/>
    <x v="18"/>
    <m/>
    <s v="AUSTIN BERGERON"/>
    <n v="0"/>
    <n v="0"/>
    <n v="0"/>
    <n v="0"/>
    <n v="446.25"/>
    <n v="0"/>
    <n v="0"/>
    <n v="0"/>
    <n v="446.25"/>
    <n v="8.9983143352800682E-7"/>
    <n v="0.99976445586929508"/>
    <b v="0"/>
  </r>
  <r>
    <n v="883"/>
    <m/>
    <x v="18"/>
    <m/>
    <s v="CLEAR VISION GLASS LLC"/>
    <n v="0"/>
    <n v="445.05"/>
    <n v="0"/>
    <n v="0"/>
    <n v="0"/>
    <n v="0"/>
    <n v="0"/>
    <n v="0"/>
    <n v="445.05"/>
    <n v="8.9741171874877186E-7"/>
    <n v="0.99976535328101379"/>
    <b v="0"/>
  </r>
  <r>
    <n v="1815"/>
    <m/>
    <x v="18"/>
    <m/>
    <s v="TOMMY &amp; KAREN MARVASO"/>
    <n v="0"/>
    <n v="0"/>
    <n v="0"/>
    <n v="0"/>
    <n v="0"/>
    <n v="442.25"/>
    <n v="0"/>
    <n v="0"/>
    <n v="442.25"/>
    <n v="8.9176571759722347E-7"/>
    <n v="0.99976624504673139"/>
    <b v="0"/>
  </r>
  <r>
    <n v="578"/>
    <m/>
    <x v="18"/>
    <m/>
    <s v="MICHAEL ALAN EDDINGER"/>
    <n v="441"/>
    <n v="0"/>
    <n v="0"/>
    <n v="0"/>
    <n v="0"/>
    <n v="0"/>
    <n v="0"/>
    <n v="0"/>
    <n v="441"/>
    <n v="8.8924518136885372E-7"/>
    <n v="0.99976713429191277"/>
    <b v="0"/>
  </r>
  <r>
    <n v="580"/>
    <m/>
    <x v="18"/>
    <m/>
    <s v="THERESA MOSIER"/>
    <n v="440"/>
    <n v="0"/>
    <n v="0"/>
    <n v="0"/>
    <n v="0"/>
    <n v="0"/>
    <n v="0"/>
    <n v="0"/>
    <n v="440"/>
    <n v="8.8722875238615794E-7"/>
    <n v="0.99976802152066513"/>
    <b v="0"/>
  </r>
  <r>
    <n v="1320"/>
    <m/>
    <x v="18"/>
    <m/>
    <s v="WALNUT HILL VETERINARY CLINIC"/>
    <n v="0"/>
    <n v="0"/>
    <n v="0"/>
    <n v="440"/>
    <n v="0"/>
    <n v="0"/>
    <n v="0"/>
    <n v="0"/>
    <n v="440"/>
    <n v="8.8722875238615794E-7"/>
    <n v="0.99976890874941748"/>
    <b v="0"/>
  </r>
  <r>
    <n v="1321"/>
    <m/>
    <x v="18"/>
    <m/>
    <s v="KRISTYN SMALL"/>
    <n v="0"/>
    <n v="0"/>
    <n v="0"/>
    <n v="439"/>
    <n v="0"/>
    <n v="0"/>
    <n v="0"/>
    <n v="0"/>
    <n v="439"/>
    <n v="8.8521232340346215E-7"/>
    <n v="0.99976979396174093"/>
    <b v="0"/>
  </r>
  <r>
    <n v="2387"/>
    <m/>
    <x v="18"/>
    <m/>
    <s v="R B ENVIRONMENTAL SERVICES INC"/>
    <n v="0"/>
    <n v="0"/>
    <n v="0"/>
    <n v="0"/>
    <n v="0"/>
    <n v="0"/>
    <n v="0"/>
    <n v="435.48"/>
    <n v="435.48"/>
    <n v="8.7811449338437292E-7"/>
    <n v="0.99977067207623427"/>
    <b v="0"/>
  </r>
  <r>
    <n v="1523"/>
    <m/>
    <x v="18"/>
    <m/>
    <s v="DAN MCGINNIS"/>
    <n v="0"/>
    <n v="0"/>
    <n v="0"/>
    <n v="0"/>
    <n v="432"/>
    <n v="0"/>
    <n v="0"/>
    <n v="0"/>
    <n v="432"/>
    <n v="8.7109732052459146E-7"/>
    <n v="0.99977154317355477"/>
    <b v="0"/>
  </r>
  <r>
    <n v="1817"/>
    <m/>
    <x v="18"/>
    <m/>
    <s v="CHIP PIERCE"/>
    <n v="0"/>
    <n v="0"/>
    <n v="0"/>
    <n v="0"/>
    <n v="0"/>
    <n v="432"/>
    <n v="0"/>
    <n v="0"/>
    <n v="432"/>
    <n v="8.7109732052459146E-7"/>
    <n v="0.99977241427087526"/>
    <b v="0"/>
  </r>
  <r>
    <n v="1818"/>
    <m/>
    <x v="18"/>
    <m/>
    <s v="RODNEY THOMPSON MIDDLE SCHOOL"/>
    <n v="0"/>
    <n v="0"/>
    <n v="0"/>
    <n v="0"/>
    <n v="0"/>
    <n v="432"/>
    <n v="0"/>
    <n v="0"/>
    <n v="432"/>
    <n v="8.7109732052459146E-7"/>
    <n v="0.99977328536819576"/>
    <b v="0"/>
  </r>
  <r>
    <n v="1819"/>
    <m/>
    <x v="18"/>
    <m/>
    <s v="KELLEY PRICE"/>
    <n v="0"/>
    <n v="0"/>
    <n v="0"/>
    <n v="0"/>
    <n v="0"/>
    <n v="432"/>
    <n v="0"/>
    <n v="0"/>
    <n v="432"/>
    <n v="8.7109732052459146E-7"/>
    <n v="0.99977415646551626"/>
    <b v="0"/>
  </r>
  <r>
    <n v="1524"/>
    <m/>
    <x v="18"/>
    <m/>
    <s v="PALMA RITI"/>
    <n v="0"/>
    <n v="0"/>
    <n v="0"/>
    <n v="0"/>
    <n v="430"/>
    <n v="0"/>
    <n v="0"/>
    <n v="0"/>
    <n v="430"/>
    <n v="8.6706446255919979E-7"/>
    <n v="0.99977502352997882"/>
    <b v="0"/>
  </r>
  <r>
    <n v="1322"/>
    <m/>
    <x v="18"/>
    <m/>
    <s v="SUPERIOR ELECTRIC SVC CO"/>
    <n v="0"/>
    <n v="0"/>
    <n v="0"/>
    <n v="429.41"/>
    <n v="0"/>
    <n v="0"/>
    <n v="0"/>
    <n v="0"/>
    <n v="429.41"/>
    <n v="8.6587476945940928E-7"/>
    <n v="0.99977588940474826"/>
    <b v="0"/>
  </r>
  <r>
    <n v="2388"/>
    <m/>
    <x v="18"/>
    <m/>
    <s v="JIMMY L MARLER  ARKANSAS CANE"/>
    <n v="0"/>
    <n v="0"/>
    <n v="0"/>
    <n v="0"/>
    <n v="0"/>
    <n v="0"/>
    <n v="0"/>
    <n v="426.91"/>
    <n v="426.91"/>
    <n v="8.6083369700266977E-7"/>
    <n v="0.99977675023844526"/>
    <b v="0"/>
  </r>
  <r>
    <n v="1323"/>
    <m/>
    <x v="18"/>
    <m/>
    <s v="SCOTTONS SANITATION LLC"/>
    <n v="0"/>
    <n v="0"/>
    <n v="0"/>
    <n v="425"/>
    <n v="0"/>
    <n v="0"/>
    <n v="0"/>
    <n v="0"/>
    <n v="425"/>
    <n v="8.5698231764572077E-7"/>
    <n v="0.99977760722076292"/>
    <b v="0"/>
  </r>
  <r>
    <n v="1566"/>
    <m/>
    <x v="18"/>
    <m/>
    <s v="VALERIE SMITH"/>
    <n v="0"/>
    <n v="0"/>
    <n v="0"/>
    <n v="0"/>
    <n v="225"/>
    <n v="200"/>
    <n v="0"/>
    <n v="0"/>
    <n v="425"/>
    <n v="8.5698231764572077E-7"/>
    <n v="0.99977846420308059"/>
    <b v="0"/>
  </r>
  <r>
    <n v="2133"/>
    <m/>
    <x v="18"/>
    <m/>
    <s v="ACTION SPECIAL EVENT PRODUCTIONS RENTALS"/>
    <n v="0"/>
    <n v="0"/>
    <n v="0"/>
    <n v="0"/>
    <n v="0"/>
    <n v="0"/>
    <n v="425"/>
    <n v="0"/>
    <n v="425"/>
    <n v="8.5698231764572077E-7"/>
    <n v="0.99977932118539825"/>
    <b v="0"/>
  </r>
  <r>
    <n v="584"/>
    <m/>
    <x v="18"/>
    <m/>
    <s v="GALAXY DIGITAL LLC"/>
    <n v="420"/>
    <n v="0"/>
    <n v="0"/>
    <n v="0"/>
    <n v="0"/>
    <n v="0"/>
    <n v="0"/>
    <n v="0"/>
    <n v="420"/>
    <n v="8.4690017273224165E-7"/>
    <n v="0.99978016808557102"/>
    <b v="0"/>
  </r>
  <r>
    <n v="2187"/>
    <m/>
    <x v="18"/>
    <m/>
    <s v="WENDY A FREEMAN"/>
    <n v="0"/>
    <n v="0"/>
    <n v="0"/>
    <n v="0"/>
    <n v="0"/>
    <n v="0"/>
    <n v="157"/>
    <n v="258"/>
    <n v="415"/>
    <n v="8.3681802781876263E-7"/>
    <n v="0.99978100490359889"/>
    <b v="0"/>
  </r>
  <r>
    <n v="2224"/>
    <m/>
    <x v="18"/>
    <m/>
    <s v="DELAWARE BRICK COMPANY"/>
    <n v="0"/>
    <n v="0"/>
    <n v="0"/>
    <n v="0"/>
    <n v="0"/>
    <n v="0"/>
    <n v="40.25"/>
    <n v="373.09"/>
    <n v="413.34"/>
    <n v="8.334707557074875E-7"/>
    <n v="0.99978183837435464"/>
    <b v="0"/>
  </r>
  <r>
    <n v="1388"/>
    <m/>
    <x v="18"/>
    <m/>
    <s v="BETHANY AUTO PARTS"/>
    <n v="0"/>
    <n v="0"/>
    <n v="0"/>
    <n v="66.73"/>
    <n v="0"/>
    <n v="0"/>
    <n v="344.81"/>
    <n v="0"/>
    <n v="411.54"/>
    <n v="8.2984118353863511E-7"/>
    <n v="0.99978266821553818"/>
    <b v="0"/>
  </r>
  <r>
    <n v="1525"/>
    <m/>
    <x v="18"/>
    <m/>
    <s v="BRANDYWINE CAD DESIGN INC"/>
    <n v="0"/>
    <n v="0"/>
    <n v="0"/>
    <n v="0"/>
    <n v="409.5"/>
    <n v="0"/>
    <n v="0"/>
    <n v="0"/>
    <n v="409.5"/>
    <n v="8.2572766841393566E-7"/>
    <n v="0.99978349394320665"/>
    <b v="0"/>
  </r>
  <r>
    <n v="629"/>
    <m/>
    <x v="18"/>
    <m/>
    <s v="KENNETH G LILLY FASTENERS INC"/>
    <n v="200"/>
    <n v="0"/>
    <n v="208.2"/>
    <n v="0"/>
    <n v="0"/>
    <n v="0"/>
    <n v="0"/>
    <n v="0"/>
    <n v="408.2"/>
    <n v="8.2310631073643101E-7"/>
    <n v="0.99978431704951742"/>
    <b v="0"/>
  </r>
  <r>
    <n v="2389"/>
    <m/>
    <x v="18"/>
    <m/>
    <s v="MARY BRYAN INC"/>
    <n v="0"/>
    <n v="0"/>
    <n v="0"/>
    <n v="0"/>
    <n v="0"/>
    <n v="0"/>
    <n v="0"/>
    <n v="405"/>
    <n v="405"/>
    <n v="8.1665373799180448E-7"/>
    <n v="0.99978513370325539"/>
    <b v="0"/>
  </r>
  <r>
    <n v="588"/>
    <m/>
    <x v="18"/>
    <m/>
    <s v="WILLIAM W PIERCE JR"/>
    <n v="400"/>
    <n v="0"/>
    <n v="0"/>
    <n v="0"/>
    <n v="0"/>
    <n v="0"/>
    <n v="0"/>
    <n v="0"/>
    <n v="400"/>
    <n v="8.0657159307832536E-7"/>
    <n v="0.99978594027484846"/>
    <b v="0"/>
  </r>
  <r>
    <n v="589"/>
    <m/>
    <x v="18"/>
    <m/>
    <s v="ZACHARY HUMENIK"/>
    <n v="400"/>
    <n v="0"/>
    <n v="0"/>
    <n v="0"/>
    <n v="0"/>
    <n v="0"/>
    <n v="0"/>
    <n v="0"/>
    <n v="400"/>
    <n v="8.0657159307832536E-7"/>
    <n v="0.99978674684644153"/>
    <b v="0"/>
  </r>
  <r>
    <n v="590"/>
    <m/>
    <x v="18"/>
    <m/>
    <s v="MATTHEW CASARINO"/>
    <n v="400"/>
    <n v="0"/>
    <n v="0"/>
    <n v="0"/>
    <n v="0"/>
    <n v="0"/>
    <n v="0"/>
    <n v="0"/>
    <n v="400"/>
    <n v="8.0657159307832536E-7"/>
    <n v="0.9997875534180346"/>
    <b v="0"/>
  </r>
  <r>
    <n v="591"/>
    <m/>
    <x v="18"/>
    <m/>
    <s v="TODD T BRECK"/>
    <n v="400"/>
    <n v="0"/>
    <n v="0"/>
    <n v="0"/>
    <n v="0"/>
    <n v="0"/>
    <n v="0"/>
    <n v="0"/>
    <n v="400"/>
    <n v="8.0657159307832536E-7"/>
    <n v="0.99978835998962767"/>
    <b v="0"/>
  </r>
  <r>
    <n v="592"/>
    <m/>
    <x v="18"/>
    <m/>
    <s v="AUSTIN W DAVIS"/>
    <n v="400"/>
    <n v="0"/>
    <n v="0"/>
    <n v="0"/>
    <n v="0"/>
    <n v="0"/>
    <n v="0"/>
    <n v="0"/>
    <n v="400"/>
    <n v="8.0657159307832536E-7"/>
    <n v="0.99978916656122074"/>
    <b v="0"/>
  </r>
  <r>
    <n v="596"/>
    <m/>
    <x v="18"/>
    <m/>
    <s v="PAUL J WEBER"/>
    <n v="400"/>
    <n v="0"/>
    <n v="0"/>
    <n v="0"/>
    <n v="0"/>
    <n v="0"/>
    <n v="0"/>
    <n v="0"/>
    <n v="400"/>
    <n v="8.0657159307832536E-7"/>
    <n v="0.99978997313281381"/>
    <b v="0"/>
  </r>
  <r>
    <n v="666"/>
    <m/>
    <x v="18"/>
    <m/>
    <s v="STEVE BARTHOLD"/>
    <n v="100"/>
    <n v="100"/>
    <n v="100"/>
    <n v="100"/>
    <n v="0"/>
    <n v="0"/>
    <n v="0"/>
    <n v="0"/>
    <n v="400"/>
    <n v="8.0657159307832536E-7"/>
    <n v="0.99979077970440688"/>
    <b v="0"/>
  </r>
  <r>
    <n v="668"/>
    <m/>
    <x v="18"/>
    <m/>
    <s v="JAMES PARKER"/>
    <n v="100"/>
    <n v="300"/>
    <n v="0"/>
    <n v="0"/>
    <n v="0"/>
    <n v="0"/>
    <n v="0"/>
    <n v="0"/>
    <n v="400"/>
    <n v="8.0657159307832536E-7"/>
    <n v="0.99979158627599996"/>
    <b v="0"/>
  </r>
  <r>
    <n v="1129"/>
    <m/>
    <x v="18"/>
    <m/>
    <s v="SRR ENTERTAINMENT"/>
    <n v="0"/>
    <n v="0"/>
    <n v="400"/>
    <n v="0"/>
    <n v="0"/>
    <n v="0"/>
    <n v="0"/>
    <n v="0"/>
    <n v="400"/>
    <n v="8.0657159307832536E-7"/>
    <n v="0.99979239284759303"/>
    <b v="0"/>
  </r>
  <r>
    <n v="1132"/>
    <m/>
    <x v="18"/>
    <m/>
    <s v="FRIENDS OF WILMINGTON PARKS INC"/>
    <n v="0"/>
    <n v="0"/>
    <n v="400"/>
    <n v="0"/>
    <n v="0"/>
    <n v="0"/>
    <n v="0"/>
    <n v="0"/>
    <n v="400"/>
    <n v="8.0657159307832536E-7"/>
    <n v="0.9997931994191861"/>
    <b v="0"/>
  </r>
  <r>
    <n v="1526"/>
    <m/>
    <x v="18"/>
    <m/>
    <s v="STEVEN &amp; BEATRICE POPA"/>
    <n v="0"/>
    <n v="0"/>
    <n v="0"/>
    <n v="0"/>
    <n v="400"/>
    <n v="0"/>
    <n v="0"/>
    <n v="0"/>
    <n v="400"/>
    <n v="8.0657159307832536E-7"/>
    <n v="0.99979400599077917"/>
    <b v="0"/>
  </r>
  <r>
    <n v="1527"/>
    <m/>
    <x v="18"/>
    <m/>
    <s v="JOHN C SMITH"/>
    <n v="0"/>
    <n v="0"/>
    <n v="0"/>
    <n v="0"/>
    <n v="400"/>
    <n v="0"/>
    <n v="0"/>
    <n v="0"/>
    <n v="400"/>
    <n v="8.0657159307832536E-7"/>
    <n v="0.99979481256237224"/>
    <b v="0"/>
  </r>
  <r>
    <n v="1528"/>
    <m/>
    <x v="18"/>
    <m/>
    <s v="CHRISTOPHER THOMPSON"/>
    <n v="0"/>
    <n v="0"/>
    <n v="0"/>
    <n v="0"/>
    <n v="400"/>
    <n v="0"/>
    <n v="0"/>
    <n v="0"/>
    <n v="400"/>
    <n v="8.0657159307832536E-7"/>
    <n v="0.99979561913396531"/>
    <b v="0"/>
  </r>
  <r>
    <n v="1529"/>
    <m/>
    <x v="18"/>
    <m/>
    <s v="NANCY SATO &amp; MARK TUINMAN"/>
    <n v="0"/>
    <n v="0"/>
    <n v="0"/>
    <n v="0"/>
    <n v="400"/>
    <n v="0"/>
    <n v="0"/>
    <n v="0"/>
    <n v="400"/>
    <n v="8.0657159307832536E-7"/>
    <n v="0.99979642570555838"/>
    <b v="0"/>
  </r>
  <r>
    <n v="1581"/>
    <m/>
    <x v="18"/>
    <m/>
    <s v="KATHLEEN CARTER"/>
    <n v="0"/>
    <n v="0"/>
    <n v="0"/>
    <n v="0"/>
    <n v="200"/>
    <n v="200"/>
    <n v="0"/>
    <n v="0"/>
    <n v="400"/>
    <n v="8.0657159307832536E-7"/>
    <n v="0.99979723227715145"/>
    <b v="0"/>
  </r>
  <r>
    <n v="1820"/>
    <m/>
    <x v="18"/>
    <m/>
    <s v="SETH KUSHKIN - TOWER HILL SCHOOL"/>
    <n v="0"/>
    <n v="0"/>
    <n v="0"/>
    <n v="0"/>
    <n v="0"/>
    <n v="400"/>
    <n v="0"/>
    <n v="0"/>
    <n v="400"/>
    <n v="8.0657159307832536E-7"/>
    <n v="0.99979803884874452"/>
    <b v="0"/>
  </r>
  <r>
    <n v="1821"/>
    <m/>
    <x v="18"/>
    <m/>
    <s v="LEO ESCHBACH"/>
    <n v="0"/>
    <n v="0"/>
    <n v="0"/>
    <n v="0"/>
    <n v="0"/>
    <n v="400"/>
    <n v="0"/>
    <n v="0"/>
    <n v="400"/>
    <n v="8.0657159307832536E-7"/>
    <n v="0.99979884542033759"/>
    <b v="0"/>
  </r>
  <r>
    <n v="1823"/>
    <m/>
    <x v="18"/>
    <m/>
    <s v="STEFFI M HOLMES"/>
    <n v="0"/>
    <n v="0"/>
    <n v="0"/>
    <n v="0"/>
    <n v="0"/>
    <n v="400"/>
    <n v="0"/>
    <n v="0"/>
    <n v="400"/>
    <n v="8.0657159307832536E-7"/>
    <n v="0.99979965199193066"/>
    <b v="0"/>
  </r>
  <r>
    <n v="1825"/>
    <m/>
    <x v="18"/>
    <m/>
    <s v="PHILIP CALABRESE"/>
    <n v="0"/>
    <n v="0"/>
    <n v="0"/>
    <n v="0"/>
    <n v="0"/>
    <n v="400"/>
    <n v="0"/>
    <n v="0"/>
    <n v="400"/>
    <n v="8.0657159307832536E-7"/>
    <n v="0.99980045856352373"/>
    <b v="0"/>
  </r>
  <r>
    <n v="2136"/>
    <m/>
    <x v="18"/>
    <m/>
    <s v="PTL CHIMNEY &amp; WATERPROOFING SERVICES INC"/>
    <n v="0"/>
    <n v="0"/>
    <n v="0"/>
    <n v="0"/>
    <n v="0"/>
    <n v="0"/>
    <n v="400"/>
    <n v="0"/>
    <n v="400"/>
    <n v="8.0657159307832536E-7"/>
    <n v="0.9998012651351168"/>
    <b v="0"/>
  </r>
  <r>
    <n v="2137"/>
    <m/>
    <x v="18"/>
    <m/>
    <s v="TERITA MCMENAMIN REEVE"/>
    <n v="0"/>
    <n v="0"/>
    <n v="0"/>
    <n v="0"/>
    <n v="0"/>
    <n v="0"/>
    <n v="400"/>
    <n v="0"/>
    <n v="400"/>
    <n v="8.0657159307832536E-7"/>
    <n v="0.99980207170670987"/>
    <b v="0"/>
  </r>
  <r>
    <n v="2390"/>
    <m/>
    <x v="18"/>
    <m/>
    <s v="DRAIN KING LLC"/>
    <n v="0"/>
    <n v="0"/>
    <n v="0"/>
    <n v="0"/>
    <n v="0"/>
    <n v="0"/>
    <n v="0"/>
    <n v="400"/>
    <n v="400"/>
    <n v="8.0657159307832536E-7"/>
    <n v="0.99980287827830294"/>
    <b v="0"/>
  </r>
  <r>
    <n v="1133"/>
    <m/>
    <x v="18"/>
    <m/>
    <s v="Chesapeake Environmental Services, LLC"/>
    <n v="0"/>
    <n v="0"/>
    <n v="398.22"/>
    <n v="0"/>
    <n v="0"/>
    <n v="0"/>
    <n v="0"/>
    <n v="0"/>
    <n v="398.22"/>
    <n v="8.0298234948912691E-7"/>
    <n v="0.99980368126065244"/>
    <b v="0"/>
  </r>
  <r>
    <n v="2194"/>
    <m/>
    <x v="18"/>
    <m/>
    <s v="BYLERS STOVE SHOPPE INC"/>
    <n v="0"/>
    <n v="0"/>
    <n v="0"/>
    <n v="0"/>
    <n v="0"/>
    <n v="0"/>
    <n v="149"/>
    <n v="249"/>
    <n v="398"/>
    <n v="8.0253873511293379E-7"/>
    <n v="0.99980448379938758"/>
    <b v="0"/>
  </r>
  <r>
    <n v="2391"/>
    <m/>
    <x v="18"/>
    <m/>
    <s v="JOSEPH S KREISHER"/>
    <n v="0"/>
    <n v="0"/>
    <n v="0"/>
    <n v="0"/>
    <n v="0"/>
    <n v="0"/>
    <n v="0"/>
    <n v="390"/>
    <n v="390"/>
    <n v="7.8640730325136721E-7"/>
    <n v="0.99980527020669085"/>
    <b v="0"/>
  </r>
  <r>
    <n v="2392"/>
    <m/>
    <x v="18"/>
    <m/>
    <s v="BLANK PARK ZOO FOUNDATION INC"/>
    <n v="0"/>
    <n v="0"/>
    <n v="0"/>
    <n v="0"/>
    <n v="0"/>
    <n v="0"/>
    <n v="0"/>
    <n v="386.75"/>
    <n v="386.75"/>
    <n v="7.7985390905760589E-7"/>
    <n v="0.99980605006059986"/>
    <b v="0"/>
  </r>
  <r>
    <n v="2139"/>
    <m/>
    <x v="18"/>
    <m/>
    <s v="MADISON BAY CO"/>
    <n v="0"/>
    <n v="0"/>
    <n v="0"/>
    <n v="0"/>
    <n v="0"/>
    <n v="0"/>
    <n v="386.22"/>
    <n v="0"/>
    <n v="386.22"/>
    <n v="7.7878520169677709E-7"/>
    <n v="0.99980682884580152"/>
    <b v="0"/>
  </r>
  <r>
    <n v="1827"/>
    <m/>
    <x v="18"/>
    <m/>
    <s v="HOPKINS AND SONS INC"/>
    <n v="0"/>
    <n v="0"/>
    <n v="0"/>
    <n v="0"/>
    <n v="0"/>
    <n v="381.25"/>
    <n v="0"/>
    <n v="0"/>
    <n v="381.25"/>
    <n v="7.6876354965277893E-7"/>
    <n v="0.99980759760935123"/>
    <b v="0"/>
  </r>
  <r>
    <n v="1913"/>
    <m/>
    <x v="18"/>
    <m/>
    <s v="STATE OF NEW JERSEY"/>
    <n v="0"/>
    <n v="0"/>
    <n v="0"/>
    <n v="0"/>
    <n v="0"/>
    <n v="110"/>
    <n v="158.94999999999999"/>
    <n v="110"/>
    <n v="378.95"/>
    <n v="7.6412576299257849E-7"/>
    <n v="0.99980836173511423"/>
    <b v="0"/>
  </r>
  <r>
    <n v="2141"/>
    <m/>
    <x v="18"/>
    <m/>
    <s v="SAFEGUARD DOCUMENT DESTRUCTION"/>
    <n v="0"/>
    <n v="0"/>
    <n v="0"/>
    <n v="0"/>
    <n v="0"/>
    <n v="0"/>
    <n v="376.81"/>
    <n v="0"/>
    <n v="376.81"/>
    <n v="7.5981060496960946E-7"/>
    <n v="0.99980912154571921"/>
    <b v="0"/>
  </r>
  <r>
    <n v="892"/>
    <m/>
    <x v="18"/>
    <m/>
    <s v="THE CHESAPEAKE MERMAID INC"/>
    <n v="0"/>
    <n v="375"/>
    <n v="0"/>
    <n v="0"/>
    <n v="0"/>
    <n v="0"/>
    <n v="0"/>
    <n v="0"/>
    <n v="375"/>
    <n v="7.5616086851093005E-7"/>
    <n v="0.99980987770658769"/>
    <b v="0"/>
  </r>
  <r>
    <n v="1325"/>
    <m/>
    <x v="18"/>
    <m/>
    <s v="TOLSONS ELECTRICAL SERVICES"/>
    <n v="0"/>
    <n v="0"/>
    <n v="0"/>
    <n v="375"/>
    <n v="0"/>
    <n v="0"/>
    <n v="0"/>
    <n v="0"/>
    <n v="375"/>
    <n v="7.5616086851093005E-7"/>
    <n v="0.99981063386745617"/>
    <b v="0"/>
  </r>
  <r>
    <n v="1828"/>
    <m/>
    <x v="18"/>
    <m/>
    <s v="NASTASSIA PARKER"/>
    <n v="0"/>
    <n v="0"/>
    <n v="0"/>
    <n v="0"/>
    <n v="0"/>
    <n v="375"/>
    <n v="0"/>
    <n v="0"/>
    <n v="375"/>
    <n v="7.5616086851093005E-7"/>
    <n v="0.99981139002832464"/>
    <b v="0"/>
  </r>
  <r>
    <n v="1326"/>
    <m/>
    <x v="18"/>
    <m/>
    <s v="HARRYAWENZEL"/>
    <n v="0"/>
    <n v="0"/>
    <n v="0"/>
    <n v="370.09"/>
    <n v="0"/>
    <n v="0"/>
    <n v="0"/>
    <n v="0"/>
    <n v="370.09"/>
    <n v="7.462602022058936E-7"/>
    <n v="0.99981213628852683"/>
    <b v="0"/>
  </r>
  <r>
    <n v="2393"/>
    <m/>
    <x v="18"/>
    <m/>
    <s v="NEW CASTLE COUNTY CHAMBER OF COMMERCE"/>
    <n v="0"/>
    <n v="0"/>
    <n v="0"/>
    <n v="0"/>
    <n v="0"/>
    <n v="0"/>
    <n v="0"/>
    <n v="370"/>
    <n v="370"/>
    <n v="7.4607872359745103E-7"/>
    <n v="0.99981288236725041"/>
    <b v="0"/>
  </r>
  <r>
    <n v="599"/>
    <m/>
    <x v="18"/>
    <m/>
    <s v="CLEM BOWEN STORYTELLER"/>
    <n v="365"/>
    <n v="0"/>
    <n v="0"/>
    <n v="0"/>
    <n v="0"/>
    <n v="0"/>
    <n v="0"/>
    <n v="0"/>
    <n v="365"/>
    <n v="7.3599657868397191E-7"/>
    <n v="0.99981361836382909"/>
    <b v="0"/>
  </r>
  <r>
    <n v="1829"/>
    <m/>
    <x v="18"/>
    <m/>
    <s v="INSTA SIGNS PLUS INC"/>
    <n v="0"/>
    <n v="0"/>
    <n v="0"/>
    <n v="0"/>
    <n v="0"/>
    <n v="362.5"/>
    <n v="0"/>
    <n v="0"/>
    <n v="362.5"/>
    <n v="7.309555062272324E-7"/>
    <n v="0.99981434931933533"/>
    <b v="0"/>
  </r>
  <r>
    <n v="1830"/>
    <m/>
    <x v="18"/>
    <m/>
    <s v="ENVIRONMENTAL RESOURCE ASSOCIATES"/>
    <n v="0"/>
    <n v="0"/>
    <n v="0"/>
    <n v="0"/>
    <n v="0"/>
    <n v="362.36"/>
    <n v="0"/>
    <n v="0"/>
    <n v="362.36"/>
    <n v="7.3067320616965504E-7"/>
    <n v="0.99981507999254149"/>
    <b v="0"/>
  </r>
  <r>
    <n v="637"/>
    <m/>
    <x v="18"/>
    <m/>
    <s v="LINDA MAJEWSKI"/>
    <n v="180"/>
    <n v="180"/>
    <n v="0"/>
    <n v="0"/>
    <n v="0"/>
    <n v="0"/>
    <n v="0"/>
    <n v="0"/>
    <n v="360"/>
    <n v="7.2591443377049289E-7"/>
    <n v="0.99981580590697527"/>
    <b v="0"/>
  </r>
  <r>
    <n v="1831"/>
    <m/>
    <x v="18"/>
    <m/>
    <s v="DEANA CRONK"/>
    <n v="0"/>
    <n v="0"/>
    <n v="0"/>
    <n v="0"/>
    <n v="0"/>
    <n v="360"/>
    <n v="0"/>
    <n v="0"/>
    <n v="360"/>
    <n v="7.2591443377049289E-7"/>
    <n v="0.99981653182140906"/>
    <b v="0"/>
  </r>
  <r>
    <n v="2164"/>
    <m/>
    <x v="18"/>
    <m/>
    <s v="MARK KAMMER"/>
    <n v="0"/>
    <n v="0"/>
    <n v="0"/>
    <n v="0"/>
    <n v="0"/>
    <n v="0"/>
    <n v="240"/>
    <n v="120"/>
    <n v="360"/>
    <n v="7.2591443377049289E-7"/>
    <n v="0.99981725773584285"/>
    <b v="0"/>
  </r>
  <r>
    <n v="1593"/>
    <m/>
    <x v="18"/>
    <m/>
    <s v="ABIGAIL SHEPARD"/>
    <n v="0"/>
    <n v="0"/>
    <n v="0"/>
    <n v="0"/>
    <n v="164.44"/>
    <n v="194.91"/>
    <n v="0"/>
    <n v="0"/>
    <n v="359.35"/>
    <n v="7.2460375493174066E-7"/>
    <n v="0.99981798233959773"/>
    <b v="0"/>
  </r>
  <r>
    <n v="2394"/>
    <m/>
    <x v="18"/>
    <m/>
    <s v="WILLIAM FILER"/>
    <n v="0"/>
    <n v="0"/>
    <n v="0"/>
    <n v="0"/>
    <n v="0"/>
    <n v="0"/>
    <n v="0"/>
    <n v="357.5"/>
    <n v="357.5"/>
    <n v="7.2087336131375327E-7"/>
    <n v="0.99981870321295907"/>
    <b v="0"/>
  </r>
  <r>
    <n v="1356"/>
    <m/>
    <x v="18"/>
    <m/>
    <s v="CAREYS INC"/>
    <n v="0"/>
    <n v="0"/>
    <n v="0"/>
    <n v="200"/>
    <n v="0"/>
    <n v="0"/>
    <n v="154"/>
    <n v="0"/>
    <n v="354"/>
    <n v="7.1381585987431798E-7"/>
    <n v="0.99981941702881894"/>
    <b v="0"/>
  </r>
  <r>
    <n v="1648"/>
    <m/>
    <x v="18"/>
    <m/>
    <s v="DELAWARE SUPERMARKETS INC"/>
    <n v="0"/>
    <n v="0"/>
    <n v="0"/>
    <n v="0"/>
    <n v="4.05"/>
    <n v="0"/>
    <n v="0"/>
    <n v="349.74"/>
    <n v="353.79"/>
    <n v="7.1339240978795188E-7"/>
    <n v="0.99982013042122875"/>
    <b v="0"/>
  </r>
  <r>
    <n v="2395"/>
    <m/>
    <x v="18"/>
    <m/>
    <s v="UNIQUE CRAFTERS COMPANY"/>
    <n v="0"/>
    <n v="0"/>
    <n v="0"/>
    <n v="0"/>
    <n v="0"/>
    <n v="0"/>
    <n v="0"/>
    <n v="353.64"/>
    <n v="353.64"/>
    <n v="7.130899454405475E-7"/>
    <n v="0.99982084351117417"/>
    <b v="0"/>
  </r>
  <r>
    <n v="894"/>
    <m/>
    <x v="18"/>
    <m/>
    <s v="FRIENDS OF THE FURNESS RAILROAD DISTRICT"/>
    <n v="0"/>
    <n v="350"/>
    <n v="0"/>
    <n v="0"/>
    <n v="0"/>
    <n v="0"/>
    <n v="0"/>
    <n v="0"/>
    <n v="350"/>
    <n v="7.0575014394353474E-7"/>
    <n v="0.99982154926131817"/>
    <b v="0"/>
  </r>
  <r>
    <n v="1150"/>
    <m/>
    <x v="18"/>
    <m/>
    <s v="DENNIS J COKER"/>
    <n v="0"/>
    <n v="0"/>
    <n v="250"/>
    <n v="0"/>
    <n v="100"/>
    <n v="0"/>
    <n v="0"/>
    <n v="0"/>
    <n v="350"/>
    <n v="7.0575014394353474E-7"/>
    <n v="0.99982225501146216"/>
    <b v="0"/>
  </r>
  <r>
    <n v="1533"/>
    <m/>
    <x v="18"/>
    <m/>
    <s v="Ludora Riegel"/>
    <n v="0"/>
    <n v="0"/>
    <n v="0"/>
    <n v="0"/>
    <n v="350"/>
    <n v="0"/>
    <n v="0"/>
    <n v="0"/>
    <n v="350"/>
    <n v="7.0575014394353474E-7"/>
    <n v="0.99982296076160615"/>
    <b v="0"/>
  </r>
  <r>
    <n v="1534"/>
    <m/>
    <x v="18"/>
    <m/>
    <s v="SUSAN &amp; MATT LILLARD"/>
    <n v="0"/>
    <n v="0"/>
    <n v="0"/>
    <n v="0"/>
    <n v="350"/>
    <n v="0"/>
    <n v="0"/>
    <n v="0"/>
    <n v="350"/>
    <n v="7.0575014394353474E-7"/>
    <n v="0.99982366651175014"/>
    <b v="0"/>
  </r>
  <r>
    <n v="1535"/>
    <m/>
    <x v="18"/>
    <m/>
    <s v="LINDA HIRSCH"/>
    <n v="0"/>
    <n v="0"/>
    <n v="0"/>
    <n v="0"/>
    <n v="350"/>
    <n v="0"/>
    <n v="0"/>
    <n v="0"/>
    <n v="350"/>
    <n v="7.0575014394353474E-7"/>
    <n v="0.99982437226189413"/>
    <b v="0"/>
  </r>
  <r>
    <n v="1832"/>
    <m/>
    <x v="18"/>
    <m/>
    <s v="JAMES TERRY"/>
    <n v="0"/>
    <n v="0"/>
    <n v="0"/>
    <n v="0"/>
    <n v="0"/>
    <n v="350"/>
    <n v="0"/>
    <n v="0"/>
    <n v="350"/>
    <n v="7.0575014394353474E-7"/>
    <n v="0.99982507801203813"/>
    <b v="0"/>
  </r>
  <r>
    <n v="1867"/>
    <m/>
    <x v="18"/>
    <m/>
    <s v="MELODY ONESCHUK"/>
    <n v="0"/>
    <n v="0"/>
    <n v="0"/>
    <n v="0"/>
    <n v="0"/>
    <n v="200"/>
    <n v="150"/>
    <n v="0"/>
    <n v="350"/>
    <n v="7.0575014394353474E-7"/>
    <n v="0.99982578376218212"/>
    <b v="0"/>
  </r>
  <r>
    <n v="1872"/>
    <m/>
    <x v="18"/>
    <m/>
    <s v="BETHANY JUBILEE"/>
    <n v="0"/>
    <n v="0"/>
    <n v="0"/>
    <n v="0"/>
    <n v="0"/>
    <n v="200"/>
    <n v="150"/>
    <n v="0"/>
    <n v="350"/>
    <n v="7.0575014394353474E-7"/>
    <n v="0.99982648951232611"/>
    <b v="0"/>
  </r>
  <r>
    <n v="2143"/>
    <m/>
    <x v="18"/>
    <m/>
    <s v="SUSAN M PLAISTED"/>
    <n v="0"/>
    <n v="0"/>
    <n v="0"/>
    <n v="0"/>
    <n v="0"/>
    <n v="0"/>
    <n v="350"/>
    <n v="0"/>
    <n v="350"/>
    <n v="7.0575014394353474E-7"/>
    <n v="0.9998271952624701"/>
    <b v="0"/>
  </r>
  <r>
    <n v="2144"/>
    <m/>
    <x v="18"/>
    <m/>
    <s v="JAMES G MCGIFFIN JR"/>
    <n v="0"/>
    <n v="0"/>
    <n v="0"/>
    <n v="0"/>
    <n v="0"/>
    <n v="0"/>
    <n v="350"/>
    <n v="0"/>
    <n v="350"/>
    <n v="7.0575014394353474E-7"/>
    <n v="0.9998279010126141"/>
    <b v="0"/>
  </r>
  <r>
    <n v="2396"/>
    <m/>
    <x v="18"/>
    <m/>
    <s v="SHANE PALKOVITZ"/>
    <n v="0"/>
    <n v="0"/>
    <n v="0"/>
    <n v="0"/>
    <n v="0"/>
    <n v="0"/>
    <n v="0"/>
    <n v="350"/>
    <n v="350"/>
    <n v="7.0575014394353474E-7"/>
    <n v="0.99982860676275809"/>
    <b v="0"/>
  </r>
  <r>
    <n v="2146"/>
    <m/>
    <x v="18"/>
    <m/>
    <s v="PARK PARTNERS INC"/>
    <n v="0"/>
    <n v="0"/>
    <n v="0"/>
    <n v="0"/>
    <n v="0"/>
    <n v="0"/>
    <n v="348.33"/>
    <n v="0"/>
    <n v="348.33"/>
    <n v="7.0238270754243269E-7"/>
    <n v="0.99982930914546564"/>
    <b v="0"/>
  </r>
  <r>
    <n v="1536"/>
    <m/>
    <x v="18"/>
    <m/>
    <s v="MID-ATLANTIC ELECTRICAL SERVICES INC"/>
    <n v="0"/>
    <n v="0"/>
    <n v="0"/>
    <n v="0"/>
    <n v="347.5"/>
    <n v="0"/>
    <n v="0"/>
    <n v="0"/>
    <n v="347.5"/>
    <n v="7.0070907148679523E-7"/>
    <n v="0.99983000985453707"/>
    <b v="0"/>
  </r>
  <r>
    <n v="2397"/>
    <m/>
    <x v="18"/>
    <m/>
    <s v="BELLA TERRA PUBLISHING LLC"/>
    <n v="0"/>
    <n v="0"/>
    <n v="0"/>
    <n v="0"/>
    <n v="0"/>
    <n v="0"/>
    <n v="0"/>
    <n v="347.28"/>
    <n v="347.28"/>
    <n v="7.0026545711060201E-7"/>
    <n v="0.99983071011999414"/>
    <b v="0"/>
  </r>
  <r>
    <n v="1329"/>
    <m/>
    <x v="18"/>
    <m/>
    <s v="JAMES KRZYANOWSKI"/>
    <n v="0"/>
    <n v="0"/>
    <n v="0"/>
    <n v="342.65"/>
    <n v="0"/>
    <n v="0"/>
    <n v="0"/>
    <n v="0"/>
    <n v="342.65"/>
    <n v="6.9092939092072049E-7"/>
    <n v="0.99983140104938506"/>
    <b v="0"/>
  </r>
  <r>
    <n v="2171"/>
    <m/>
    <x v="18"/>
    <m/>
    <s v="MARY MARCZELY"/>
    <n v="0"/>
    <n v="0"/>
    <n v="0"/>
    <n v="0"/>
    <n v="0"/>
    <n v="0"/>
    <n v="215"/>
    <n v="125"/>
    <n v="340"/>
    <n v="6.855858541165766E-7"/>
    <n v="0.99983208663523915"/>
    <b v="0"/>
  </r>
  <r>
    <n v="2398"/>
    <m/>
    <x v="18"/>
    <m/>
    <s v="LINDSAY MORRA"/>
    <n v="0"/>
    <n v="0"/>
    <n v="0"/>
    <n v="0"/>
    <n v="0"/>
    <n v="0"/>
    <n v="0"/>
    <n v="340"/>
    <n v="340"/>
    <n v="6.855858541165766E-7"/>
    <n v="0.99983277222109324"/>
    <b v="0"/>
  </r>
  <r>
    <n v="1833"/>
    <m/>
    <x v="18"/>
    <m/>
    <s v="CARA LEE MACDONALD"/>
    <n v="0"/>
    <n v="0"/>
    <n v="0"/>
    <n v="0"/>
    <n v="0"/>
    <n v="336.26"/>
    <n v="0"/>
    <n v="0"/>
    <n v="336.26"/>
    <n v="6.7804440972129425E-7"/>
    <n v="0.99983345026550297"/>
    <b v="0"/>
  </r>
  <r>
    <n v="1537"/>
    <m/>
    <x v="18"/>
    <m/>
    <s v="TOWER HILL SCHOOL"/>
    <n v="0"/>
    <n v="0"/>
    <n v="0"/>
    <n v="0"/>
    <n v="336"/>
    <n v="0"/>
    <n v="0"/>
    <n v="0"/>
    <n v="336"/>
    <n v="6.7752013818579336E-7"/>
    <n v="0.99983412778564118"/>
    <b v="0"/>
  </r>
  <r>
    <n v="1844"/>
    <m/>
    <x v="18"/>
    <m/>
    <s v="RACHAEL PHILLOS"/>
    <n v="0"/>
    <n v="0"/>
    <n v="0"/>
    <n v="0"/>
    <n v="0"/>
    <n v="280"/>
    <n v="55.73"/>
    <n v="0"/>
    <n v="335.73"/>
    <n v="6.7697570236046545E-7"/>
    <n v="0.99983480476134357"/>
    <b v="0"/>
  </r>
  <r>
    <n v="2210"/>
    <m/>
    <x v="18"/>
    <m/>
    <s v="HERITAGE CRYSTAL CLEAN INC"/>
    <n v="0"/>
    <n v="0"/>
    <n v="0"/>
    <n v="0"/>
    <n v="0"/>
    <n v="0"/>
    <n v="82.5"/>
    <n v="250"/>
    <n v="332.5"/>
    <n v="6.7046263674635796E-7"/>
    <n v="0.99983547522398031"/>
    <b v="0"/>
  </r>
  <r>
    <n v="2399"/>
    <m/>
    <x v="18"/>
    <m/>
    <s v="CHARLES L MOLLER DBA MASTERCRAFT WELDING"/>
    <n v="0"/>
    <n v="0"/>
    <n v="0"/>
    <n v="0"/>
    <n v="0"/>
    <n v="0"/>
    <n v="0"/>
    <n v="332.5"/>
    <n v="332.5"/>
    <n v="6.7046263674635796E-7"/>
    <n v="0.99983614568661705"/>
    <b v="0"/>
  </r>
  <r>
    <n v="2147"/>
    <m/>
    <x v="18"/>
    <m/>
    <s v="ASHLEY KROON"/>
    <n v="0"/>
    <n v="0"/>
    <n v="0"/>
    <n v="0"/>
    <n v="0"/>
    <n v="0"/>
    <n v="331.68"/>
    <n v="0"/>
    <n v="331.68"/>
    <n v="6.6880916498054742E-7"/>
    <n v="0.99983681449578199"/>
    <b v="0"/>
  </r>
  <r>
    <n v="1138"/>
    <m/>
    <x v="18"/>
    <m/>
    <s v="JAIME STRANO"/>
    <n v="0"/>
    <n v="0"/>
    <n v="330"/>
    <n v="0"/>
    <n v="0"/>
    <n v="0"/>
    <n v="0"/>
    <n v="0"/>
    <n v="330"/>
    <n v="6.6542156428961845E-7"/>
    <n v="0.99983747991734628"/>
    <b v="0"/>
  </r>
  <r>
    <n v="2148"/>
    <m/>
    <x v="18"/>
    <m/>
    <s v="CINDY LORING"/>
    <n v="0"/>
    <n v="0"/>
    <n v="0"/>
    <n v="0"/>
    <n v="0"/>
    <n v="0"/>
    <n v="330"/>
    <n v="0"/>
    <n v="330"/>
    <n v="6.6542156428961845E-7"/>
    <n v="0.99983814533891058"/>
    <b v="0"/>
  </r>
  <r>
    <n v="2400"/>
    <m/>
    <x v="18"/>
    <m/>
    <s v="HAWKINS AND SONS INC"/>
    <n v="0"/>
    <n v="0"/>
    <n v="0"/>
    <n v="0"/>
    <n v="0"/>
    <n v="0"/>
    <n v="0"/>
    <n v="330"/>
    <n v="330"/>
    <n v="6.6542156428961845E-7"/>
    <n v="0.99983881076047487"/>
    <b v="0"/>
  </r>
  <r>
    <n v="1364"/>
    <m/>
    <x v="18"/>
    <m/>
    <s v="DIAMOND STATE GLASS INC"/>
    <n v="0"/>
    <n v="0"/>
    <n v="0"/>
    <n v="171"/>
    <n v="154.80000000000001"/>
    <n v="0"/>
    <n v="0"/>
    <n v="0"/>
    <n v="325.8"/>
    <n v="6.5695256256229604E-7"/>
    <n v="0.99983946771303744"/>
    <b v="0"/>
  </r>
  <r>
    <n v="1931"/>
    <m/>
    <x v="18"/>
    <m/>
    <s v="FAIRFAX HARDWARE"/>
    <n v="0"/>
    <n v="0"/>
    <n v="0"/>
    <n v="0"/>
    <n v="0"/>
    <n v="48.04"/>
    <n v="33.46"/>
    <n v="244.17"/>
    <n v="325.66999999999996"/>
    <n v="6.5669042679454549E-7"/>
    <n v="0.99984012440346426"/>
    <b v="0"/>
  </r>
  <r>
    <n v="622"/>
    <m/>
    <x v="18"/>
    <m/>
    <s v="STEPHANIE PRZYBYLEK"/>
    <n v="225"/>
    <n v="0"/>
    <n v="0"/>
    <n v="0"/>
    <n v="0"/>
    <n v="0"/>
    <n v="0"/>
    <n v="100"/>
    <n v="325"/>
    <n v="6.5533941937613943E-7"/>
    <n v="0.99984077974288366"/>
    <b v="0"/>
  </r>
  <r>
    <n v="1541"/>
    <m/>
    <x v="18"/>
    <m/>
    <s v="ELIZABETH BRETSCHER"/>
    <n v="0"/>
    <n v="0"/>
    <n v="0"/>
    <n v="0"/>
    <n v="325"/>
    <n v="0"/>
    <n v="0"/>
    <n v="0"/>
    <n v="325"/>
    <n v="6.5533941937613943E-7"/>
    <n v="0.99984143508230305"/>
    <b v="0"/>
  </r>
  <r>
    <n v="1152"/>
    <m/>
    <x v="18"/>
    <m/>
    <s v="JOSEPH SCHELL"/>
    <n v="0"/>
    <n v="0"/>
    <n v="240"/>
    <n v="80"/>
    <n v="0"/>
    <n v="0"/>
    <n v="0"/>
    <n v="0"/>
    <n v="320"/>
    <n v="6.4525727446266031E-7"/>
    <n v="0.99984208033957755"/>
    <b v="0"/>
  </r>
  <r>
    <n v="1542"/>
    <m/>
    <x v="18"/>
    <m/>
    <s v="GEN-EL SAFETY &amp; IND PROD LLC"/>
    <n v="0"/>
    <n v="0"/>
    <n v="0"/>
    <n v="0"/>
    <n v="318.58999999999997"/>
    <n v="0"/>
    <n v="0"/>
    <n v="0"/>
    <n v="318.58999999999997"/>
    <n v="6.4241410959705915E-7"/>
    <n v="0.99984272275368713"/>
    <b v="0"/>
  </r>
  <r>
    <n v="1332"/>
    <m/>
    <x v="18"/>
    <m/>
    <s v="Shannon Cord"/>
    <n v="0"/>
    <n v="0"/>
    <n v="0"/>
    <n v="315"/>
    <n v="0"/>
    <n v="0"/>
    <n v="0"/>
    <n v="0"/>
    <n v="315"/>
    <n v="6.3517512954918129E-7"/>
    <n v="0.99984335792881673"/>
    <b v="0"/>
  </r>
  <r>
    <n v="2401"/>
    <m/>
    <x v="18"/>
    <m/>
    <s v="TROOP 4513"/>
    <n v="0"/>
    <n v="0"/>
    <n v="0"/>
    <n v="0"/>
    <n v="0"/>
    <n v="0"/>
    <n v="0"/>
    <n v="310"/>
    <n v="310"/>
    <n v="6.2509298463570216E-7"/>
    <n v="0.99984398302180133"/>
    <b v="0"/>
  </r>
  <r>
    <n v="606"/>
    <m/>
    <x v="18"/>
    <m/>
    <s v="ALEXANDER FISHER, ESQ"/>
    <n v="306.70999999999998"/>
    <n v="0"/>
    <n v="0"/>
    <n v="0"/>
    <n v="0"/>
    <n v="0"/>
    <n v="0"/>
    <n v="0"/>
    <n v="306.70999999999998"/>
    <n v="6.1845893328263297E-7"/>
    <n v="0.99984460148073462"/>
    <b v="0"/>
  </r>
  <r>
    <n v="2402"/>
    <m/>
    <x v="18"/>
    <m/>
    <s v="SADIE GREENS INC"/>
    <n v="0"/>
    <n v="0"/>
    <n v="0"/>
    <n v="0"/>
    <n v="0"/>
    <n v="0"/>
    <n v="0"/>
    <n v="301.75"/>
    <n v="301.75"/>
    <n v="6.0845744552846172E-7"/>
    <n v="0.99984520993818016"/>
    <b v="0"/>
  </r>
  <r>
    <n v="607"/>
    <m/>
    <x v="18"/>
    <m/>
    <s v="HOWELL NATURE CENTER"/>
    <n v="301.12"/>
    <n v="0"/>
    <n v="0"/>
    <n v="0"/>
    <n v="0"/>
    <n v="0"/>
    <n v="0"/>
    <n v="0"/>
    <n v="301.12"/>
    <n v="6.0718709526936333E-7"/>
    <n v="0.99984581712527543"/>
    <b v="0"/>
  </r>
  <r>
    <n v="610"/>
    <m/>
    <x v="18"/>
    <m/>
    <s v="JOEL HAZZARD"/>
    <n v="300"/>
    <n v="0"/>
    <n v="0"/>
    <n v="0"/>
    <n v="0"/>
    <n v="0"/>
    <n v="0"/>
    <n v="0"/>
    <n v="300"/>
    <n v="6.0492869480874402E-7"/>
    <n v="0.99984642205397023"/>
    <b v="0"/>
  </r>
  <r>
    <n v="899"/>
    <m/>
    <x v="18"/>
    <m/>
    <s v="KATELYN CHRISTINE REICHLE"/>
    <n v="0"/>
    <n v="300"/>
    <n v="0"/>
    <n v="0"/>
    <n v="0"/>
    <n v="0"/>
    <n v="0"/>
    <n v="0"/>
    <n v="300"/>
    <n v="6.0492869480874402E-7"/>
    <n v="0.99984702698266503"/>
    <b v="0"/>
  </r>
  <r>
    <n v="900"/>
    <m/>
    <x v="18"/>
    <m/>
    <s v="CHINESE AMERICAN COMMUNITY CENTER"/>
    <n v="0"/>
    <n v="300"/>
    <n v="0"/>
    <n v="0"/>
    <n v="0"/>
    <n v="0"/>
    <n v="0"/>
    <n v="0"/>
    <n v="300"/>
    <n v="6.0492869480874402E-7"/>
    <n v="0.99984763191135984"/>
    <b v="0"/>
  </r>
  <r>
    <n v="901"/>
    <m/>
    <x v="18"/>
    <m/>
    <s v="RICHARD RAW PRODUCTIONS LLC"/>
    <n v="0"/>
    <n v="300"/>
    <n v="0"/>
    <n v="0"/>
    <n v="0"/>
    <n v="0"/>
    <n v="0"/>
    <n v="0"/>
    <n v="300"/>
    <n v="6.0492869480874402E-7"/>
    <n v="0.99984823684005464"/>
    <b v="0"/>
  </r>
  <r>
    <n v="904"/>
    <m/>
    <x v="18"/>
    <m/>
    <s v="JAMES SPADOLA"/>
    <n v="0"/>
    <n v="300"/>
    <n v="0"/>
    <n v="0"/>
    <n v="0"/>
    <n v="0"/>
    <n v="0"/>
    <n v="0"/>
    <n v="300"/>
    <n v="6.0492869480874402E-7"/>
    <n v="0.99984884176874944"/>
    <b v="0"/>
  </r>
  <r>
    <n v="936"/>
    <m/>
    <x v="18"/>
    <m/>
    <s v="PETER S SMICK DBA SAM SMICK"/>
    <n v="0"/>
    <n v="100"/>
    <n v="100"/>
    <n v="100"/>
    <n v="0"/>
    <n v="0"/>
    <n v="0"/>
    <n v="0"/>
    <n v="300"/>
    <n v="6.0492869480874402E-7"/>
    <n v="0.99984944669744424"/>
    <b v="0"/>
  </r>
  <r>
    <n v="1141"/>
    <m/>
    <x v="18"/>
    <m/>
    <s v="ANDREW LYTER"/>
    <n v="0"/>
    <n v="0"/>
    <n v="300"/>
    <n v="0"/>
    <n v="0"/>
    <n v="0"/>
    <n v="0"/>
    <n v="0"/>
    <n v="300"/>
    <n v="6.0492869480874402E-7"/>
    <n v="0.99985005162613905"/>
    <b v="0"/>
  </r>
  <r>
    <n v="1142"/>
    <m/>
    <x v="18"/>
    <m/>
    <s v="JOHN COLEMAN"/>
    <n v="0"/>
    <n v="0"/>
    <n v="300"/>
    <n v="0"/>
    <n v="0"/>
    <n v="0"/>
    <n v="0"/>
    <n v="0"/>
    <n v="300"/>
    <n v="6.0492869480874402E-7"/>
    <n v="0.99985065655483385"/>
    <b v="0"/>
  </r>
  <r>
    <n v="1143"/>
    <m/>
    <x v="18"/>
    <m/>
    <s v="BRIGHTBAY WELLNESS LLC"/>
    <n v="0"/>
    <n v="0"/>
    <n v="300"/>
    <n v="0"/>
    <n v="0"/>
    <n v="0"/>
    <n v="0"/>
    <n v="0"/>
    <n v="300"/>
    <n v="6.0492869480874402E-7"/>
    <n v="0.99985126148352865"/>
    <b v="0"/>
  </r>
  <r>
    <n v="1169"/>
    <m/>
    <x v="18"/>
    <m/>
    <s v="HIGHWAY SAFETY"/>
    <n v="0"/>
    <n v="0"/>
    <n v="150"/>
    <n v="0"/>
    <n v="0"/>
    <n v="0"/>
    <n v="0"/>
    <n v="150"/>
    <n v="300"/>
    <n v="6.0492869480874402E-7"/>
    <n v="0.99985186641222346"/>
    <b v="0"/>
  </r>
  <r>
    <n v="1334"/>
    <m/>
    <x v="18"/>
    <m/>
    <s v="HOLLY HUNSUCKER"/>
    <n v="0"/>
    <n v="0"/>
    <n v="0"/>
    <n v="300"/>
    <n v="0"/>
    <n v="0"/>
    <n v="0"/>
    <n v="0"/>
    <n v="300"/>
    <n v="6.0492869480874402E-7"/>
    <n v="0.99985247134091826"/>
    <b v="0"/>
  </r>
  <r>
    <n v="1337"/>
    <m/>
    <x v="18"/>
    <m/>
    <s v="KEITH SCHMIERER DMS"/>
    <n v="0"/>
    <n v="0"/>
    <n v="0"/>
    <n v="300"/>
    <n v="0"/>
    <n v="0"/>
    <n v="0"/>
    <n v="0"/>
    <n v="300"/>
    <n v="6.0492869480874402E-7"/>
    <n v="0.99985307626961306"/>
    <b v="0"/>
  </r>
  <r>
    <n v="1338"/>
    <m/>
    <x v="18"/>
    <m/>
    <s v="MARVIN-ALONZO GREER"/>
    <n v="0"/>
    <n v="0"/>
    <n v="0"/>
    <n v="300"/>
    <n v="0"/>
    <n v="0"/>
    <n v="0"/>
    <n v="0"/>
    <n v="300"/>
    <n v="6.0492869480874402E-7"/>
    <n v="0.99985368119830786"/>
    <b v="0"/>
  </r>
  <r>
    <n v="1543"/>
    <m/>
    <x v="18"/>
    <m/>
    <s v="ELECTRONICS DISTRIBUTION INC"/>
    <n v="0"/>
    <n v="0"/>
    <n v="0"/>
    <n v="0"/>
    <n v="300"/>
    <n v="0"/>
    <n v="0"/>
    <n v="0"/>
    <n v="300"/>
    <n v="6.0492869480874402E-7"/>
    <n v="0.99985428612700267"/>
    <b v="0"/>
  </r>
  <r>
    <n v="1544"/>
    <m/>
    <x v="18"/>
    <m/>
    <s v="OUTERSPACES INC"/>
    <n v="0"/>
    <n v="0"/>
    <n v="0"/>
    <n v="0"/>
    <n v="300"/>
    <n v="0"/>
    <n v="0"/>
    <n v="0"/>
    <n v="300"/>
    <n v="6.0492869480874402E-7"/>
    <n v="0.99985489105569747"/>
    <b v="0"/>
  </r>
  <r>
    <n v="1545"/>
    <m/>
    <x v="18"/>
    <m/>
    <s v="HUGH GOFFINET"/>
    <n v="0"/>
    <n v="0"/>
    <n v="0"/>
    <n v="0"/>
    <n v="300"/>
    <n v="0"/>
    <n v="0"/>
    <n v="0"/>
    <n v="300"/>
    <n v="6.0492869480874402E-7"/>
    <n v="0.99985549598439227"/>
    <b v="0"/>
  </r>
  <r>
    <n v="1546"/>
    <m/>
    <x v="18"/>
    <m/>
    <s v="DIANE ANGELINE"/>
    <n v="0"/>
    <n v="0"/>
    <n v="0"/>
    <n v="0"/>
    <n v="300"/>
    <n v="0"/>
    <n v="0"/>
    <n v="0"/>
    <n v="300"/>
    <n v="6.0492869480874402E-7"/>
    <n v="0.99985610091308708"/>
    <b v="0"/>
  </r>
  <r>
    <n v="1547"/>
    <m/>
    <x v="18"/>
    <m/>
    <s v="REGINA HOUPT"/>
    <n v="0"/>
    <n v="0"/>
    <n v="0"/>
    <n v="0"/>
    <n v="300"/>
    <n v="0"/>
    <n v="0"/>
    <n v="0"/>
    <n v="300"/>
    <n v="6.0492869480874402E-7"/>
    <n v="0.99985670584178188"/>
    <b v="0"/>
  </r>
  <r>
    <n v="1548"/>
    <m/>
    <x v="18"/>
    <m/>
    <s v="MARGARET &amp; JAMES THOMPSON"/>
    <n v="0"/>
    <n v="0"/>
    <n v="0"/>
    <n v="0"/>
    <n v="300"/>
    <n v="0"/>
    <n v="0"/>
    <n v="0"/>
    <n v="300"/>
    <n v="6.0492869480874402E-7"/>
    <n v="0.99985731077047668"/>
    <b v="0"/>
  </r>
  <r>
    <n v="1836"/>
    <m/>
    <x v="18"/>
    <m/>
    <s v="DEBBIE ORTIZ"/>
    <n v="0"/>
    <n v="0"/>
    <n v="0"/>
    <n v="0"/>
    <n v="0"/>
    <n v="300"/>
    <n v="0"/>
    <n v="0"/>
    <n v="300"/>
    <n v="6.0492869480874402E-7"/>
    <n v="0.99985791569917148"/>
    <b v="0"/>
  </r>
  <r>
    <n v="1837"/>
    <m/>
    <x v="18"/>
    <m/>
    <s v="PATRICIA S HARDER"/>
    <n v="0"/>
    <n v="0"/>
    <n v="0"/>
    <n v="0"/>
    <n v="0"/>
    <n v="300"/>
    <n v="0"/>
    <n v="0"/>
    <n v="300"/>
    <n v="6.0492869480874402E-7"/>
    <n v="0.99985852062786629"/>
    <b v="0"/>
  </r>
  <r>
    <n v="1838"/>
    <m/>
    <x v="18"/>
    <m/>
    <s v="KRIS HUNTINGTON"/>
    <n v="0"/>
    <n v="0"/>
    <n v="0"/>
    <n v="0"/>
    <n v="0"/>
    <n v="300"/>
    <n v="0"/>
    <n v="0"/>
    <n v="300"/>
    <n v="6.0492869480874402E-7"/>
    <n v="0.99985912555656109"/>
    <b v="0"/>
  </r>
  <r>
    <n v="1839"/>
    <m/>
    <x v="18"/>
    <m/>
    <s v="LISA M SCHIRTZINGER"/>
    <n v="0"/>
    <n v="0"/>
    <n v="0"/>
    <n v="0"/>
    <n v="0"/>
    <n v="300"/>
    <n v="0"/>
    <n v="0"/>
    <n v="300"/>
    <n v="6.0492869480874402E-7"/>
    <n v="0.99985973048525589"/>
    <b v="0"/>
  </r>
  <r>
    <n v="1840"/>
    <m/>
    <x v="18"/>
    <m/>
    <s v="AMY CALLOWAY"/>
    <n v="0"/>
    <n v="0"/>
    <n v="0"/>
    <n v="0"/>
    <n v="0"/>
    <n v="300"/>
    <n v="0"/>
    <n v="0"/>
    <n v="300"/>
    <n v="6.0492869480874402E-7"/>
    <n v="0.9998603354139507"/>
    <b v="0"/>
  </r>
  <r>
    <n v="1894"/>
    <m/>
    <x v="18"/>
    <m/>
    <s v="GEORGE WILLIAMS"/>
    <n v="0"/>
    <n v="0"/>
    <n v="0"/>
    <n v="0"/>
    <n v="0"/>
    <n v="150"/>
    <n v="0"/>
    <n v="150"/>
    <n v="300"/>
    <n v="6.0492869480874402E-7"/>
    <n v="0.9998609403426455"/>
    <b v="0"/>
  </r>
  <r>
    <n v="2150"/>
    <m/>
    <x v="18"/>
    <m/>
    <s v="LINDA K JENNINGS"/>
    <n v="0"/>
    <n v="0"/>
    <n v="0"/>
    <n v="0"/>
    <n v="0"/>
    <n v="0"/>
    <n v="300"/>
    <n v="0"/>
    <n v="300"/>
    <n v="6.0492869480874402E-7"/>
    <n v="0.9998615452713403"/>
    <b v="0"/>
  </r>
  <r>
    <n v="2152"/>
    <m/>
    <x v="18"/>
    <m/>
    <s v="KRISTEN CAMPBELL"/>
    <n v="0"/>
    <n v="0"/>
    <n v="0"/>
    <n v="0"/>
    <n v="0"/>
    <n v="0"/>
    <n v="300"/>
    <n v="0"/>
    <n v="300"/>
    <n v="6.0492869480874402E-7"/>
    <n v="0.9998621502000351"/>
    <b v="0"/>
  </r>
  <r>
    <n v="2192"/>
    <m/>
    <x v="18"/>
    <m/>
    <s v="LINDA D CARTER"/>
    <n v="0"/>
    <n v="0"/>
    <n v="0"/>
    <n v="0"/>
    <n v="0"/>
    <n v="0"/>
    <n v="150"/>
    <n v="150"/>
    <n v="300"/>
    <n v="6.0492869480874402E-7"/>
    <n v="0.99986275512872991"/>
    <b v="0"/>
  </r>
  <r>
    <n v="2193"/>
    <m/>
    <x v="18"/>
    <m/>
    <s v="SARA ANN GARRISON"/>
    <n v="0"/>
    <n v="0"/>
    <n v="0"/>
    <n v="0"/>
    <n v="0"/>
    <n v="0"/>
    <n v="150"/>
    <n v="150"/>
    <n v="300"/>
    <n v="6.0492869480874402E-7"/>
    <n v="0.99986336005742471"/>
    <b v="0"/>
  </r>
  <r>
    <n v="2403"/>
    <m/>
    <x v="18"/>
    <m/>
    <s v="DRAKE BURD"/>
    <n v="0"/>
    <n v="0"/>
    <n v="0"/>
    <n v="0"/>
    <n v="0"/>
    <n v="0"/>
    <n v="0"/>
    <n v="300"/>
    <n v="300"/>
    <n v="6.0492869480874402E-7"/>
    <n v="0.99986396498611951"/>
    <b v="0"/>
  </r>
  <r>
    <n v="2404"/>
    <m/>
    <x v="18"/>
    <m/>
    <s v="ANTHONY JESSON"/>
    <n v="0"/>
    <n v="0"/>
    <n v="0"/>
    <n v="0"/>
    <n v="0"/>
    <n v="0"/>
    <n v="0"/>
    <n v="300"/>
    <n v="300"/>
    <n v="6.0492869480874402E-7"/>
    <n v="0.99986456991481432"/>
    <b v="0"/>
  </r>
  <r>
    <n v="2405"/>
    <m/>
    <x v="18"/>
    <m/>
    <s v="ELENA BROKUS"/>
    <n v="0"/>
    <n v="0"/>
    <n v="0"/>
    <n v="0"/>
    <n v="0"/>
    <n v="0"/>
    <n v="0"/>
    <n v="300"/>
    <n v="300"/>
    <n v="6.0492869480874402E-7"/>
    <n v="0.99986517484350912"/>
    <b v="0"/>
  </r>
  <r>
    <n v="2406"/>
    <m/>
    <x v="18"/>
    <m/>
    <s v="CRYSTAL BAYNARD-NORMAN"/>
    <n v="0"/>
    <n v="0"/>
    <n v="0"/>
    <n v="0"/>
    <n v="0"/>
    <n v="0"/>
    <n v="0"/>
    <n v="300"/>
    <n v="300"/>
    <n v="6.0492869480874402E-7"/>
    <n v="0.99986577977220392"/>
    <b v="0"/>
  </r>
  <r>
    <n v="2407"/>
    <m/>
    <x v="18"/>
    <m/>
    <s v="MATTHEW C DODD"/>
    <n v="0"/>
    <n v="0"/>
    <n v="0"/>
    <n v="0"/>
    <n v="0"/>
    <n v="0"/>
    <n v="0"/>
    <n v="300"/>
    <n v="300"/>
    <n v="6.0492869480874402E-7"/>
    <n v="0.99986638470089872"/>
    <b v="0"/>
  </r>
  <r>
    <n v="2408"/>
    <m/>
    <x v="18"/>
    <m/>
    <s v="ELIZABETH D SHOCKLEY"/>
    <n v="0"/>
    <n v="0"/>
    <n v="0"/>
    <n v="0"/>
    <n v="0"/>
    <n v="0"/>
    <n v="0"/>
    <n v="300"/>
    <n v="300"/>
    <n v="6.0492869480874402E-7"/>
    <n v="0.99986698962959353"/>
    <b v="0"/>
  </r>
  <r>
    <n v="2409"/>
    <m/>
    <x v="18"/>
    <m/>
    <s v="AAA DRY FOAM PROFESSIONAL"/>
    <n v="0"/>
    <n v="0"/>
    <n v="0"/>
    <n v="0"/>
    <n v="0"/>
    <n v="0"/>
    <n v="0"/>
    <n v="299.88"/>
    <n v="299.88"/>
    <n v="6.0468672333082049E-7"/>
    <n v="0.99986759431631689"/>
    <b v="0"/>
  </r>
  <r>
    <n v="2153"/>
    <m/>
    <x v="18"/>
    <m/>
    <s v="DAVID BARTOO"/>
    <n v="0"/>
    <n v="0"/>
    <n v="0"/>
    <n v="0"/>
    <n v="0"/>
    <n v="0"/>
    <n v="299.77999999999997"/>
    <n v="0"/>
    <n v="299.77999999999997"/>
    <n v="6.044850804325509E-7"/>
    <n v="0.99986819880139732"/>
    <b v="0"/>
  </r>
  <r>
    <n v="2154"/>
    <m/>
    <x v="18"/>
    <m/>
    <s v="SANDRA GINGRICH"/>
    <n v="0"/>
    <n v="0"/>
    <n v="0"/>
    <n v="0"/>
    <n v="0"/>
    <n v="0"/>
    <n v="298"/>
    <n v="0"/>
    <n v="298"/>
    <n v="6.0089583684335245E-7"/>
    <n v="0.99986879969723419"/>
    <b v="0"/>
  </r>
  <r>
    <n v="1841"/>
    <m/>
    <x v="18"/>
    <m/>
    <s v="MARY LOU SAVERY"/>
    <n v="0"/>
    <n v="0"/>
    <n v="0"/>
    <n v="0"/>
    <n v="0"/>
    <n v="295"/>
    <n v="0"/>
    <n v="0"/>
    <n v="295"/>
    <n v="5.94846549895265E-7"/>
    <n v="0.9998693945437841"/>
    <b v="0"/>
  </r>
  <r>
    <n v="1144"/>
    <m/>
    <x v="18"/>
    <m/>
    <s v="Kent-Sussex Industries Inc."/>
    <n v="0"/>
    <n v="0"/>
    <n v="294"/>
    <n v="0"/>
    <n v="0"/>
    <n v="0"/>
    <n v="0"/>
    <n v="0"/>
    <n v="294"/>
    <n v="5.9283012091256922E-7"/>
    <n v="0.99986998737390498"/>
    <b v="0"/>
  </r>
  <r>
    <n v="1339"/>
    <m/>
    <x v="18"/>
    <m/>
    <s v="MARIBETH STEINBERG"/>
    <n v="0"/>
    <n v="0"/>
    <n v="0"/>
    <n v="290"/>
    <n v="0"/>
    <n v="0"/>
    <n v="0"/>
    <n v="0"/>
    <n v="290"/>
    <n v="5.8476440498178587E-7"/>
    <n v="0.99987057213830999"/>
    <b v="0"/>
  </r>
  <r>
    <n v="1340"/>
    <m/>
    <x v="18"/>
    <m/>
    <s v="ERIN HESS"/>
    <n v="0"/>
    <n v="0"/>
    <n v="0"/>
    <n v="290"/>
    <n v="0"/>
    <n v="0"/>
    <n v="0"/>
    <n v="0"/>
    <n v="290"/>
    <n v="5.8476440498178587E-7"/>
    <n v="0.999871156902715"/>
    <b v="0"/>
  </r>
  <r>
    <n v="2155"/>
    <m/>
    <x v="18"/>
    <m/>
    <s v="MDS INTERPRETING LLC"/>
    <n v="0"/>
    <n v="0"/>
    <n v="0"/>
    <n v="0"/>
    <n v="0"/>
    <n v="0"/>
    <n v="288"/>
    <n v="0"/>
    <n v="288"/>
    <n v="5.8073154701639431E-7"/>
    <n v="0.99987173763426196"/>
    <b v="0"/>
  </r>
  <r>
    <n v="1341"/>
    <m/>
    <x v="18"/>
    <m/>
    <s v="WILLIAM FITZGERALD"/>
    <n v="0"/>
    <n v="0"/>
    <n v="0"/>
    <n v="287.5"/>
    <n v="0"/>
    <n v="0"/>
    <n v="0"/>
    <n v="0"/>
    <n v="287.5"/>
    <n v="5.7972333252504636E-7"/>
    <n v="0.99987231735759452"/>
    <b v="0"/>
  </r>
  <r>
    <n v="1842"/>
    <m/>
    <x v="18"/>
    <m/>
    <s v="MICHAEL W FROMM"/>
    <n v="0"/>
    <n v="0"/>
    <n v="0"/>
    <n v="0"/>
    <n v="0"/>
    <n v="285"/>
    <n v="0"/>
    <n v="0"/>
    <n v="285"/>
    <n v="5.7468226006830686E-7"/>
    <n v="0.99987289203985463"/>
    <b v="0"/>
  </r>
  <r>
    <n v="1843"/>
    <m/>
    <x v="18"/>
    <m/>
    <s v="THE CORNER GARAGE LLC"/>
    <n v="0"/>
    <n v="0"/>
    <n v="0"/>
    <n v="0"/>
    <n v="0"/>
    <n v="285"/>
    <n v="0"/>
    <n v="0"/>
    <n v="285"/>
    <n v="5.7468226006830686E-7"/>
    <n v="0.99987346672211475"/>
    <b v="0"/>
  </r>
  <r>
    <n v="2410"/>
    <m/>
    <x v="18"/>
    <m/>
    <s v="EAST COAST PLUMBING &amp; HVAC INC"/>
    <n v="0"/>
    <n v="0"/>
    <n v="0"/>
    <n v="0"/>
    <n v="0"/>
    <n v="0"/>
    <n v="0"/>
    <n v="285"/>
    <n v="285"/>
    <n v="5.7468226006830686E-7"/>
    <n v="0.99987404140437486"/>
    <b v="0"/>
  </r>
  <r>
    <n v="1343"/>
    <m/>
    <x v="18"/>
    <m/>
    <s v="COLLEEN B NORTHEY"/>
    <n v="0"/>
    <n v="0"/>
    <n v="0"/>
    <n v="280"/>
    <n v="0"/>
    <n v="0"/>
    <n v="0"/>
    <n v="0"/>
    <n v="280"/>
    <n v="5.6460011515482773E-7"/>
    <n v="0.99987460600448996"/>
    <b v="0"/>
  </r>
  <r>
    <n v="1375"/>
    <m/>
    <x v="18"/>
    <m/>
    <s v="JEREMY BIRNBAUM"/>
    <n v="0"/>
    <n v="0"/>
    <n v="0"/>
    <n v="120"/>
    <n v="0"/>
    <n v="0"/>
    <n v="0"/>
    <n v="160"/>
    <n v="280"/>
    <n v="5.6460011515482773E-7"/>
    <n v="0.99987517060460507"/>
    <b v="0"/>
  </r>
  <r>
    <n v="2411"/>
    <m/>
    <x v="18"/>
    <m/>
    <s v="CUB SCOUT PACK 3834"/>
    <n v="0"/>
    <n v="0"/>
    <n v="0"/>
    <n v="0"/>
    <n v="0"/>
    <n v="0"/>
    <n v="0"/>
    <n v="280"/>
    <n v="280"/>
    <n v="5.6460011515482773E-7"/>
    <n v="0.99987573520472017"/>
    <b v="0"/>
  </r>
  <r>
    <n v="657"/>
    <m/>
    <x v="18"/>
    <m/>
    <s v="KATHERINE LECOCQ"/>
    <n v="125"/>
    <n v="150"/>
    <n v="0"/>
    <n v="0"/>
    <n v="0"/>
    <n v="0"/>
    <n v="0"/>
    <n v="0"/>
    <n v="275"/>
    <n v="5.5451797024134871E-7"/>
    <n v="0.99987628972269038"/>
    <b v="0"/>
  </r>
  <r>
    <n v="1551"/>
    <m/>
    <x v="18"/>
    <m/>
    <s v="HOLLY REYNOLDS"/>
    <n v="0"/>
    <n v="0"/>
    <n v="0"/>
    <n v="0"/>
    <n v="275"/>
    <n v="0"/>
    <n v="0"/>
    <n v="0"/>
    <n v="275"/>
    <n v="5.5451797024134871E-7"/>
    <n v="0.99987684424066059"/>
    <b v="0"/>
  </r>
  <r>
    <n v="1846"/>
    <m/>
    <x v="18"/>
    <m/>
    <s v="DANIELLE BERGEZ"/>
    <n v="0"/>
    <n v="0"/>
    <n v="0"/>
    <n v="0"/>
    <n v="0"/>
    <n v="275"/>
    <n v="0"/>
    <n v="0"/>
    <n v="275"/>
    <n v="5.5451797024134871E-7"/>
    <n v="0.9998773987586308"/>
    <b v="0"/>
  </r>
  <r>
    <n v="1847"/>
    <m/>
    <x v="18"/>
    <m/>
    <s v="LIZA NELSON"/>
    <n v="0"/>
    <n v="0"/>
    <n v="0"/>
    <n v="0"/>
    <n v="0"/>
    <n v="275"/>
    <n v="0"/>
    <n v="0"/>
    <n v="275"/>
    <n v="5.5451797024134871E-7"/>
    <n v="0.99987795327660101"/>
    <b v="0"/>
  </r>
  <r>
    <n v="2412"/>
    <m/>
    <x v="18"/>
    <m/>
    <s v="JOHN HINTZ DBA PERPLUS"/>
    <n v="0"/>
    <n v="0"/>
    <n v="0"/>
    <n v="0"/>
    <n v="0"/>
    <n v="0"/>
    <n v="0"/>
    <n v="275"/>
    <n v="275"/>
    <n v="5.5451797024134871E-7"/>
    <n v="0.99987850779457121"/>
    <b v="0"/>
  </r>
  <r>
    <n v="1344"/>
    <m/>
    <x v="18"/>
    <m/>
    <s v="Rausch Fuel Oil Company Inc"/>
    <n v="0"/>
    <n v="0"/>
    <n v="0"/>
    <n v="272"/>
    <n v="0"/>
    <n v="0"/>
    <n v="0"/>
    <n v="0"/>
    <n v="272"/>
    <n v="5.4846868329326126E-7"/>
    <n v="0.99987905626325446"/>
    <b v="0"/>
  </r>
  <r>
    <n v="2158"/>
    <m/>
    <x v="18"/>
    <m/>
    <s v="GEORGE R SMALLWOOD"/>
    <n v="0"/>
    <n v="0"/>
    <n v="0"/>
    <n v="0"/>
    <n v="0"/>
    <n v="0"/>
    <n v="270.27"/>
    <n v="0"/>
    <n v="270.27"/>
    <n v="5.449802611531975E-7"/>
    <n v="0.9998796012435156"/>
    <b v="0"/>
  </r>
  <r>
    <n v="906"/>
    <m/>
    <x v="18"/>
    <m/>
    <s v="SAWYERS SANITATION SERVICE INC"/>
    <n v="0"/>
    <n v="270"/>
    <n v="0"/>
    <n v="0"/>
    <n v="0"/>
    <n v="0"/>
    <n v="0"/>
    <n v="0"/>
    <n v="270"/>
    <n v="5.4443582532786969E-7"/>
    <n v="0.99988014567934091"/>
    <b v="0"/>
  </r>
  <r>
    <n v="1552"/>
    <m/>
    <x v="18"/>
    <m/>
    <s v="DOMINIC &amp; STACEY MUZZI"/>
    <n v="0"/>
    <n v="0"/>
    <n v="0"/>
    <n v="0"/>
    <n v="270"/>
    <n v="0"/>
    <n v="0"/>
    <n v="0"/>
    <n v="270"/>
    <n v="5.4443582532786969E-7"/>
    <n v="0.99988069011516623"/>
    <b v="0"/>
  </r>
  <r>
    <n v="2413"/>
    <m/>
    <x v="18"/>
    <m/>
    <s v="JOHN O &amp; JOHN C DICKERSON PARTNERS"/>
    <n v="0"/>
    <n v="0"/>
    <n v="0"/>
    <n v="0"/>
    <n v="0"/>
    <n v="0"/>
    <n v="0"/>
    <n v="270"/>
    <n v="270"/>
    <n v="5.4443582532786969E-7"/>
    <n v="0.99988123455099154"/>
    <b v="0"/>
  </r>
  <r>
    <n v="907"/>
    <m/>
    <x v="18"/>
    <m/>
    <s v="EDWARD W SCHARR III PRESSUREWASHERREPAIR"/>
    <n v="0"/>
    <n v="266.5"/>
    <n v="0"/>
    <n v="0"/>
    <n v="0"/>
    <n v="0"/>
    <n v="0"/>
    <n v="0"/>
    <n v="266.5"/>
    <n v="5.3737832388843429E-7"/>
    <n v="0.99988177192931538"/>
    <b v="0"/>
  </r>
  <r>
    <n v="2159"/>
    <m/>
    <x v="18"/>
    <m/>
    <s v="CHRISTOPHER P BENNETT"/>
    <n v="0"/>
    <n v="0"/>
    <n v="0"/>
    <n v="0"/>
    <n v="0"/>
    <n v="0"/>
    <n v="264.2"/>
    <n v="0"/>
    <n v="264.2"/>
    <n v="5.3274053722823386E-7"/>
    <n v="0.99988230466985262"/>
    <b v="0"/>
  </r>
  <r>
    <n v="2414"/>
    <m/>
    <x v="18"/>
    <m/>
    <s v="O A NEWTON AND SON COMPANY"/>
    <n v="0"/>
    <n v="0"/>
    <n v="0"/>
    <n v="0"/>
    <n v="0"/>
    <n v="0"/>
    <n v="0"/>
    <n v="262.52"/>
    <n v="262.52"/>
    <n v="5.2935293653730489E-7"/>
    <n v="0.9998828340227891"/>
    <b v="0"/>
  </r>
  <r>
    <n v="908"/>
    <m/>
    <x v="18"/>
    <m/>
    <s v="RACHEL PERASH"/>
    <n v="0"/>
    <n v="262.26"/>
    <n v="0"/>
    <n v="0"/>
    <n v="0"/>
    <n v="0"/>
    <n v="0"/>
    <n v="0"/>
    <n v="262.26"/>
    <n v="5.28828665001804E-7"/>
    <n v="0.99988336285145407"/>
    <b v="0"/>
  </r>
  <r>
    <n v="2415"/>
    <m/>
    <x v="18"/>
    <m/>
    <s v="Nicolette Stevenson"/>
    <n v="0"/>
    <n v="0"/>
    <n v="0"/>
    <n v="0"/>
    <n v="0"/>
    <n v="0"/>
    <n v="0"/>
    <n v="260"/>
    <n v="260"/>
    <n v="5.2427153550091155E-7"/>
    <n v="0.99988388712298959"/>
    <b v="0"/>
  </r>
  <r>
    <n v="2416"/>
    <m/>
    <x v="18"/>
    <m/>
    <s v="ELIZABETH WEBSTER"/>
    <n v="0"/>
    <n v="0"/>
    <n v="0"/>
    <n v="0"/>
    <n v="0"/>
    <n v="0"/>
    <n v="0"/>
    <n v="260"/>
    <n v="260"/>
    <n v="5.2427153550091155E-7"/>
    <n v="0.99988441139452511"/>
    <b v="0"/>
  </r>
  <r>
    <n v="2161"/>
    <m/>
    <x v="18"/>
    <m/>
    <s v="EMED CO INC"/>
    <n v="0"/>
    <n v="0"/>
    <n v="0"/>
    <n v="0"/>
    <n v="0"/>
    <n v="0"/>
    <n v="256.43"/>
    <n v="0"/>
    <n v="256.43"/>
    <n v="5.1707288403268742E-7"/>
    <n v="0.99988492846740917"/>
    <b v="0"/>
  </r>
  <r>
    <n v="620"/>
    <m/>
    <x v="18"/>
    <m/>
    <s v="UNCLE BS KITCHEN LLC"/>
    <n v="250"/>
    <n v="0"/>
    <n v="0"/>
    <n v="0"/>
    <n v="0"/>
    <n v="0"/>
    <n v="0"/>
    <n v="0"/>
    <n v="250"/>
    <n v="5.041072456739534E-7"/>
    <n v="0.9998854325746549"/>
    <b v="0"/>
  </r>
  <r>
    <n v="1147"/>
    <m/>
    <x v="18"/>
    <m/>
    <s v="ROGER MUSTALISH"/>
    <n v="0"/>
    <n v="0"/>
    <n v="250"/>
    <n v="0"/>
    <n v="0"/>
    <n v="0"/>
    <n v="0"/>
    <n v="0"/>
    <n v="250"/>
    <n v="5.041072456739534E-7"/>
    <n v="0.99988593668190062"/>
    <b v="0"/>
  </r>
  <r>
    <n v="1148"/>
    <m/>
    <x v="18"/>
    <m/>
    <s v="ANDREW FITZKEE"/>
    <n v="0"/>
    <n v="0"/>
    <n v="250"/>
    <n v="0"/>
    <n v="0"/>
    <n v="0"/>
    <n v="0"/>
    <n v="0"/>
    <n v="250"/>
    <n v="5.041072456739534E-7"/>
    <n v="0.99988644078914635"/>
    <b v="0"/>
  </r>
  <r>
    <n v="1149"/>
    <m/>
    <x v="18"/>
    <m/>
    <s v="RALPH GRESHAM LAM"/>
    <n v="0"/>
    <n v="0"/>
    <n v="250"/>
    <n v="0"/>
    <n v="0"/>
    <n v="0"/>
    <n v="0"/>
    <n v="0"/>
    <n v="250"/>
    <n v="5.041072456739534E-7"/>
    <n v="0.99988694489639207"/>
    <b v="0"/>
  </r>
  <r>
    <n v="1151"/>
    <m/>
    <x v="18"/>
    <m/>
    <s v="BRADLEY BENNETT"/>
    <n v="0"/>
    <n v="0"/>
    <n v="250"/>
    <n v="0"/>
    <n v="0"/>
    <n v="0"/>
    <n v="0"/>
    <n v="0"/>
    <n v="250"/>
    <n v="5.041072456739534E-7"/>
    <n v="0.9998874490036378"/>
    <b v="0"/>
  </r>
  <r>
    <n v="1346"/>
    <m/>
    <x v="18"/>
    <m/>
    <s v="CELESTE KELLY"/>
    <n v="0"/>
    <n v="0"/>
    <n v="0"/>
    <n v="250"/>
    <n v="0"/>
    <n v="0"/>
    <n v="0"/>
    <n v="0"/>
    <n v="250"/>
    <n v="5.041072456739534E-7"/>
    <n v="0.99988795311088352"/>
    <b v="0"/>
  </r>
  <r>
    <n v="1553"/>
    <m/>
    <x v="18"/>
    <m/>
    <s v="STEPHEN FRENCH"/>
    <n v="0"/>
    <n v="0"/>
    <n v="0"/>
    <n v="0"/>
    <n v="250"/>
    <n v="0"/>
    <n v="0"/>
    <n v="0"/>
    <n v="250"/>
    <n v="5.041072456739534E-7"/>
    <n v="0.99988845721812925"/>
    <b v="0"/>
  </r>
  <r>
    <n v="1555"/>
    <m/>
    <x v="18"/>
    <m/>
    <s v="ROBERT ROOT JR"/>
    <n v="0"/>
    <n v="0"/>
    <n v="0"/>
    <n v="0"/>
    <n v="250"/>
    <n v="0"/>
    <n v="0"/>
    <n v="0"/>
    <n v="250"/>
    <n v="5.041072456739534E-7"/>
    <n v="0.99988896132537497"/>
    <b v="0"/>
  </r>
  <r>
    <n v="1556"/>
    <m/>
    <x v="18"/>
    <m/>
    <s v="MICHAEL BROOK"/>
    <n v="0"/>
    <n v="0"/>
    <n v="0"/>
    <n v="0"/>
    <n v="250"/>
    <n v="0"/>
    <n v="0"/>
    <n v="0"/>
    <n v="250"/>
    <n v="5.041072456739534E-7"/>
    <n v="0.99988946543262069"/>
    <b v="0"/>
  </r>
  <r>
    <n v="1557"/>
    <m/>
    <x v="18"/>
    <m/>
    <s v="CHRISTINE DI SABATINO"/>
    <n v="0"/>
    <n v="0"/>
    <n v="0"/>
    <n v="0"/>
    <n v="250"/>
    <n v="0"/>
    <n v="0"/>
    <n v="0"/>
    <n v="250"/>
    <n v="5.041072456739534E-7"/>
    <n v="0.99988996953986642"/>
    <b v="0"/>
  </r>
  <r>
    <n v="1849"/>
    <m/>
    <x v="18"/>
    <m/>
    <s v="MELISSA ALESI"/>
    <n v="0"/>
    <n v="0"/>
    <n v="0"/>
    <n v="0"/>
    <n v="0"/>
    <n v="250"/>
    <n v="0"/>
    <n v="0"/>
    <n v="250"/>
    <n v="5.041072456739534E-7"/>
    <n v="0.99989047364711214"/>
    <b v="0"/>
  </r>
  <r>
    <n v="1850"/>
    <m/>
    <x v="18"/>
    <m/>
    <s v="MUSICOPIA"/>
    <n v="0"/>
    <n v="0"/>
    <n v="0"/>
    <n v="0"/>
    <n v="0"/>
    <n v="250"/>
    <n v="0"/>
    <n v="0"/>
    <n v="250"/>
    <n v="5.041072456739534E-7"/>
    <n v="0.99989097775435787"/>
    <b v="0"/>
  </r>
  <r>
    <n v="1852"/>
    <m/>
    <x v="18"/>
    <m/>
    <s v="JEFF HAGUE"/>
    <n v="0"/>
    <n v="0"/>
    <n v="0"/>
    <n v="0"/>
    <n v="0"/>
    <n v="250"/>
    <n v="0"/>
    <n v="0"/>
    <n v="250"/>
    <n v="5.041072456739534E-7"/>
    <n v="0.99989148186160359"/>
    <b v="0"/>
  </r>
  <r>
    <n v="1853"/>
    <m/>
    <x v="18"/>
    <m/>
    <s v="MICHAEL HITCH"/>
    <n v="0"/>
    <n v="0"/>
    <n v="0"/>
    <n v="0"/>
    <n v="0"/>
    <n v="250"/>
    <n v="0"/>
    <n v="0"/>
    <n v="250"/>
    <n v="5.041072456739534E-7"/>
    <n v="0.99989198596884932"/>
    <b v="0"/>
  </r>
  <r>
    <n v="2417"/>
    <m/>
    <x v="18"/>
    <m/>
    <s v="ZACHARY CROUCH"/>
    <n v="0"/>
    <n v="0"/>
    <n v="0"/>
    <n v="0"/>
    <n v="0"/>
    <n v="0"/>
    <n v="0"/>
    <n v="250"/>
    <n v="250"/>
    <n v="5.041072456739534E-7"/>
    <n v="0.99989249007609504"/>
    <b v="0"/>
  </r>
  <r>
    <n v="2418"/>
    <m/>
    <x v="18"/>
    <m/>
    <s v="CUB SCOUT PACK 274"/>
    <n v="0"/>
    <n v="0"/>
    <n v="0"/>
    <n v="0"/>
    <n v="0"/>
    <n v="0"/>
    <n v="0"/>
    <n v="250"/>
    <n v="250"/>
    <n v="5.041072456739534E-7"/>
    <n v="0.99989299418334077"/>
    <b v="0"/>
  </r>
  <r>
    <n v="1917"/>
    <m/>
    <x v="18"/>
    <m/>
    <s v="STANDARD INDUSTRIAL SUPPLY CO INC"/>
    <n v="0"/>
    <n v="0"/>
    <n v="0"/>
    <n v="0"/>
    <n v="0"/>
    <n v="99.62"/>
    <n v="0"/>
    <n v="148.88999999999999"/>
    <n v="248.51"/>
    <n v="5.0110276648973659E-7"/>
    <n v="0.99989349528610727"/>
    <b v="0"/>
  </r>
  <r>
    <n v="1854"/>
    <m/>
    <x v="18"/>
    <m/>
    <s v="DOTTIE ALMONEY"/>
    <n v="0"/>
    <n v="0"/>
    <n v="0"/>
    <n v="0"/>
    <n v="0"/>
    <n v="248"/>
    <n v="0"/>
    <n v="0"/>
    <n v="248"/>
    <n v="5.0007438770856173E-7"/>
    <n v="0.99989399536049495"/>
    <b v="0"/>
  </r>
  <r>
    <n v="2162"/>
    <m/>
    <x v="18"/>
    <m/>
    <s v="ANDY STYER"/>
    <n v="0"/>
    <n v="0"/>
    <n v="0"/>
    <n v="0"/>
    <n v="0"/>
    <n v="0"/>
    <n v="248"/>
    <n v="0"/>
    <n v="248"/>
    <n v="5.0007438770856173E-7"/>
    <n v="0.99989449543488262"/>
    <b v="0"/>
  </r>
  <r>
    <n v="2163"/>
    <m/>
    <x v="18"/>
    <m/>
    <s v="THOMAS LENHARD"/>
    <n v="0"/>
    <n v="0"/>
    <n v="0"/>
    <n v="0"/>
    <n v="0"/>
    <n v="0"/>
    <n v="245"/>
    <n v="0"/>
    <n v="245"/>
    <n v="4.9402510076047428E-7"/>
    <n v="0.99989498945998334"/>
    <b v="0"/>
  </r>
  <r>
    <n v="1855"/>
    <m/>
    <x v="18"/>
    <m/>
    <s v="BEAR MATERIALS LLC"/>
    <n v="0"/>
    <n v="0"/>
    <n v="0"/>
    <n v="0"/>
    <n v="0"/>
    <n v="244.41"/>
    <n v="0"/>
    <n v="0"/>
    <n v="244.41"/>
    <n v="4.9283540766068377E-7"/>
    <n v="0.99989548229539105"/>
    <b v="0"/>
  </r>
  <r>
    <n v="927"/>
    <m/>
    <x v="18"/>
    <m/>
    <s v="GEORGE H BURNS INC"/>
    <n v="0"/>
    <n v="129"/>
    <n v="0"/>
    <n v="0"/>
    <n v="0"/>
    <n v="115"/>
    <n v="0"/>
    <n v="0"/>
    <n v="244"/>
    <n v="4.9200867177777849E-7"/>
    <n v="0.99989597430406285"/>
    <b v="0"/>
  </r>
  <r>
    <n v="1396"/>
    <m/>
    <x v="18"/>
    <m/>
    <s v="GREENBERG SUPPLY CO INC"/>
    <n v="0"/>
    <n v="0"/>
    <n v="0"/>
    <n v="24.95"/>
    <n v="0"/>
    <n v="0"/>
    <n v="216.37"/>
    <n v="0"/>
    <n v="241.32"/>
    <n v="4.8660464210415375E-7"/>
    <n v="0.99989646090870499"/>
    <b v="0"/>
  </r>
  <r>
    <n v="1602"/>
    <m/>
    <x v="18"/>
    <m/>
    <s v="GLENN CATCHINGS"/>
    <n v="0"/>
    <n v="0"/>
    <n v="0"/>
    <n v="0"/>
    <n v="120"/>
    <n v="120"/>
    <n v="0"/>
    <n v="0"/>
    <n v="240"/>
    <n v="4.8394295584699526E-7"/>
    <n v="0.99989694485166081"/>
    <b v="0"/>
  </r>
  <r>
    <n v="1856"/>
    <m/>
    <x v="18"/>
    <m/>
    <s v="MARY ANN WYATT"/>
    <n v="0"/>
    <n v="0"/>
    <n v="0"/>
    <n v="0"/>
    <n v="0"/>
    <n v="240"/>
    <n v="0"/>
    <n v="0"/>
    <n v="240"/>
    <n v="4.8394295584699526E-7"/>
    <n v="0.99989742879461663"/>
    <b v="0"/>
  </r>
  <r>
    <n v="2166"/>
    <m/>
    <x v="18"/>
    <m/>
    <s v="SECURITAS ELECTRONIC SECURITY INC"/>
    <n v="0"/>
    <n v="0"/>
    <n v="0"/>
    <n v="0"/>
    <n v="0"/>
    <n v="0"/>
    <n v="240"/>
    <n v="0"/>
    <n v="240"/>
    <n v="4.8394295584699526E-7"/>
    <n v="0.99989791273757245"/>
    <b v="0"/>
  </r>
  <r>
    <n v="2419"/>
    <m/>
    <x v="18"/>
    <m/>
    <s v="EPX ACQUISITION COMPANY LLC"/>
    <n v="0"/>
    <n v="0"/>
    <n v="0"/>
    <n v="0"/>
    <n v="0"/>
    <n v="0"/>
    <n v="0"/>
    <n v="240"/>
    <n v="240"/>
    <n v="4.8394295584699526E-7"/>
    <n v="0.99989839668052827"/>
    <b v="0"/>
  </r>
  <r>
    <n v="1348"/>
    <m/>
    <x v="18"/>
    <m/>
    <s v="RYAN SCHWARTZ"/>
    <n v="0"/>
    <n v="0"/>
    <n v="0"/>
    <n v="239.95"/>
    <n v="0"/>
    <n v="0"/>
    <n v="0"/>
    <n v="0"/>
    <n v="239.95"/>
    <n v="4.8384213439786046E-7"/>
    <n v="0.99989888052266263"/>
    <b v="0"/>
  </r>
  <r>
    <n v="1561"/>
    <m/>
    <x v="18"/>
    <m/>
    <s v="TRI-SUPPLY &amp; EQUIPMENT"/>
    <n v="0"/>
    <n v="0"/>
    <n v="0"/>
    <n v="0"/>
    <n v="238"/>
    <n v="0"/>
    <n v="0"/>
    <n v="0"/>
    <n v="238"/>
    <n v="4.7991009788160359E-7"/>
    <n v="0.99989936043276051"/>
    <b v="0"/>
  </r>
  <r>
    <n v="2420"/>
    <m/>
    <x v="18"/>
    <m/>
    <s v="ELIZABETH A ANDROSKAUT"/>
    <n v="0"/>
    <n v="0"/>
    <n v="0"/>
    <n v="0"/>
    <n v="0"/>
    <n v="0"/>
    <n v="0"/>
    <n v="235.92"/>
    <n v="235.92"/>
    <n v="4.7571592559759632E-7"/>
    <n v="0.99989983614868616"/>
    <b v="0"/>
  </r>
  <r>
    <n v="1562"/>
    <m/>
    <x v="18"/>
    <m/>
    <s v="Kate Callihan"/>
    <n v="0"/>
    <n v="0"/>
    <n v="0"/>
    <n v="0"/>
    <n v="235"/>
    <n v="0"/>
    <n v="0"/>
    <n v="0"/>
    <n v="235"/>
    <n v="4.7386081093351619E-7"/>
    <n v="0.99990031000949708"/>
    <b v="0"/>
  </r>
  <r>
    <n v="1563"/>
    <m/>
    <x v="18"/>
    <m/>
    <s v="JESSICA WILLIAMSON"/>
    <n v="0"/>
    <n v="0"/>
    <n v="0"/>
    <n v="0"/>
    <n v="235"/>
    <n v="0"/>
    <n v="0"/>
    <n v="0"/>
    <n v="235"/>
    <n v="4.7386081093351619E-7"/>
    <n v="0.99990078387030801"/>
    <b v="0"/>
  </r>
  <r>
    <n v="1154"/>
    <m/>
    <x v="18"/>
    <m/>
    <s v="MONTAGE ENTERPRISES INC"/>
    <n v="0"/>
    <n v="0"/>
    <n v="232.46"/>
    <n v="0"/>
    <n v="0"/>
    <n v="0"/>
    <n v="0"/>
    <n v="0"/>
    <n v="232.46"/>
    <n v="4.687390813174688E-7"/>
    <n v="0.99990125260938933"/>
    <b v="0"/>
  </r>
  <r>
    <n v="2167"/>
    <m/>
    <x v="18"/>
    <m/>
    <s v="DEMPSEY'S SERV CTR"/>
    <n v="0"/>
    <n v="0"/>
    <n v="0"/>
    <n v="0"/>
    <n v="0"/>
    <n v="0"/>
    <n v="232"/>
    <n v="0"/>
    <n v="232"/>
    <n v="4.6781152398542873E-7"/>
    <n v="0.9999017204209133"/>
    <b v="0"/>
  </r>
  <r>
    <n v="2168"/>
    <m/>
    <x v="18"/>
    <m/>
    <s v="VWR INTERNATIONAL LLC"/>
    <n v="0"/>
    <n v="0"/>
    <n v="0"/>
    <n v="0"/>
    <n v="0"/>
    <n v="0"/>
    <n v="231.78"/>
    <n v="0"/>
    <n v="231.78"/>
    <n v="4.6736790960923567E-7"/>
    <n v="0.99990218778882289"/>
    <b v="0"/>
  </r>
  <r>
    <n v="1605"/>
    <m/>
    <x v="18"/>
    <m/>
    <s v="GINA HASTINGS"/>
    <n v="0"/>
    <n v="0"/>
    <n v="0"/>
    <n v="0"/>
    <n v="115"/>
    <n v="115"/>
    <n v="0"/>
    <n v="0"/>
    <n v="230"/>
    <n v="4.6377866602003711E-7"/>
    <n v="0.99990265156748892"/>
    <b v="0"/>
  </r>
  <r>
    <n v="2169"/>
    <m/>
    <x v="18"/>
    <m/>
    <s v="KOMPRESSED AIR OF DEL INC"/>
    <n v="0"/>
    <n v="0"/>
    <n v="0"/>
    <n v="0"/>
    <n v="0"/>
    <n v="0"/>
    <n v="230"/>
    <n v="0"/>
    <n v="230"/>
    <n v="4.6377866602003711E-7"/>
    <n v="0.99990311534615495"/>
    <b v="0"/>
  </r>
  <r>
    <n v="2421"/>
    <m/>
    <x v="18"/>
    <m/>
    <s v="LAUREN HEWITT"/>
    <n v="0"/>
    <n v="0"/>
    <n v="0"/>
    <n v="0"/>
    <n v="0"/>
    <n v="0"/>
    <n v="0"/>
    <n v="230"/>
    <n v="230"/>
    <n v="4.6377866602003711E-7"/>
    <n v="0.99990357912482097"/>
    <b v="0"/>
  </r>
  <r>
    <n v="1912"/>
    <m/>
    <x v="18"/>
    <m/>
    <s v="TRI-DIM FILTER CORP"/>
    <n v="0"/>
    <n v="0"/>
    <n v="0"/>
    <n v="0"/>
    <n v="0"/>
    <n v="113.76"/>
    <n v="0"/>
    <n v="116.16"/>
    <n v="229.92000000000002"/>
    <n v="4.6361735170142146E-7"/>
    <n v="0.99990404274217271"/>
    <b v="0"/>
  </r>
  <r>
    <n v="1349"/>
    <m/>
    <x v="18"/>
    <m/>
    <s v="CONSTRUCTION SUPPLY HOLDINGS II LLC"/>
    <n v="0"/>
    <n v="0"/>
    <n v="0"/>
    <n v="229.48"/>
    <n v="0"/>
    <n v="0"/>
    <n v="0"/>
    <n v="0"/>
    <n v="229.48"/>
    <n v="4.6273012294903528E-7"/>
    <n v="0.9999045054722957"/>
    <b v="0"/>
  </r>
  <r>
    <n v="1565"/>
    <m/>
    <x v="18"/>
    <m/>
    <s v="VOSS SIGNS LLC"/>
    <n v="0"/>
    <n v="0"/>
    <n v="0"/>
    <n v="0"/>
    <n v="228.5"/>
    <n v="0"/>
    <n v="0"/>
    <n v="0"/>
    <n v="228.5"/>
    <n v="4.6075402254599339E-7"/>
    <n v="0.99990496622631819"/>
    <b v="0"/>
  </r>
  <r>
    <n v="1925"/>
    <m/>
    <x v="18"/>
    <m/>
    <s v="CAESAR RODNEY DISTRICT OFFICE"/>
    <n v="0"/>
    <n v="0"/>
    <n v="0"/>
    <n v="0"/>
    <n v="0"/>
    <n v="67.5"/>
    <n v="160"/>
    <n v="0"/>
    <n v="227.5"/>
    <n v="4.5873759356329755E-7"/>
    <n v="0.99990542496391177"/>
    <b v="0"/>
  </r>
  <r>
    <n v="2422"/>
    <m/>
    <x v="18"/>
    <m/>
    <s v="ALLPORT EDITIONS"/>
    <n v="0"/>
    <n v="0"/>
    <n v="0"/>
    <n v="0"/>
    <n v="0"/>
    <n v="0"/>
    <n v="0"/>
    <n v="226.23"/>
    <n v="226.23"/>
    <n v="4.5617672875527386E-7"/>
    <n v="0.9999058811406405"/>
    <b v="0"/>
  </r>
  <r>
    <n v="2423"/>
    <m/>
    <x v="18"/>
    <m/>
    <s v="CTA ROOFING &amp; WATERPROOFNG INC"/>
    <n v="0"/>
    <n v="0"/>
    <n v="0"/>
    <n v="0"/>
    <n v="0"/>
    <n v="0"/>
    <n v="0"/>
    <n v="226"/>
    <n v="226"/>
    <n v="4.5571295008925382E-7"/>
    <n v="0.99990633685359054"/>
    <b v="0"/>
  </r>
  <r>
    <n v="1568"/>
    <m/>
    <x v="18"/>
    <m/>
    <s v="JENNIFER BLANKENSHIP"/>
    <n v="0"/>
    <n v="0"/>
    <n v="0"/>
    <n v="0"/>
    <n v="225"/>
    <n v="0"/>
    <n v="0"/>
    <n v="0"/>
    <n v="225"/>
    <n v="4.5369652110655804E-7"/>
    <n v="0.99990679055011167"/>
    <b v="0"/>
  </r>
  <r>
    <n v="1859"/>
    <m/>
    <x v="18"/>
    <m/>
    <s v="MIRIAM MADDEN"/>
    <n v="0"/>
    <n v="0"/>
    <n v="0"/>
    <n v="0"/>
    <n v="0"/>
    <n v="225"/>
    <n v="0"/>
    <n v="0"/>
    <n v="225"/>
    <n v="4.5369652110655804E-7"/>
    <n v="0.9999072442466328"/>
    <b v="0"/>
  </r>
  <r>
    <n v="1569"/>
    <m/>
    <x v="18"/>
    <m/>
    <s v="HAMMERHEADS INC"/>
    <n v="0"/>
    <n v="0"/>
    <n v="0"/>
    <n v="0"/>
    <n v="224"/>
    <n v="0"/>
    <n v="0"/>
    <n v="0"/>
    <n v="224"/>
    <n v="4.5168009212386221E-7"/>
    <n v="0.9999076959267249"/>
    <b v="0"/>
  </r>
  <r>
    <n v="910"/>
    <m/>
    <x v="18"/>
    <m/>
    <s v="FIRE FREE CHIMNEY SWEEPS LLC"/>
    <n v="0"/>
    <n v="220"/>
    <n v="0"/>
    <n v="0"/>
    <n v="0"/>
    <n v="0"/>
    <n v="0"/>
    <n v="0"/>
    <n v="220"/>
    <n v="4.4361437619307897E-7"/>
    <n v="0.99990813954110114"/>
    <b v="0"/>
  </r>
  <r>
    <n v="1860"/>
    <m/>
    <x v="18"/>
    <m/>
    <s v="ANNA MARCOTTE"/>
    <n v="0"/>
    <n v="0"/>
    <n v="0"/>
    <n v="0"/>
    <n v="0"/>
    <n v="220"/>
    <n v="0"/>
    <n v="0"/>
    <n v="220"/>
    <n v="4.4361437619307897E-7"/>
    <n v="0.99990858315547737"/>
    <b v="0"/>
  </r>
  <r>
    <n v="1861"/>
    <m/>
    <x v="18"/>
    <m/>
    <s v="JULIA SANTINI"/>
    <n v="0"/>
    <n v="0"/>
    <n v="0"/>
    <n v="0"/>
    <n v="0"/>
    <n v="220"/>
    <n v="0"/>
    <n v="0"/>
    <n v="220"/>
    <n v="4.4361437619307897E-7"/>
    <n v="0.9999090267698536"/>
    <b v="0"/>
  </r>
  <r>
    <n v="1906"/>
    <m/>
    <x v="18"/>
    <m/>
    <s v="RAMSEY'S FARM"/>
    <n v="0"/>
    <n v="0"/>
    <n v="0"/>
    <n v="0"/>
    <n v="0"/>
    <n v="120"/>
    <n v="0"/>
    <n v="100"/>
    <n v="220"/>
    <n v="4.4361437619307897E-7"/>
    <n v="0.99990947038422984"/>
    <b v="0"/>
  </r>
  <r>
    <n v="2170"/>
    <m/>
    <x v="18"/>
    <m/>
    <s v="CHARLES BROWN"/>
    <n v="0"/>
    <n v="0"/>
    <n v="0"/>
    <n v="0"/>
    <n v="0"/>
    <n v="0"/>
    <n v="220"/>
    <n v="0"/>
    <n v="220"/>
    <n v="4.4361437619307897E-7"/>
    <n v="0.99990991399860607"/>
    <b v="0"/>
  </r>
  <r>
    <n v="1155"/>
    <m/>
    <x v="18"/>
    <m/>
    <s v="CANN ERIKSON BINDERY INC"/>
    <n v="0"/>
    <n v="0"/>
    <n v="217"/>
    <n v="0"/>
    <n v="0"/>
    <n v="0"/>
    <n v="0"/>
    <n v="0"/>
    <n v="217"/>
    <n v="4.3756508924499151E-7"/>
    <n v="0.99991035156369534"/>
    <b v="0"/>
  </r>
  <r>
    <n v="1570"/>
    <m/>
    <x v="18"/>
    <m/>
    <s v="JAN WALKER"/>
    <n v="0"/>
    <n v="0"/>
    <n v="0"/>
    <n v="0"/>
    <n v="216"/>
    <n v="0"/>
    <n v="0"/>
    <n v="0"/>
    <n v="216"/>
    <n v="4.3554866026229573E-7"/>
    <n v="0.99991078711235559"/>
    <b v="0"/>
  </r>
  <r>
    <n v="1571"/>
    <m/>
    <x v="18"/>
    <m/>
    <s v="ANDREW WAJID-ALI"/>
    <n v="0"/>
    <n v="0"/>
    <n v="0"/>
    <n v="0"/>
    <n v="216"/>
    <n v="0"/>
    <n v="0"/>
    <n v="0"/>
    <n v="216"/>
    <n v="4.3554866026229573E-7"/>
    <n v="0.99991122266101584"/>
    <b v="0"/>
  </r>
  <r>
    <n v="1572"/>
    <m/>
    <x v="18"/>
    <m/>
    <s v="JOHN WISNER"/>
    <n v="0"/>
    <n v="0"/>
    <n v="0"/>
    <n v="0"/>
    <n v="216"/>
    <n v="0"/>
    <n v="0"/>
    <n v="0"/>
    <n v="216"/>
    <n v="4.3554866026229573E-7"/>
    <n v="0.99991165820967609"/>
    <b v="0"/>
  </r>
  <r>
    <n v="1862"/>
    <m/>
    <x v="18"/>
    <m/>
    <s v="ROSE STRAB"/>
    <n v="0"/>
    <n v="0"/>
    <n v="0"/>
    <n v="0"/>
    <n v="0"/>
    <n v="215"/>
    <n v="0"/>
    <n v="0"/>
    <n v="215"/>
    <n v="4.335322312795999E-7"/>
    <n v="0.99991209174190732"/>
    <b v="0"/>
  </r>
  <r>
    <n v="2172"/>
    <m/>
    <x v="18"/>
    <m/>
    <s v="ANNE CHEYNEY"/>
    <n v="0"/>
    <n v="0"/>
    <n v="0"/>
    <n v="0"/>
    <n v="0"/>
    <n v="0"/>
    <n v="215"/>
    <n v="0"/>
    <n v="215"/>
    <n v="4.335322312795999E-7"/>
    <n v="0.99991252527413854"/>
    <b v="0"/>
  </r>
  <r>
    <n v="2173"/>
    <m/>
    <x v="18"/>
    <m/>
    <s v="KRISTINA BROSIOUS"/>
    <n v="0"/>
    <n v="0"/>
    <n v="0"/>
    <n v="0"/>
    <n v="0"/>
    <n v="0"/>
    <n v="215"/>
    <n v="0"/>
    <n v="215"/>
    <n v="4.335322312795999E-7"/>
    <n v="0.99991295880636977"/>
    <b v="0"/>
  </r>
  <r>
    <n v="1863"/>
    <m/>
    <x v="18"/>
    <m/>
    <s v="LOVELL DESIGNS INC"/>
    <n v="0"/>
    <n v="0"/>
    <n v="0"/>
    <n v="0"/>
    <n v="0"/>
    <n v="214"/>
    <n v="0"/>
    <n v="0"/>
    <n v="214"/>
    <n v="4.3151580229690406E-7"/>
    <n v="0.99991339032217208"/>
    <b v="0"/>
  </r>
  <r>
    <n v="2174"/>
    <m/>
    <x v="18"/>
    <m/>
    <s v="WILSON BAKER INC"/>
    <n v="0"/>
    <n v="0"/>
    <n v="0"/>
    <n v="0"/>
    <n v="0"/>
    <n v="0"/>
    <n v="213.07"/>
    <n v="0"/>
    <n v="213.07"/>
    <n v="4.2964052334299696E-7"/>
    <n v="0.99991381996269546"/>
    <b v="0"/>
  </r>
  <r>
    <n v="624"/>
    <m/>
    <x v="18"/>
    <m/>
    <s v="Lindsay Waugh"/>
    <n v="212.58"/>
    <n v="0"/>
    <n v="0"/>
    <n v="0"/>
    <n v="0"/>
    <n v="0"/>
    <n v="0"/>
    <n v="0"/>
    <n v="212.58"/>
    <n v="4.2865247314147604E-7"/>
    <n v="0.99991424861516864"/>
    <b v="0"/>
  </r>
  <r>
    <n v="1573"/>
    <m/>
    <x v="18"/>
    <m/>
    <s v="ROBERT NOVAK"/>
    <n v="0"/>
    <n v="0"/>
    <n v="0"/>
    <n v="0"/>
    <n v="212"/>
    <n v="0"/>
    <n v="0"/>
    <n v="0"/>
    <n v="212"/>
    <n v="4.2748294433151244E-7"/>
    <n v="0.99991467609811302"/>
    <b v="0"/>
  </r>
  <r>
    <n v="1864"/>
    <m/>
    <x v="18"/>
    <m/>
    <s v="EDWARD GERTLER"/>
    <n v="0"/>
    <n v="0"/>
    <n v="0"/>
    <n v="0"/>
    <n v="0"/>
    <n v="210.4"/>
    <n v="0"/>
    <n v="0"/>
    <n v="210.4"/>
    <n v="4.2425665795919918E-7"/>
    <n v="0.99991510035477094"/>
    <b v="0"/>
  </r>
  <r>
    <n v="1574"/>
    <m/>
    <x v="18"/>
    <m/>
    <s v="AMIE &amp; JASON WILLIAMS"/>
    <n v="0"/>
    <n v="0"/>
    <n v="0"/>
    <n v="0"/>
    <n v="210"/>
    <n v="0"/>
    <n v="0"/>
    <n v="0"/>
    <n v="210"/>
    <n v="4.2345008636612082E-7"/>
    <n v="0.99991552380485726"/>
    <b v="0"/>
  </r>
  <r>
    <n v="1575"/>
    <m/>
    <x v="18"/>
    <m/>
    <s v="VERIZON &amp; DRAGO VASKO"/>
    <n v="0"/>
    <n v="0"/>
    <n v="0"/>
    <n v="0"/>
    <n v="210"/>
    <n v="0"/>
    <n v="0"/>
    <n v="0"/>
    <n v="210"/>
    <n v="4.2345008636612082E-7"/>
    <n v="0.99991594725494359"/>
    <b v="0"/>
  </r>
  <r>
    <n v="1576"/>
    <m/>
    <x v="18"/>
    <m/>
    <s v="MOLLY &amp; BRETT VANSICKLE"/>
    <n v="0"/>
    <n v="0"/>
    <n v="0"/>
    <n v="0"/>
    <n v="210"/>
    <n v="0"/>
    <n v="0"/>
    <n v="0"/>
    <n v="210"/>
    <n v="4.2345008636612082E-7"/>
    <n v="0.99991637070502992"/>
    <b v="0"/>
  </r>
  <r>
    <n v="1577"/>
    <m/>
    <x v="18"/>
    <m/>
    <s v="LINDA &amp; DEVIN DOYLE"/>
    <n v="0"/>
    <n v="0"/>
    <n v="0"/>
    <n v="0"/>
    <n v="210"/>
    <n v="0"/>
    <n v="0"/>
    <n v="0"/>
    <n v="210"/>
    <n v="4.2345008636612082E-7"/>
    <n v="0.99991679415511625"/>
    <b v="0"/>
  </r>
  <r>
    <n v="2424"/>
    <m/>
    <x v="18"/>
    <m/>
    <s v="MILLERS ISLAND PROPELLER INC"/>
    <n v="0"/>
    <n v="0"/>
    <n v="0"/>
    <n v="0"/>
    <n v="0"/>
    <n v="0"/>
    <n v="0"/>
    <n v="203.8"/>
    <n v="203.8"/>
    <n v="4.1094822667340679E-7"/>
    <n v="0.99991720510334292"/>
    <b v="0"/>
  </r>
  <r>
    <n v="626"/>
    <m/>
    <x v="18"/>
    <m/>
    <s v="CIVIL WAR DANCE FOUNDATION"/>
    <n v="200"/>
    <n v="0"/>
    <n v="0"/>
    <n v="0"/>
    <n v="0"/>
    <n v="0"/>
    <n v="0"/>
    <n v="0"/>
    <n v="200"/>
    <n v="4.0328579653916268E-7"/>
    <n v="0.99991760838913946"/>
    <b v="0"/>
  </r>
  <r>
    <n v="627"/>
    <m/>
    <x v="18"/>
    <m/>
    <s v="JAMES JOHNSON"/>
    <n v="200"/>
    <n v="0"/>
    <n v="0"/>
    <n v="0"/>
    <n v="0"/>
    <n v="0"/>
    <n v="0"/>
    <n v="0"/>
    <n v="200"/>
    <n v="4.0328579653916268E-7"/>
    <n v="0.99991801167493599"/>
    <b v="0"/>
  </r>
  <r>
    <n v="628"/>
    <m/>
    <x v="18"/>
    <m/>
    <s v="JOSEPH G ESHAM"/>
    <n v="200"/>
    <n v="0"/>
    <n v="0"/>
    <n v="0"/>
    <n v="0"/>
    <n v="0"/>
    <n v="0"/>
    <n v="0"/>
    <n v="200"/>
    <n v="4.0328579653916268E-7"/>
    <n v="0.99991841496073253"/>
    <b v="0"/>
  </r>
  <r>
    <n v="630"/>
    <m/>
    <x v="18"/>
    <m/>
    <s v="TRANSITIONS DELAWARE LLC"/>
    <n v="200"/>
    <n v="0"/>
    <n v="0"/>
    <n v="0"/>
    <n v="0"/>
    <n v="0"/>
    <n v="0"/>
    <n v="0"/>
    <n v="200"/>
    <n v="4.0328579653916268E-7"/>
    <n v="0.99991881824652906"/>
    <b v="0"/>
  </r>
  <r>
    <n v="631"/>
    <m/>
    <x v="18"/>
    <m/>
    <s v="EMPOWER CHORDS LLC"/>
    <n v="200"/>
    <n v="0"/>
    <n v="0"/>
    <n v="0"/>
    <n v="0"/>
    <n v="0"/>
    <n v="0"/>
    <n v="0"/>
    <n v="200"/>
    <n v="4.0328579653916268E-7"/>
    <n v="0.9999192215323256"/>
    <b v="0"/>
  </r>
  <r>
    <n v="633"/>
    <m/>
    <x v="18"/>
    <m/>
    <s v="STEPHANIE FARRIS"/>
    <n v="200"/>
    <n v="0"/>
    <n v="0"/>
    <n v="0"/>
    <n v="0"/>
    <n v="0"/>
    <n v="0"/>
    <n v="0"/>
    <n v="200"/>
    <n v="4.0328579653916268E-7"/>
    <n v="0.99991962481812213"/>
    <b v="0"/>
  </r>
  <r>
    <n v="634"/>
    <m/>
    <x v="18"/>
    <m/>
    <s v="BETHANY-FENWICK AREA CHMBR COM"/>
    <n v="200"/>
    <n v="0"/>
    <n v="0"/>
    <n v="0"/>
    <n v="0"/>
    <n v="0"/>
    <n v="0"/>
    <n v="0"/>
    <n v="200"/>
    <n v="4.0328579653916268E-7"/>
    <n v="0.99992002810391867"/>
    <b v="0"/>
  </r>
  <r>
    <n v="911"/>
    <m/>
    <x v="18"/>
    <m/>
    <s v="THE MAKEUP MUSEUM"/>
    <n v="0"/>
    <n v="200"/>
    <n v="0"/>
    <n v="0"/>
    <n v="0"/>
    <n v="0"/>
    <n v="0"/>
    <n v="0"/>
    <n v="200"/>
    <n v="4.0328579653916268E-7"/>
    <n v="0.9999204313897152"/>
    <b v="0"/>
  </r>
  <r>
    <n v="912"/>
    <m/>
    <x v="18"/>
    <m/>
    <s v="BRYAN MEY"/>
    <n v="0"/>
    <n v="200"/>
    <n v="0"/>
    <n v="0"/>
    <n v="0"/>
    <n v="0"/>
    <n v="0"/>
    <n v="0"/>
    <n v="200"/>
    <n v="4.0328579653916268E-7"/>
    <n v="0.99992083467551174"/>
    <b v="0"/>
  </r>
  <r>
    <n v="914"/>
    <m/>
    <x v="18"/>
    <m/>
    <s v="WILLIAM A MCAVOY"/>
    <n v="0"/>
    <n v="200"/>
    <n v="0"/>
    <n v="0"/>
    <n v="0"/>
    <n v="0"/>
    <n v="0"/>
    <n v="0"/>
    <n v="200"/>
    <n v="4.0328579653916268E-7"/>
    <n v="0.99992123796130827"/>
    <b v="0"/>
  </r>
  <r>
    <n v="915"/>
    <m/>
    <x v="18"/>
    <m/>
    <s v="Butch Lloyd"/>
    <n v="0"/>
    <n v="200"/>
    <n v="0"/>
    <n v="0"/>
    <n v="0"/>
    <n v="0"/>
    <n v="0"/>
    <n v="0"/>
    <n v="200"/>
    <n v="4.0328579653916268E-7"/>
    <n v="0.99992164124710481"/>
    <b v="0"/>
  </r>
  <r>
    <n v="916"/>
    <m/>
    <x v="18"/>
    <m/>
    <s v="ASHLEY MITCHELL DBA RIVERS AND RHODES"/>
    <n v="0"/>
    <n v="200"/>
    <n v="0"/>
    <n v="0"/>
    <n v="0"/>
    <n v="0"/>
    <n v="0"/>
    <n v="0"/>
    <n v="200"/>
    <n v="4.0328579653916268E-7"/>
    <n v="0.99992204453290134"/>
    <b v="0"/>
  </r>
  <r>
    <n v="932"/>
    <m/>
    <x v="18"/>
    <m/>
    <s v="VALERIE WEST"/>
    <n v="0"/>
    <n v="100"/>
    <n v="0"/>
    <n v="0"/>
    <n v="0"/>
    <n v="100"/>
    <n v="0"/>
    <n v="0"/>
    <n v="200"/>
    <n v="4.0328579653916268E-7"/>
    <n v="0.99992244781869788"/>
    <b v="0"/>
  </r>
  <r>
    <n v="934"/>
    <m/>
    <x v="18"/>
    <m/>
    <s v="LORCO OF MARYLAND LLC"/>
    <n v="0"/>
    <n v="100"/>
    <n v="50"/>
    <n v="0"/>
    <n v="0"/>
    <n v="50"/>
    <n v="0"/>
    <n v="0"/>
    <n v="200"/>
    <n v="4.0328579653916268E-7"/>
    <n v="0.99992285110449441"/>
    <b v="0"/>
  </r>
  <r>
    <n v="1156"/>
    <m/>
    <x v="18"/>
    <m/>
    <s v="OLIVIA REYNOLDS MUSIC LLC"/>
    <n v="0"/>
    <n v="0"/>
    <n v="200"/>
    <n v="0"/>
    <n v="0"/>
    <n v="0"/>
    <n v="0"/>
    <n v="0"/>
    <n v="200"/>
    <n v="4.0328579653916268E-7"/>
    <n v="0.99992325439029095"/>
    <b v="0"/>
  </r>
  <r>
    <n v="1157"/>
    <m/>
    <x v="18"/>
    <m/>
    <s v="REBEL NATTY MUSIC"/>
    <n v="0"/>
    <n v="0"/>
    <n v="200"/>
    <n v="0"/>
    <n v="0"/>
    <n v="0"/>
    <n v="0"/>
    <n v="0"/>
    <n v="200"/>
    <n v="4.0328579653916268E-7"/>
    <n v="0.99992365767608749"/>
    <b v="0"/>
  </r>
  <r>
    <n v="1158"/>
    <m/>
    <x v="18"/>
    <m/>
    <s v="CHRISTOPHER MAHER"/>
    <n v="0"/>
    <n v="0"/>
    <n v="200"/>
    <n v="0"/>
    <n v="0"/>
    <n v="0"/>
    <n v="0"/>
    <n v="0"/>
    <n v="200"/>
    <n v="4.0328579653916268E-7"/>
    <n v="0.99992406096188402"/>
    <b v="0"/>
  </r>
  <r>
    <n v="1160"/>
    <m/>
    <x v="18"/>
    <m/>
    <s v="LUCAS R CLAWSON"/>
    <n v="0"/>
    <n v="0"/>
    <n v="200"/>
    <n v="0"/>
    <n v="0"/>
    <n v="0"/>
    <n v="0"/>
    <n v="0"/>
    <n v="200"/>
    <n v="4.0328579653916268E-7"/>
    <n v="0.99992446424768056"/>
    <b v="0"/>
  </r>
  <r>
    <n v="1350"/>
    <m/>
    <x v="18"/>
    <m/>
    <s v="JOSEPH F ZITO"/>
    <n v="0"/>
    <n v="0"/>
    <n v="0"/>
    <n v="200"/>
    <n v="0"/>
    <n v="0"/>
    <n v="0"/>
    <n v="0"/>
    <n v="200"/>
    <n v="4.0328579653916268E-7"/>
    <n v="0.99992486753347709"/>
    <b v="0"/>
  </r>
  <r>
    <n v="1351"/>
    <m/>
    <x v="18"/>
    <m/>
    <s v="RACHAEL ADKINS"/>
    <n v="0"/>
    <n v="0"/>
    <n v="0"/>
    <n v="200"/>
    <n v="0"/>
    <n v="0"/>
    <n v="0"/>
    <n v="0"/>
    <n v="200"/>
    <n v="4.0328579653916268E-7"/>
    <n v="0.99992527081927363"/>
    <b v="0"/>
  </r>
  <r>
    <n v="1352"/>
    <m/>
    <x v="18"/>
    <m/>
    <s v="CHRISTINE DUNCAN FOR BFF"/>
    <n v="0"/>
    <n v="0"/>
    <n v="0"/>
    <n v="200"/>
    <n v="0"/>
    <n v="0"/>
    <n v="0"/>
    <n v="0"/>
    <n v="200"/>
    <n v="4.0328579653916268E-7"/>
    <n v="0.99992567410507016"/>
    <b v="0"/>
  </r>
  <r>
    <n v="1353"/>
    <m/>
    <x v="18"/>
    <m/>
    <s v="STACIA LACHOLE RUSSELL"/>
    <n v="0"/>
    <n v="0"/>
    <n v="0"/>
    <n v="200"/>
    <n v="0"/>
    <n v="0"/>
    <n v="0"/>
    <n v="0"/>
    <n v="200"/>
    <n v="4.0328579653916268E-7"/>
    <n v="0.9999260773908667"/>
    <b v="0"/>
  </r>
  <r>
    <n v="1354"/>
    <m/>
    <x v="18"/>
    <m/>
    <s v="AMY JAMES"/>
    <n v="0"/>
    <n v="0"/>
    <n v="0"/>
    <n v="200"/>
    <n v="0"/>
    <n v="0"/>
    <n v="0"/>
    <n v="0"/>
    <n v="200"/>
    <n v="4.0328579653916268E-7"/>
    <n v="0.99992648067666323"/>
    <b v="0"/>
  </r>
  <r>
    <n v="1357"/>
    <m/>
    <x v="18"/>
    <m/>
    <s v="KURT BLATTNER"/>
    <n v="0"/>
    <n v="0"/>
    <n v="0"/>
    <n v="200"/>
    <n v="0"/>
    <n v="0"/>
    <n v="0"/>
    <n v="0"/>
    <n v="200"/>
    <n v="4.0328579653916268E-7"/>
    <n v="0.99992688396245977"/>
    <b v="0"/>
  </r>
  <r>
    <n v="1358"/>
    <m/>
    <x v="18"/>
    <m/>
    <s v="LAURA ADIE"/>
    <n v="0"/>
    <n v="0"/>
    <n v="0"/>
    <n v="200"/>
    <n v="0"/>
    <n v="0"/>
    <n v="0"/>
    <n v="0"/>
    <n v="200"/>
    <n v="4.0328579653916268E-7"/>
    <n v="0.9999272872482563"/>
    <b v="0"/>
  </r>
  <r>
    <n v="1359"/>
    <m/>
    <x v="18"/>
    <m/>
    <s v="JOSHUA ZIMMERMAN"/>
    <n v="0"/>
    <n v="0"/>
    <n v="0"/>
    <n v="200"/>
    <n v="0"/>
    <n v="0"/>
    <n v="0"/>
    <n v="0"/>
    <n v="200"/>
    <n v="4.0328579653916268E-7"/>
    <n v="0.99992769053405284"/>
    <b v="0"/>
  </r>
  <r>
    <n v="1380"/>
    <m/>
    <x v="18"/>
    <m/>
    <s v="KEVIN SARKISSIAN"/>
    <n v="0"/>
    <n v="0"/>
    <n v="0"/>
    <n v="100"/>
    <n v="0"/>
    <n v="0"/>
    <n v="0"/>
    <n v="100"/>
    <n v="200"/>
    <n v="4.0328579653916268E-7"/>
    <n v="0.99992809381984937"/>
    <b v="0"/>
  </r>
  <r>
    <n v="1578"/>
    <m/>
    <x v="18"/>
    <m/>
    <s v="CATHERINE SOUZA"/>
    <n v="0"/>
    <n v="0"/>
    <n v="0"/>
    <n v="0"/>
    <n v="200"/>
    <n v="0"/>
    <n v="0"/>
    <n v="0"/>
    <n v="200"/>
    <n v="4.0328579653916268E-7"/>
    <n v="0.99992849710564591"/>
    <b v="0"/>
  </r>
  <r>
    <n v="1579"/>
    <m/>
    <x v="18"/>
    <m/>
    <s v="MIRTA BELLVER"/>
    <n v="0"/>
    <n v="0"/>
    <n v="0"/>
    <n v="0"/>
    <n v="200"/>
    <n v="0"/>
    <n v="0"/>
    <n v="0"/>
    <n v="200"/>
    <n v="4.0328579653916268E-7"/>
    <n v="0.99992890039144244"/>
    <b v="0"/>
  </r>
  <r>
    <n v="1580"/>
    <m/>
    <x v="18"/>
    <m/>
    <s v="SEAN CHAMBERS"/>
    <n v="0"/>
    <n v="0"/>
    <n v="0"/>
    <n v="0"/>
    <n v="200"/>
    <n v="0"/>
    <n v="0"/>
    <n v="0"/>
    <n v="200"/>
    <n v="4.0328579653916268E-7"/>
    <n v="0.99992930367723898"/>
    <b v="0"/>
  </r>
  <r>
    <n v="1582"/>
    <m/>
    <x v="18"/>
    <m/>
    <s v="ANNA DANEGGER"/>
    <n v="0"/>
    <n v="0"/>
    <n v="0"/>
    <n v="0"/>
    <n v="200"/>
    <n v="0"/>
    <n v="0"/>
    <n v="0"/>
    <n v="200"/>
    <n v="4.0328579653916268E-7"/>
    <n v="0.99992970696303551"/>
    <b v="0"/>
  </r>
  <r>
    <n v="1583"/>
    <m/>
    <x v="18"/>
    <m/>
    <s v="SUSSEX CO 4H"/>
    <n v="0"/>
    <n v="0"/>
    <n v="0"/>
    <n v="0"/>
    <n v="200"/>
    <n v="0"/>
    <n v="0"/>
    <n v="0"/>
    <n v="200"/>
    <n v="4.0328579653916268E-7"/>
    <n v="0.99993011024883205"/>
    <b v="0"/>
  </r>
  <r>
    <n v="1584"/>
    <m/>
    <x v="18"/>
    <m/>
    <s v="HOPE FOR SUCCESS INC"/>
    <n v="0"/>
    <n v="0"/>
    <n v="0"/>
    <n v="0"/>
    <n v="200"/>
    <n v="0"/>
    <n v="0"/>
    <n v="0"/>
    <n v="200"/>
    <n v="4.0328579653916268E-7"/>
    <n v="0.99993051353462858"/>
    <b v="0"/>
  </r>
  <r>
    <n v="1585"/>
    <m/>
    <x v="18"/>
    <m/>
    <s v="MICHELLE MAXEY"/>
    <n v="0"/>
    <n v="0"/>
    <n v="0"/>
    <n v="0"/>
    <n v="200"/>
    <n v="0"/>
    <n v="0"/>
    <n v="0"/>
    <n v="200"/>
    <n v="4.0328579653916268E-7"/>
    <n v="0.99993091682042512"/>
    <b v="0"/>
  </r>
  <r>
    <n v="1587"/>
    <m/>
    <x v="18"/>
    <m/>
    <s v="JOHN WALES"/>
    <n v="0"/>
    <n v="0"/>
    <n v="0"/>
    <n v="0"/>
    <n v="200"/>
    <n v="0"/>
    <n v="0"/>
    <n v="0"/>
    <n v="200"/>
    <n v="4.0328579653916268E-7"/>
    <n v="0.99993132010622165"/>
    <b v="0"/>
  </r>
  <r>
    <n v="1588"/>
    <m/>
    <x v="18"/>
    <m/>
    <s v="PAUL TUKEY"/>
    <n v="0"/>
    <n v="0"/>
    <n v="0"/>
    <n v="0"/>
    <n v="200"/>
    <n v="0"/>
    <n v="0"/>
    <n v="0"/>
    <n v="200"/>
    <n v="4.0328579653916268E-7"/>
    <n v="0.99993172339201819"/>
    <b v="0"/>
  </r>
  <r>
    <n v="1589"/>
    <m/>
    <x v="18"/>
    <m/>
    <s v="WAYNE KNOLLS"/>
    <n v="0"/>
    <n v="0"/>
    <n v="0"/>
    <n v="0"/>
    <n v="200"/>
    <n v="0"/>
    <n v="0"/>
    <n v="0"/>
    <n v="200"/>
    <n v="4.0328579653916268E-7"/>
    <n v="0.99993212667781473"/>
    <b v="0"/>
  </r>
  <r>
    <n v="1865"/>
    <m/>
    <x v="18"/>
    <m/>
    <s v="ELIZABETH MEAD"/>
    <n v="0"/>
    <n v="0"/>
    <n v="0"/>
    <n v="0"/>
    <n v="0"/>
    <n v="200"/>
    <n v="0"/>
    <n v="0"/>
    <n v="200"/>
    <n v="4.0328579653916268E-7"/>
    <n v="0.99993252996361126"/>
    <b v="0"/>
  </r>
  <r>
    <n v="1866"/>
    <m/>
    <x v="18"/>
    <m/>
    <s v="JENN CROWELL"/>
    <n v="0"/>
    <n v="0"/>
    <n v="0"/>
    <n v="0"/>
    <n v="0"/>
    <n v="200"/>
    <n v="0"/>
    <n v="0"/>
    <n v="200"/>
    <n v="4.0328579653916268E-7"/>
    <n v="0.9999329332494078"/>
    <b v="0"/>
  </r>
  <r>
    <n v="1870"/>
    <m/>
    <x v="18"/>
    <m/>
    <s v="LAUREN CORNELL"/>
    <n v="0"/>
    <n v="0"/>
    <n v="0"/>
    <n v="0"/>
    <n v="0"/>
    <n v="200"/>
    <n v="0"/>
    <n v="0"/>
    <n v="200"/>
    <n v="4.0328579653916268E-7"/>
    <n v="0.99993333653520433"/>
    <b v="0"/>
  </r>
  <r>
    <n v="1871"/>
    <m/>
    <x v="18"/>
    <m/>
    <s v="ZACHARY C COFFMAN"/>
    <n v="0"/>
    <n v="0"/>
    <n v="0"/>
    <n v="0"/>
    <n v="0"/>
    <n v="200"/>
    <n v="0"/>
    <n v="0"/>
    <n v="200"/>
    <n v="4.0328579653916268E-7"/>
    <n v="0.99993373982100087"/>
    <b v="0"/>
  </r>
  <r>
    <n v="1873"/>
    <m/>
    <x v="18"/>
    <m/>
    <s v="JOHN LIN"/>
    <n v="0"/>
    <n v="0"/>
    <n v="0"/>
    <n v="0"/>
    <n v="0"/>
    <n v="200"/>
    <n v="0"/>
    <n v="0"/>
    <n v="200"/>
    <n v="4.0328579653916268E-7"/>
    <n v="0.9999341431067974"/>
    <b v="0"/>
  </r>
  <r>
    <n v="1874"/>
    <m/>
    <x v="18"/>
    <m/>
    <s v="JILL &amp; MIKE DiPAOLO"/>
    <n v="0"/>
    <n v="0"/>
    <n v="0"/>
    <n v="0"/>
    <n v="0"/>
    <n v="200"/>
    <n v="0"/>
    <n v="0"/>
    <n v="200"/>
    <n v="4.0328579653916268E-7"/>
    <n v="0.99993454639259394"/>
    <b v="0"/>
  </r>
  <r>
    <n v="1876"/>
    <m/>
    <x v="18"/>
    <m/>
    <s v="HILTON BUS LLC"/>
    <n v="0"/>
    <n v="0"/>
    <n v="0"/>
    <n v="0"/>
    <n v="0"/>
    <n v="200"/>
    <n v="0"/>
    <n v="0"/>
    <n v="200"/>
    <n v="4.0328579653916268E-7"/>
    <n v="0.99993494967839047"/>
    <b v="0"/>
  </r>
  <r>
    <n v="1877"/>
    <m/>
    <x v="18"/>
    <m/>
    <s v="SUSANNAH SYDELL"/>
    <n v="0"/>
    <n v="0"/>
    <n v="0"/>
    <n v="0"/>
    <n v="0"/>
    <n v="200"/>
    <n v="0"/>
    <n v="0"/>
    <n v="200"/>
    <n v="4.0328579653916268E-7"/>
    <n v="0.99993535296418701"/>
    <b v="0"/>
  </r>
  <r>
    <n v="1878"/>
    <m/>
    <x v="18"/>
    <m/>
    <s v="MEAGAN MAY"/>
    <n v="0"/>
    <n v="0"/>
    <n v="0"/>
    <n v="0"/>
    <n v="0"/>
    <n v="200"/>
    <n v="0"/>
    <n v="0"/>
    <n v="200"/>
    <n v="4.0328579653916268E-7"/>
    <n v="0.99993575624998354"/>
    <b v="0"/>
  </r>
  <r>
    <n v="2175"/>
    <m/>
    <x v="18"/>
    <m/>
    <s v="RAMONA D LONG"/>
    <n v="0"/>
    <n v="0"/>
    <n v="0"/>
    <n v="0"/>
    <n v="0"/>
    <n v="0"/>
    <n v="200"/>
    <n v="0"/>
    <n v="200"/>
    <n v="4.0328579653916268E-7"/>
    <n v="0.99993615953578008"/>
    <b v="0"/>
  </r>
  <r>
    <n v="2176"/>
    <m/>
    <x v="18"/>
    <m/>
    <s v="SIMON BROWN"/>
    <n v="0"/>
    <n v="0"/>
    <n v="0"/>
    <n v="0"/>
    <n v="0"/>
    <n v="0"/>
    <n v="200"/>
    <n v="0"/>
    <n v="200"/>
    <n v="4.0328579653916268E-7"/>
    <n v="0.99993656282157661"/>
    <b v="0"/>
  </r>
  <r>
    <n v="2177"/>
    <m/>
    <x v="18"/>
    <m/>
    <s v="TANYJAH WRIGHT"/>
    <n v="0"/>
    <n v="0"/>
    <n v="0"/>
    <n v="0"/>
    <n v="0"/>
    <n v="0"/>
    <n v="200"/>
    <n v="0"/>
    <n v="200"/>
    <n v="4.0328579653916268E-7"/>
    <n v="0.99993696610737315"/>
    <b v="0"/>
  </r>
  <r>
    <n v="2178"/>
    <m/>
    <x v="18"/>
    <m/>
    <s v="JANE MOTT MILLER"/>
    <n v="0"/>
    <n v="0"/>
    <n v="0"/>
    <n v="0"/>
    <n v="0"/>
    <n v="0"/>
    <n v="200"/>
    <n v="0"/>
    <n v="200"/>
    <n v="4.0328579653916268E-7"/>
    <n v="0.99993736939316968"/>
    <b v="0"/>
  </r>
  <r>
    <n v="2179"/>
    <m/>
    <x v="18"/>
    <m/>
    <s v="LARKIN'S BUS SERVICE LLC"/>
    <n v="0"/>
    <n v="0"/>
    <n v="0"/>
    <n v="0"/>
    <n v="0"/>
    <n v="0"/>
    <n v="200"/>
    <n v="0"/>
    <n v="200"/>
    <n v="4.0328579653916268E-7"/>
    <n v="0.99993777267896622"/>
    <b v="0"/>
  </r>
  <r>
    <n v="2205"/>
    <m/>
    <x v="18"/>
    <m/>
    <s v="ROBERT P CROCE"/>
    <n v="0"/>
    <n v="0"/>
    <n v="0"/>
    <n v="0"/>
    <n v="0"/>
    <n v="0"/>
    <n v="100"/>
    <n v="100"/>
    <n v="200"/>
    <n v="4.0328579653916268E-7"/>
    <n v="0.99993817596476275"/>
    <b v="0"/>
  </r>
  <r>
    <n v="2425"/>
    <m/>
    <x v="18"/>
    <m/>
    <s v="TERRETTA HOWARD"/>
    <n v="0"/>
    <n v="0"/>
    <n v="0"/>
    <n v="0"/>
    <n v="0"/>
    <n v="0"/>
    <n v="0"/>
    <n v="200"/>
    <n v="200"/>
    <n v="4.0328579653916268E-7"/>
    <n v="0.99993857925055929"/>
    <b v="0"/>
  </r>
  <r>
    <n v="2426"/>
    <m/>
    <x v="18"/>
    <m/>
    <s v="KESHAUN D E SCOTT"/>
    <n v="0"/>
    <n v="0"/>
    <n v="0"/>
    <n v="0"/>
    <n v="0"/>
    <n v="0"/>
    <n v="0"/>
    <n v="200"/>
    <n v="200"/>
    <n v="4.0328579653916268E-7"/>
    <n v="0.99993898253635582"/>
    <b v="0"/>
  </r>
  <r>
    <n v="2427"/>
    <m/>
    <x v="18"/>
    <m/>
    <s v="PAUL F DEWOLFE"/>
    <n v="0"/>
    <n v="0"/>
    <n v="0"/>
    <n v="0"/>
    <n v="0"/>
    <n v="0"/>
    <n v="0"/>
    <n v="200"/>
    <n v="200"/>
    <n v="4.0328579653916268E-7"/>
    <n v="0.99993938582215236"/>
    <b v="0"/>
  </r>
  <r>
    <n v="2428"/>
    <m/>
    <x v="18"/>
    <m/>
    <s v="EDWARD OKONOWICZ"/>
    <n v="0"/>
    <n v="0"/>
    <n v="0"/>
    <n v="0"/>
    <n v="0"/>
    <n v="0"/>
    <n v="0"/>
    <n v="200"/>
    <n v="200"/>
    <n v="4.0328579653916268E-7"/>
    <n v="0.9999397891079489"/>
    <b v="0"/>
  </r>
  <r>
    <n v="2429"/>
    <m/>
    <x v="18"/>
    <m/>
    <s v="BRUCE ANTHONY"/>
    <n v="0"/>
    <n v="0"/>
    <n v="0"/>
    <n v="0"/>
    <n v="0"/>
    <n v="0"/>
    <n v="0"/>
    <n v="200"/>
    <n v="200"/>
    <n v="4.0328579653916268E-7"/>
    <n v="0.99994019239374543"/>
    <b v="0"/>
  </r>
  <r>
    <n v="2430"/>
    <m/>
    <x v="18"/>
    <m/>
    <s v="JOSEPH J GONZALES"/>
    <n v="0"/>
    <n v="0"/>
    <n v="0"/>
    <n v="0"/>
    <n v="0"/>
    <n v="0"/>
    <n v="0"/>
    <n v="200"/>
    <n v="200"/>
    <n v="4.0328579653916268E-7"/>
    <n v="0.99994059567954197"/>
    <b v="0"/>
  </r>
  <r>
    <n v="2431"/>
    <m/>
    <x v="18"/>
    <m/>
    <s v="KENT COUNTY TOURISM CORP INC"/>
    <n v="0"/>
    <n v="0"/>
    <n v="0"/>
    <n v="0"/>
    <n v="0"/>
    <n v="0"/>
    <n v="0"/>
    <n v="200"/>
    <n v="200"/>
    <n v="4.0328579653916268E-7"/>
    <n v="0.9999409989653385"/>
    <b v="0"/>
  </r>
  <r>
    <n v="2432"/>
    <m/>
    <x v="18"/>
    <m/>
    <s v="SHARON MOORE"/>
    <n v="0"/>
    <n v="0"/>
    <n v="0"/>
    <n v="0"/>
    <n v="0"/>
    <n v="0"/>
    <n v="0"/>
    <n v="200"/>
    <n v="200"/>
    <n v="4.0328579653916268E-7"/>
    <n v="0.99994140225113504"/>
    <b v="0"/>
  </r>
  <r>
    <n v="2180"/>
    <m/>
    <x v="18"/>
    <m/>
    <s v="KENNETH BALKUS"/>
    <n v="0"/>
    <n v="0"/>
    <n v="0"/>
    <n v="0"/>
    <n v="0"/>
    <n v="0"/>
    <n v="199.99"/>
    <n v="0"/>
    <n v="199.99"/>
    <n v="4.0326563224933576E-7"/>
    <n v="0.99994180551676726"/>
    <b v="0"/>
  </r>
  <r>
    <n v="2433"/>
    <m/>
    <x v="18"/>
    <m/>
    <s v="LAVERE ELECTRIC INC"/>
    <n v="0"/>
    <n v="0"/>
    <n v="0"/>
    <n v="0"/>
    <n v="0"/>
    <n v="0"/>
    <n v="0"/>
    <n v="196.7"/>
    <n v="196.7"/>
    <n v="3.9663158089626651E-7"/>
    <n v="0.99994220214834817"/>
    <b v="0"/>
  </r>
  <r>
    <n v="2434"/>
    <m/>
    <x v="18"/>
    <m/>
    <s v="PAGE BIRNEY"/>
    <n v="0"/>
    <n v="0"/>
    <n v="0"/>
    <n v="0"/>
    <n v="0"/>
    <n v="0"/>
    <n v="0"/>
    <n v="195"/>
    <n v="195"/>
    <n v="3.9320365162568361E-7"/>
    <n v="0.99994259535199981"/>
    <b v="0"/>
  </r>
  <r>
    <n v="2435"/>
    <m/>
    <x v="18"/>
    <m/>
    <s v="ALEKSANDRA WYATT"/>
    <n v="0"/>
    <n v="0"/>
    <n v="0"/>
    <n v="0"/>
    <n v="0"/>
    <n v="0"/>
    <n v="0"/>
    <n v="195"/>
    <n v="195"/>
    <n v="3.9320365162568361E-7"/>
    <n v="0.99994298855565145"/>
    <b v="0"/>
  </r>
  <r>
    <n v="2436"/>
    <m/>
    <x v="18"/>
    <m/>
    <s v="KATHRYN BIRCH"/>
    <n v="0"/>
    <n v="0"/>
    <n v="0"/>
    <n v="0"/>
    <n v="0"/>
    <n v="0"/>
    <n v="0"/>
    <n v="195"/>
    <n v="195"/>
    <n v="3.9320365162568361E-7"/>
    <n v="0.99994338175930308"/>
    <b v="0"/>
  </r>
  <r>
    <n v="2437"/>
    <m/>
    <x v="18"/>
    <m/>
    <s v="BRENAN SMITH"/>
    <n v="0"/>
    <n v="0"/>
    <n v="0"/>
    <n v="0"/>
    <n v="0"/>
    <n v="0"/>
    <n v="0"/>
    <n v="195"/>
    <n v="195"/>
    <n v="3.9320365162568361E-7"/>
    <n v="0.99994377496295472"/>
    <b v="0"/>
  </r>
  <r>
    <n v="2204"/>
    <m/>
    <x v="18"/>
    <m/>
    <s v="DEBRA BIALECKI"/>
    <n v="0"/>
    <n v="0"/>
    <n v="0"/>
    <n v="0"/>
    <n v="0"/>
    <n v="0"/>
    <n v="105"/>
    <n v="88"/>
    <n v="193"/>
    <n v="3.8917079366029199E-7"/>
    <n v="0.99994416413374843"/>
    <b v="0"/>
  </r>
  <r>
    <n v="2232"/>
    <m/>
    <x v="18"/>
    <m/>
    <s v="WAYNE D KLINE"/>
    <n v="0"/>
    <n v="0"/>
    <n v="0"/>
    <n v="0"/>
    <n v="0"/>
    <n v="0"/>
    <n v="24.3"/>
    <n v="166.72"/>
    <n v="191.02"/>
    <n v="3.8517826427455431E-7"/>
    <n v="0.99994454931201271"/>
    <b v="0"/>
  </r>
  <r>
    <n v="917"/>
    <m/>
    <x v="18"/>
    <m/>
    <s v="MCDONALD REFRIGERATION HVAC LLC"/>
    <n v="0"/>
    <n v="190"/>
    <n v="0"/>
    <n v="0"/>
    <n v="0"/>
    <n v="0"/>
    <n v="0"/>
    <n v="0"/>
    <n v="190"/>
    <n v="3.8312150671220459E-7"/>
    <n v="0.99994493243351945"/>
    <b v="0"/>
  </r>
  <r>
    <n v="918"/>
    <m/>
    <x v="18"/>
    <m/>
    <s v="BRIMARS ITALIAN ICE"/>
    <n v="0"/>
    <n v="190"/>
    <n v="0"/>
    <n v="0"/>
    <n v="0"/>
    <n v="0"/>
    <n v="0"/>
    <n v="0"/>
    <n v="190"/>
    <n v="3.8312150671220459E-7"/>
    <n v="0.99994531555502619"/>
    <b v="0"/>
  </r>
  <r>
    <n v="2181"/>
    <m/>
    <x v="18"/>
    <m/>
    <s v="ROBERT EHEMANN"/>
    <n v="0"/>
    <n v="0"/>
    <n v="0"/>
    <n v="0"/>
    <n v="0"/>
    <n v="0"/>
    <n v="189.05"/>
    <n v="0"/>
    <n v="189.05"/>
    <n v="3.8120589917864355E-7"/>
    <n v="0.99994569676092537"/>
    <b v="0"/>
  </r>
  <r>
    <n v="646"/>
    <m/>
    <x v="18"/>
    <m/>
    <s v="R E MICHEL COMPANY LLC"/>
    <n v="155.62"/>
    <n v="0"/>
    <n v="0"/>
    <n v="32.18"/>
    <n v="0"/>
    <n v="0"/>
    <n v="0"/>
    <n v="0"/>
    <n v="187.8"/>
    <n v="3.7868536295027379E-7"/>
    <n v="0.99994607544628833"/>
    <b v="0"/>
  </r>
  <r>
    <n v="2183"/>
    <m/>
    <x v="18"/>
    <m/>
    <s v="RICHARD GREEN"/>
    <n v="0"/>
    <n v="0"/>
    <n v="0"/>
    <n v="0"/>
    <n v="0"/>
    <n v="0"/>
    <n v="186.33"/>
    <n v="0"/>
    <n v="186.33"/>
    <n v="3.7572121234571097E-7"/>
    <n v="0.99994645116750069"/>
    <b v="0"/>
  </r>
  <r>
    <n v="920"/>
    <m/>
    <x v="18"/>
    <m/>
    <s v="JAMIE FRITCHMAN"/>
    <n v="0"/>
    <n v="185.53"/>
    <n v="0"/>
    <n v="0"/>
    <n v="0"/>
    <n v="0"/>
    <n v="0"/>
    <n v="0"/>
    <n v="185.53"/>
    <n v="3.7410806915955426E-7"/>
    <n v="0.99994682527556988"/>
    <b v="0"/>
  </r>
  <r>
    <n v="1881"/>
    <m/>
    <x v="18"/>
    <m/>
    <s v="NANCY SATO"/>
    <n v="0"/>
    <n v="0"/>
    <n v="0"/>
    <n v="0"/>
    <n v="0"/>
    <n v="185"/>
    <n v="0"/>
    <n v="0"/>
    <n v="185"/>
    <n v="3.7303936179872552E-7"/>
    <n v="0.99994719831493173"/>
    <b v="0"/>
  </r>
  <r>
    <n v="636"/>
    <m/>
    <x v="18"/>
    <m/>
    <s v="Blades Elementary"/>
    <n v="184"/>
    <n v="0"/>
    <n v="0"/>
    <n v="0"/>
    <n v="0"/>
    <n v="0"/>
    <n v="0"/>
    <n v="0"/>
    <n v="184"/>
    <n v="3.7102293281602968E-7"/>
    <n v="0.99994756933786455"/>
    <b v="0"/>
  </r>
  <r>
    <n v="940"/>
    <m/>
    <x v="18"/>
    <m/>
    <s v="MT CUBA ASTRONOMICAL OBSERVATORY"/>
    <n v="0"/>
    <n v="75"/>
    <n v="0"/>
    <n v="0"/>
    <n v="0"/>
    <n v="64"/>
    <n v="45"/>
    <n v="0"/>
    <n v="184"/>
    <n v="3.7102293281602968E-7"/>
    <n v="0.99994794036079737"/>
    <b v="0"/>
  </r>
  <r>
    <n v="1882"/>
    <m/>
    <x v="18"/>
    <m/>
    <s v="BART GOLDBERG"/>
    <n v="0"/>
    <n v="0"/>
    <n v="0"/>
    <n v="0"/>
    <n v="0"/>
    <n v="183"/>
    <n v="0"/>
    <n v="0"/>
    <n v="183"/>
    <n v="3.6900650383333384E-7"/>
    <n v="0.99994830936730117"/>
    <b v="0"/>
  </r>
  <r>
    <n v="1591"/>
    <m/>
    <x v="18"/>
    <m/>
    <s v="CENVEO WORLDWIDE LIMITED"/>
    <n v="0"/>
    <n v="0"/>
    <n v="0"/>
    <n v="0"/>
    <n v="182.2"/>
    <n v="0"/>
    <n v="0"/>
    <n v="0"/>
    <n v="182.2"/>
    <n v="3.6739336064717719E-7"/>
    <n v="0.99994867676066179"/>
    <b v="0"/>
  </r>
  <r>
    <n v="1360"/>
    <m/>
    <x v="18"/>
    <m/>
    <s v="Rose Mallery"/>
    <n v="0"/>
    <n v="0"/>
    <n v="0"/>
    <n v="180"/>
    <n v="0"/>
    <n v="0"/>
    <n v="0"/>
    <n v="0"/>
    <n v="180"/>
    <n v="3.6295721688524644E-7"/>
    <n v="0.99994903971787863"/>
    <b v="0"/>
  </r>
  <r>
    <n v="1883"/>
    <m/>
    <x v="18"/>
    <m/>
    <s v="MIKE HOLT ENTERPRISES"/>
    <n v="0"/>
    <n v="0"/>
    <n v="0"/>
    <n v="0"/>
    <n v="0"/>
    <n v="178"/>
    <n v="0"/>
    <n v="0"/>
    <n v="178"/>
    <n v="3.5892435891985482E-7"/>
    <n v="0.99994939864223753"/>
    <b v="0"/>
  </r>
  <r>
    <n v="1363"/>
    <m/>
    <x v="18"/>
    <m/>
    <s v="JODYS PLUMBING INC"/>
    <n v="0"/>
    <n v="0"/>
    <n v="0"/>
    <n v="176"/>
    <n v="0"/>
    <n v="0"/>
    <n v="0"/>
    <n v="0"/>
    <n v="176"/>
    <n v="3.5489150095446315E-7"/>
    <n v="0.99994975353373849"/>
    <b v="0"/>
  </r>
  <r>
    <n v="2438"/>
    <m/>
    <x v="18"/>
    <m/>
    <s v="KEVIN P COOGAN"/>
    <n v="0"/>
    <n v="0"/>
    <n v="0"/>
    <n v="0"/>
    <n v="0"/>
    <n v="0"/>
    <n v="0"/>
    <n v="176"/>
    <n v="176"/>
    <n v="3.5489150095446315E-7"/>
    <n v="0.99995010842523946"/>
    <b v="0"/>
  </r>
  <r>
    <n v="638"/>
    <m/>
    <x v="18"/>
    <m/>
    <s v="JEM NATURE AND FOREST THERAPY LLC"/>
    <n v="175"/>
    <n v="0"/>
    <n v="0"/>
    <n v="0"/>
    <n v="0"/>
    <n v="0"/>
    <n v="0"/>
    <n v="0"/>
    <n v="175"/>
    <n v="3.5287507197176737E-7"/>
    <n v="0.9999504613003114"/>
    <b v="0"/>
  </r>
  <r>
    <n v="921"/>
    <m/>
    <x v="18"/>
    <m/>
    <s v="LYNCHS TOWING INC"/>
    <n v="0"/>
    <n v="175"/>
    <n v="0"/>
    <n v="0"/>
    <n v="0"/>
    <n v="0"/>
    <n v="0"/>
    <n v="0"/>
    <n v="175"/>
    <n v="3.5287507197176737E-7"/>
    <n v="0.99995081417538334"/>
    <b v="0"/>
  </r>
  <r>
    <n v="1176"/>
    <m/>
    <x v="18"/>
    <m/>
    <s v="AMBROGI INTEGRATIVE HEALTH SERVICES"/>
    <n v="0"/>
    <n v="0"/>
    <n v="100"/>
    <n v="75"/>
    <n v="0"/>
    <n v="0"/>
    <n v="0"/>
    <n v="0"/>
    <n v="175"/>
    <n v="3.5287507197176737E-7"/>
    <n v="0.99995116705045528"/>
    <b v="0"/>
  </r>
  <r>
    <n v="1592"/>
    <m/>
    <x v="18"/>
    <m/>
    <s v="ANDREW MCDONOUGH B+ FOUNDATION"/>
    <n v="0"/>
    <n v="0"/>
    <n v="0"/>
    <n v="0"/>
    <n v="175"/>
    <n v="0"/>
    <n v="0"/>
    <n v="0"/>
    <n v="175"/>
    <n v="3.5287507197176737E-7"/>
    <n v="0.99995151992552722"/>
    <b v="0"/>
  </r>
  <r>
    <n v="2184"/>
    <m/>
    <x v="18"/>
    <m/>
    <s v="ANGELA NATRIN"/>
    <n v="0"/>
    <n v="0"/>
    <n v="0"/>
    <n v="0"/>
    <n v="0"/>
    <n v="0"/>
    <n v="175"/>
    <n v="0"/>
    <n v="175"/>
    <n v="3.5287507197176737E-7"/>
    <n v="0.99995187280059916"/>
    <b v="0"/>
  </r>
  <r>
    <n v="1903"/>
    <m/>
    <x v="18"/>
    <m/>
    <s v="BREANNA PIERCE"/>
    <n v="0"/>
    <n v="0"/>
    <n v="0"/>
    <n v="0"/>
    <n v="0"/>
    <n v="122.64"/>
    <n v="47.8"/>
    <n v="0"/>
    <n v="170.44"/>
    <n v="3.4368015581067443E-7"/>
    <n v="0.99995221648075494"/>
    <b v="0"/>
  </r>
  <r>
    <n v="640"/>
    <m/>
    <x v="18"/>
    <m/>
    <s v="DELAWARE ART MUSEUM"/>
    <n v="170"/>
    <n v="0"/>
    <n v="0"/>
    <n v="0"/>
    <n v="0"/>
    <n v="0"/>
    <n v="0"/>
    <n v="0"/>
    <n v="170"/>
    <n v="3.427929270582883E-7"/>
    <n v="0.99995255927368198"/>
    <b v="0"/>
  </r>
  <r>
    <n v="1884"/>
    <m/>
    <x v="18"/>
    <m/>
    <s v="RCP IV LLC DBA PORTER FORD MITSUBISHI"/>
    <n v="0"/>
    <n v="0"/>
    <n v="0"/>
    <n v="0"/>
    <n v="0"/>
    <n v="169.95"/>
    <n v="0"/>
    <n v="0"/>
    <n v="169.95"/>
    <n v="3.426921056091535E-7"/>
    <n v="0.99995290196578757"/>
    <b v="0"/>
  </r>
  <r>
    <n v="2186"/>
    <m/>
    <x v="18"/>
    <m/>
    <s v="SHANNON LIVINGSTON"/>
    <n v="0"/>
    <n v="0"/>
    <n v="0"/>
    <n v="0"/>
    <n v="0"/>
    <n v="0"/>
    <n v="168.75"/>
    <n v="0"/>
    <n v="168.75"/>
    <n v="3.4027239082991854E-7"/>
    <n v="0.99995324223817839"/>
    <b v="0"/>
  </r>
  <r>
    <n v="1885"/>
    <m/>
    <x v="18"/>
    <m/>
    <s v="FAIRWINDS CHRISTIAN SCHOOL"/>
    <n v="0"/>
    <n v="0"/>
    <n v="0"/>
    <n v="0"/>
    <n v="0"/>
    <n v="168"/>
    <n v="0"/>
    <n v="0"/>
    <n v="168"/>
    <n v="3.3876006909289668E-7"/>
    <n v="0.99995358099824749"/>
    <b v="0"/>
  </r>
  <r>
    <n v="642"/>
    <m/>
    <x v="18"/>
    <m/>
    <s v="CHOICE MEDWASTE LLC"/>
    <n v="165"/>
    <n v="0"/>
    <n v="0"/>
    <n v="0"/>
    <n v="0"/>
    <n v="0"/>
    <n v="0"/>
    <n v="0"/>
    <n v="165"/>
    <n v="3.3271078214480923E-7"/>
    <n v="0.99995391370902964"/>
    <b v="0"/>
  </r>
  <r>
    <n v="1887"/>
    <m/>
    <x v="18"/>
    <m/>
    <s v="KAPLAN EARLY LEARNING CO"/>
    <n v="0"/>
    <n v="0"/>
    <n v="0"/>
    <n v="0"/>
    <n v="0"/>
    <n v="163.68"/>
    <n v="0"/>
    <n v="0"/>
    <n v="163.68"/>
    <n v="3.3004909588765079E-7"/>
    <n v="0.99995424375812558"/>
    <b v="0"/>
  </r>
  <r>
    <n v="922"/>
    <m/>
    <x v="18"/>
    <m/>
    <s v="Heather Smith"/>
    <n v="0"/>
    <n v="160.80000000000001"/>
    <n v="0"/>
    <n v="0"/>
    <n v="0"/>
    <n v="0"/>
    <n v="0"/>
    <n v="0"/>
    <n v="160.80000000000001"/>
    <n v="3.2424178041748681E-7"/>
    <n v="0.99995456799990601"/>
    <b v="0"/>
  </r>
  <r>
    <n v="1164"/>
    <m/>
    <x v="18"/>
    <m/>
    <s v="MORNING STAR PUBLICATIONS INC"/>
    <n v="0"/>
    <n v="0"/>
    <n v="160"/>
    <n v="0"/>
    <n v="0"/>
    <n v="0"/>
    <n v="0"/>
    <n v="0"/>
    <n v="160"/>
    <n v="3.2262863723133015E-7"/>
    <n v="0.99995489062854326"/>
    <b v="0"/>
  </r>
  <r>
    <n v="1365"/>
    <m/>
    <x v="18"/>
    <m/>
    <s v="EMILY RACHAEL CHAMELIN"/>
    <n v="0"/>
    <n v="0"/>
    <n v="0"/>
    <n v="160"/>
    <n v="0"/>
    <n v="0"/>
    <n v="0"/>
    <n v="0"/>
    <n v="160"/>
    <n v="3.2262863723133015E-7"/>
    <n v="0.99995521325718051"/>
    <b v="0"/>
  </r>
  <r>
    <n v="1888"/>
    <m/>
    <x v="18"/>
    <m/>
    <s v="GINA BOWERS"/>
    <n v="0"/>
    <n v="0"/>
    <n v="0"/>
    <n v="0"/>
    <n v="0"/>
    <n v="160"/>
    <n v="0"/>
    <n v="0"/>
    <n v="160"/>
    <n v="3.2262863723133015E-7"/>
    <n v="0.99995553588581776"/>
    <b v="0"/>
  </r>
  <r>
    <n v="2439"/>
    <m/>
    <x v="18"/>
    <m/>
    <s v="ALISON HOUCK"/>
    <n v="0"/>
    <n v="0"/>
    <n v="0"/>
    <n v="0"/>
    <n v="0"/>
    <n v="0"/>
    <n v="0"/>
    <n v="160"/>
    <n v="160"/>
    <n v="3.2262863723133015E-7"/>
    <n v="0.99995585851445501"/>
    <b v="0"/>
  </r>
  <r>
    <n v="2440"/>
    <m/>
    <x v="18"/>
    <m/>
    <s v="JESSICA ANTON"/>
    <n v="0"/>
    <n v="0"/>
    <n v="0"/>
    <n v="0"/>
    <n v="0"/>
    <n v="0"/>
    <n v="0"/>
    <n v="160"/>
    <n v="160"/>
    <n v="3.2262863723133015E-7"/>
    <n v="0.99995618114309226"/>
    <b v="0"/>
  </r>
  <r>
    <n v="2441"/>
    <m/>
    <x v="18"/>
    <m/>
    <s v="CENTERVILLE LAYTON SCHOOL"/>
    <n v="0"/>
    <n v="0"/>
    <n v="0"/>
    <n v="0"/>
    <n v="0"/>
    <n v="0"/>
    <n v="0"/>
    <n v="157.5"/>
    <n v="157.5"/>
    <n v="3.1758756477459064E-7"/>
    <n v="0.99995649873065706"/>
    <b v="0"/>
  </r>
  <r>
    <n v="1180"/>
    <m/>
    <x v="18"/>
    <m/>
    <s v="LINDE GAS &amp; EQUIPMENT INC."/>
    <n v="0"/>
    <n v="0"/>
    <n v="78.319999999999993"/>
    <n v="78.319999999999993"/>
    <n v="0"/>
    <n v="0"/>
    <n v="0"/>
    <n v="0"/>
    <n v="156.63999999999999"/>
    <n v="3.1585343584947222E-7"/>
    <n v="0.99995681458409291"/>
    <b v="0"/>
  </r>
  <r>
    <n v="1889"/>
    <m/>
    <x v="18"/>
    <m/>
    <s v="KRISTIN TOMCZAK"/>
    <n v="0"/>
    <n v="0"/>
    <n v="0"/>
    <n v="0"/>
    <n v="0"/>
    <n v="156"/>
    <n v="0"/>
    <n v="0"/>
    <n v="156"/>
    <n v="3.1456292130054692E-7"/>
    <n v="0.99995712914701418"/>
    <b v="0"/>
  </r>
  <r>
    <n v="1366"/>
    <m/>
    <x v="18"/>
    <m/>
    <s v="EMILY TRUITT"/>
    <n v="0"/>
    <n v="0"/>
    <n v="0"/>
    <n v="155.83000000000001"/>
    <n v="0"/>
    <n v="0"/>
    <n v="0"/>
    <n v="0"/>
    <n v="155.83000000000001"/>
    <n v="3.1422012837348865E-7"/>
    <n v="0.99995744336714254"/>
    <b v="0"/>
  </r>
  <r>
    <n v="2188"/>
    <m/>
    <x v="18"/>
    <m/>
    <s v="TODD LOBAUGH"/>
    <n v="0"/>
    <n v="0"/>
    <n v="0"/>
    <n v="0"/>
    <n v="0"/>
    <n v="0"/>
    <n v="155.19999999999999"/>
    <n v="0"/>
    <n v="155.19999999999999"/>
    <n v="3.1294977811439021E-7"/>
    <n v="0.99995775631692063"/>
    <b v="0"/>
  </r>
  <r>
    <n v="1890"/>
    <m/>
    <x v="18"/>
    <m/>
    <s v="THE PINOLA CONSERVANCY"/>
    <n v="0"/>
    <n v="0"/>
    <n v="0"/>
    <n v="0"/>
    <n v="0"/>
    <n v="154.06"/>
    <n v="0"/>
    <n v="0"/>
    <n v="154.06"/>
    <n v="3.1065104907411701E-7"/>
    <n v="0.99995806696796974"/>
    <b v="0"/>
  </r>
  <r>
    <n v="1891"/>
    <m/>
    <x v="18"/>
    <m/>
    <s v="VIVIEN MAKOS"/>
    <n v="0"/>
    <n v="0"/>
    <n v="0"/>
    <n v="0"/>
    <n v="0"/>
    <n v="153.02000000000001"/>
    <n v="0"/>
    <n v="0"/>
    <n v="153.02000000000001"/>
    <n v="3.085539629321134E-7"/>
    <n v="0.99995837552193267"/>
    <b v="0"/>
  </r>
  <r>
    <n v="2442"/>
    <m/>
    <x v="18"/>
    <m/>
    <s v="W T SCHRIDER &amp; SONS INC"/>
    <n v="0"/>
    <n v="0"/>
    <n v="0"/>
    <n v="0"/>
    <n v="0"/>
    <n v="0"/>
    <n v="0"/>
    <n v="152.16999999999999"/>
    <n v="152.16999999999999"/>
    <n v="3.068399982968219E-7"/>
    <n v="0.99995868236193097"/>
    <b v="0"/>
  </r>
  <r>
    <n v="650"/>
    <m/>
    <x v="18"/>
    <m/>
    <s v="PHILADELPHIA MYCOLOGY CLUB"/>
    <n v="150"/>
    <n v="0"/>
    <n v="0"/>
    <n v="0"/>
    <n v="0"/>
    <n v="0"/>
    <n v="0"/>
    <n v="0"/>
    <n v="150"/>
    <n v="3.0246434740437201E-7"/>
    <n v="0.99995898482627843"/>
    <b v="0"/>
  </r>
  <r>
    <n v="652"/>
    <m/>
    <x v="18"/>
    <m/>
    <s v="GRABER MANUFACTURING INC"/>
    <n v="150"/>
    <n v="0"/>
    <n v="0"/>
    <n v="0"/>
    <n v="0"/>
    <n v="0"/>
    <n v="0"/>
    <n v="0"/>
    <n v="150"/>
    <n v="3.0246434740437201E-7"/>
    <n v="0.99995928729062589"/>
    <b v="0"/>
  </r>
  <r>
    <n v="924"/>
    <m/>
    <x v="18"/>
    <m/>
    <s v="John Forester"/>
    <n v="0"/>
    <n v="150"/>
    <n v="0"/>
    <n v="0"/>
    <n v="0"/>
    <n v="0"/>
    <n v="0"/>
    <n v="0"/>
    <n v="150"/>
    <n v="3.0246434740437201E-7"/>
    <n v="0.99995958975497334"/>
    <b v="0"/>
  </r>
  <r>
    <n v="925"/>
    <m/>
    <x v="18"/>
    <m/>
    <s v="LEAH BROOKS"/>
    <n v="0"/>
    <n v="150"/>
    <n v="0"/>
    <n v="0"/>
    <n v="0"/>
    <n v="0"/>
    <n v="0"/>
    <n v="0"/>
    <n v="150"/>
    <n v="3.0246434740437201E-7"/>
    <n v="0.9999598922193208"/>
    <b v="0"/>
  </r>
  <r>
    <n v="1166"/>
    <m/>
    <x v="18"/>
    <m/>
    <s v="NEW CASTLE HISTORICAL SOCIETY"/>
    <n v="0"/>
    <n v="0"/>
    <n v="150"/>
    <n v="0"/>
    <n v="0"/>
    <n v="0"/>
    <n v="0"/>
    <n v="0"/>
    <n v="150"/>
    <n v="3.0246434740437201E-7"/>
    <n v="0.99996019468366826"/>
    <b v="0"/>
  </r>
  <r>
    <n v="1167"/>
    <m/>
    <x v="18"/>
    <m/>
    <s v="MICHAEL MCDERMOTT"/>
    <n v="0"/>
    <n v="0"/>
    <n v="150"/>
    <n v="0"/>
    <n v="0"/>
    <n v="0"/>
    <n v="0"/>
    <n v="0"/>
    <n v="150"/>
    <n v="3.0246434740437201E-7"/>
    <n v="0.99996049714801571"/>
    <b v="0"/>
  </r>
  <r>
    <n v="1168"/>
    <m/>
    <x v="18"/>
    <m/>
    <s v="THOMAS E MARVEL"/>
    <n v="0"/>
    <n v="0"/>
    <n v="150"/>
    <n v="0"/>
    <n v="0"/>
    <n v="0"/>
    <n v="0"/>
    <n v="0"/>
    <n v="150"/>
    <n v="3.0246434740437201E-7"/>
    <n v="0.99996079961236317"/>
    <b v="0"/>
  </r>
  <r>
    <n v="1367"/>
    <m/>
    <x v="18"/>
    <m/>
    <s v="CHESAPEAKE ENVIRONMENTAL LAB INC"/>
    <n v="0"/>
    <n v="0"/>
    <n v="0"/>
    <n v="150"/>
    <n v="0"/>
    <n v="0"/>
    <n v="0"/>
    <n v="0"/>
    <n v="150"/>
    <n v="3.0246434740437201E-7"/>
    <n v="0.99996110207671063"/>
    <b v="0"/>
  </r>
  <r>
    <n v="1368"/>
    <m/>
    <x v="18"/>
    <m/>
    <s v="ERIC F ZUELKE"/>
    <n v="0"/>
    <n v="0"/>
    <n v="0"/>
    <n v="150"/>
    <n v="0"/>
    <n v="0"/>
    <n v="0"/>
    <n v="0"/>
    <n v="150"/>
    <n v="3.0246434740437201E-7"/>
    <n v="0.99996140454105809"/>
    <b v="0"/>
  </r>
  <r>
    <n v="1369"/>
    <m/>
    <x v="18"/>
    <m/>
    <s v="FRANK KORNFELD"/>
    <n v="0"/>
    <n v="0"/>
    <n v="0"/>
    <n v="150"/>
    <n v="0"/>
    <n v="0"/>
    <n v="0"/>
    <n v="0"/>
    <n v="150"/>
    <n v="3.0246434740437201E-7"/>
    <n v="0.99996170700540554"/>
    <b v="0"/>
  </r>
  <r>
    <n v="1594"/>
    <m/>
    <x v="18"/>
    <m/>
    <s v="MATTHEW THOMPSON"/>
    <n v="0"/>
    <n v="0"/>
    <n v="0"/>
    <n v="0"/>
    <n v="150"/>
    <n v="0"/>
    <n v="0"/>
    <n v="0"/>
    <n v="150"/>
    <n v="3.0246434740437201E-7"/>
    <n v="0.999962009469753"/>
    <b v="0"/>
  </r>
  <r>
    <n v="1596"/>
    <m/>
    <x v="18"/>
    <m/>
    <s v="SIERRA BOUCHELLE"/>
    <n v="0"/>
    <n v="0"/>
    <n v="0"/>
    <n v="0"/>
    <n v="150"/>
    <n v="0"/>
    <n v="0"/>
    <n v="0"/>
    <n v="150"/>
    <n v="3.0246434740437201E-7"/>
    <n v="0.99996231193410046"/>
    <b v="0"/>
  </r>
  <r>
    <n v="1597"/>
    <m/>
    <x v="18"/>
    <m/>
    <s v="Cynthia Pace"/>
    <n v="0"/>
    <n v="0"/>
    <n v="0"/>
    <n v="0"/>
    <n v="150"/>
    <n v="0"/>
    <n v="0"/>
    <n v="0"/>
    <n v="150"/>
    <n v="3.0246434740437201E-7"/>
    <n v="0.99996261439844791"/>
    <b v="0"/>
  </r>
  <r>
    <n v="1892"/>
    <m/>
    <x v="18"/>
    <m/>
    <s v="GRACE WARNICK CRHS ARVED"/>
    <n v="0"/>
    <n v="0"/>
    <n v="0"/>
    <n v="0"/>
    <n v="0"/>
    <n v="150"/>
    <n v="0"/>
    <n v="0"/>
    <n v="150"/>
    <n v="3.0246434740437201E-7"/>
    <n v="0.99996291686279537"/>
    <b v="0"/>
  </r>
  <r>
    <n v="1893"/>
    <m/>
    <x v="18"/>
    <m/>
    <s v="HAWKINS &amp; SONS"/>
    <n v="0"/>
    <n v="0"/>
    <n v="0"/>
    <n v="0"/>
    <n v="0"/>
    <n v="150"/>
    <n v="0"/>
    <n v="0"/>
    <n v="150"/>
    <n v="3.0246434740437201E-7"/>
    <n v="0.99996321932714283"/>
    <b v="0"/>
  </r>
  <r>
    <n v="1895"/>
    <m/>
    <x v="18"/>
    <m/>
    <s v="GW JERRY THOMPSON"/>
    <n v="0"/>
    <n v="0"/>
    <n v="0"/>
    <n v="0"/>
    <n v="0"/>
    <n v="150"/>
    <n v="0"/>
    <n v="0"/>
    <n v="150"/>
    <n v="3.0246434740437201E-7"/>
    <n v="0.99996352179149028"/>
    <b v="0"/>
  </r>
  <r>
    <n v="2189"/>
    <m/>
    <x v="18"/>
    <m/>
    <s v="THOMAS YATES"/>
    <n v="0"/>
    <n v="0"/>
    <n v="0"/>
    <n v="0"/>
    <n v="0"/>
    <n v="0"/>
    <n v="150"/>
    <n v="0"/>
    <n v="150"/>
    <n v="3.0246434740437201E-7"/>
    <n v="0.99996382425583774"/>
    <b v="0"/>
  </r>
  <r>
    <n v="2191"/>
    <m/>
    <x v="18"/>
    <m/>
    <s v="LARRY CROSSWELL"/>
    <n v="0"/>
    <n v="0"/>
    <n v="0"/>
    <n v="0"/>
    <n v="0"/>
    <n v="0"/>
    <n v="150"/>
    <n v="0"/>
    <n v="150"/>
    <n v="3.0246434740437201E-7"/>
    <n v="0.9999641267201852"/>
    <b v="0"/>
  </r>
  <r>
    <n v="2443"/>
    <m/>
    <x v="18"/>
    <m/>
    <s v="WILLIAM G DAY COMPANY"/>
    <n v="0"/>
    <n v="0"/>
    <n v="0"/>
    <n v="0"/>
    <n v="0"/>
    <n v="0"/>
    <n v="0"/>
    <n v="150"/>
    <n v="150"/>
    <n v="3.0246434740437201E-7"/>
    <n v="0.99996442918453265"/>
    <b v="0"/>
  </r>
  <r>
    <n v="2444"/>
    <m/>
    <x v="18"/>
    <m/>
    <s v="SEAN DEMPSEY"/>
    <n v="0"/>
    <n v="0"/>
    <n v="0"/>
    <n v="0"/>
    <n v="0"/>
    <n v="0"/>
    <n v="0"/>
    <n v="150"/>
    <n v="150"/>
    <n v="3.0246434740437201E-7"/>
    <n v="0.99996473164888011"/>
    <b v="0"/>
  </r>
  <r>
    <n v="2445"/>
    <m/>
    <x v="18"/>
    <m/>
    <s v="ERIC TSAVDAR"/>
    <n v="0"/>
    <n v="0"/>
    <n v="0"/>
    <n v="0"/>
    <n v="0"/>
    <n v="0"/>
    <n v="0"/>
    <n v="150"/>
    <n v="150"/>
    <n v="3.0246434740437201E-7"/>
    <n v="0.99996503411322757"/>
    <b v="0"/>
  </r>
  <r>
    <n v="653"/>
    <m/>
    <x v="18"/>
    <m/>
    <s v="Oklahoma Dept of Human Serv"/>
    <n v="148.47999999999999"/>
    <n v="0"/>
    <n v="0"/>
    <n v="0"/>
    <n v="0"/>
    <n v="0"/>
    <n v="0"/>
    <n v="0"/>
    <n v="148.47999999999999"/>
    <n v="2.9939937535067434E-7"/>
    <n v="0.99996533351260297"/>
    <b v="0"/>
  </r>
  <r>
    <n v="654"/>
    <m/>
    <x v="18"/>
    <m/>
    <s v="EARTHBORNE FELTON LLC"/>
    <n v="145.79"/>
    <n v="0"/>
    <n v="0"/>
    <n v="0"/>
    <n v="0"/>
    <n v="0"/>
    <n v="0"/>
    <n v="0"/>
    <n v="145.79"/>
    <n v="2.9397518138722263E-7"/>
    <n v="0.99996562748778439"/>
    <b v="0"/>
  </r>
  <r>
    <n v="1896"/>
    <m/>
    <x v="18"/>
    <m/>
    <s v="KIRSTEN MURRAY"/>
    <n v="0"/>
    <n v="0"/>
    <n v="0"/>
    <n v="0"/>
    <n v="0"/>
    <n v="145"/>
    <n v="0"/>
    <n v="0"/>
    <n v="145"/>
    <n v="2.9238220249089294E-7"/>
    <n v="0.99996591986998684"/>
    <b v="0"/>
  </r>
  <r>
    <n v="1897"/>
    <m/>
    <x v="18"/>
    <m/>
    <s v="DC-AFS AIR TEAM"/>
    <n v="0"/>
    <n v="0"/>
    <n v="0"/>
    <n v="0"/>
    <n v="0"/>
    <n v="144"/>
    <n v="0"/>
    <n v="0"/>
    <n v="144"/>
    <n v="2.9036577350819715E-7"/>
    <n v="0.99996621023576038"/>
    <b v="0"/>
  </r>
  <r>
    <n v="1898"/>
    <m/>
    <x v="18"/>
    <m/>
    <s v="DENNIS MCMULLAN"/>
    <n v="0"/>
    <n v="0"/>
    <n v="0"/>
    <n v="0"/>
    <n v="0"/>
    <n v="144"/>
    <n v="0"/>
    <n v="0"/>
    <n v="144"/>
    <n v="2.9036577350819715E-7"/>
    <n v="0.99996650060153391"/>
    <b v="0"/>
  </r>
  <r>
    <n v="2446"/>
    <m/>
    <x v="18"/>
    <m/>
    <s v="EILEEN MARONEY"/>
    <n v="0"/>
    <n v="0"/>
    <n v="0"/>
    <n v="0"/>
    <n v="0"/>
    <n v="0"/>
    <n v="0"/>
    <n v="144"/>
    <n v="144"/>
    <n v="2.9036577350819715E-7"/>
    <n v="0.99996679096730745"/>
    <b v="0"/>
  </r>
  <r>
    <n v="1899"/>
    <m/>
    <x v="18"/>
    <m/>
    <s v="VERMEER SALES &amp; SERVICE INC"/>
    <n v="0"/>
    <n v="0"/>
    <n v="0"/>
    <n v="0"/>
    <n v="0"/>
    <n v="143.11000000000001"/>
    <n v="0"/>
    <n v="0"/>
    <n v="143.11000000000001"/>
    <n v="2.8857115171359788E-7"/>
    <n v="0.9999670795384592"/>
    <b v="0"/>
  </r>
  <r>
    <n v="1900"/>
    <m/>
    <x v="18"/>
    <m/>
    <s v="BEST PLUMBING SPECIALTIES INC"/>
    <n v="0"/>
    <n v="0"/>
    <n v="0"/>
    <n v="0"/>
    <n v="0"/>
    <n v="142.68"/>
    <n v="0"/>
    <n v="0"/>
    <n v="142.68"/>
    <n v="2.8770408725103867E-7"/>
    <n v="0.99996736724254642"/>
    <b v="0"/>
  </r>
  <r>
    <n v="1901"/>
    <m/>
    <x v="18"/>
    <m/>
    <s v="WESTTOWN SCHOOL"/>
    <n v="0"/>
    <n v="0"/>
    <n v="0"/>
    <n v="0"/>
    <n v="0"/>
    <n v="140"/>
    <n v="0"/>
    <n v="0"/>
    <n v="140"/>
    <n v="2.8230005757741386E-7"/>
    <n v="0.99996764954260398"/>
    <b v="0"/>
  </r>
  <r>
    <n v="1964"/>
    <m/>
    <x v="18"/>
    <m/>
    <s v="MARIAN SERAT"/>
    <n v="0"/>
    <n v="0"/>
    <n v="0"/>
    <n v="0"/>
    <n v="0"/>
    <n v="18"/>
    <n v="120"/>
    <n v="0"/>
    <n v="138"/>
    <n v="2.7826719961202225E-7"/>
    <n v="0.99996792780980359"/>
    <b v="0"/>
  </r>
  <r>
    <n v="2195"/>
    <m/>
    <x v="18"/>
    <m/>
    <s v="ROBERT MOODY"/>
    <n v="0"/>
    <n v="0"/>
    <n v="0"/>
    <n v="0"/>
    <n v="0"/>
    <n v="0"/>
    <n v="136"/>
    <n v="0"/>
    <n v="136"/>
    <n v="2.7423434164663063E-7"/>
    <n v="0.99996820204414527"/>
    <b v="0"/>
  </r>
  <r>
    <n v="1372"/>
    <m/>
    <x v="18"/>
    <m/>
    <s v="CONOR TIMONEY"/>
    <n v="0"/>
    <n v="0"/>
    <n v="0"/>
    <n v="135"/>
    <n v="0"/>
    <n v="0"/>
    <n v="0"/>
    <n v="0"/>
    <n v="135"/>
    <n v="2.7221791266393485E-7"/>
    <n v="0.99996847426205793"/>
    <b v="0"/>
  </r>
  <r>
    <n v="1599"/>
    <m/>
    <x v="18"/>
    <m/>
    <s v="KRISTIN COMOLLI"/>
    <n v="0"/>
    <n v="0"/>
    <n v="0"/>
    <n v="0"/>
    <n v="134.44"/>
    <n v="0"/>
    <n v="0"/>
    <n v="0"/>
    <n v="134.44"/>
    <n v="2.7108871243362514E-7"/>
    <n v="0.9999687453507704"/>
    <b v="0"/>
  </r>
  <r>
    <n v="2196"/>
    <m/>
    <x v="18"/>
    <m/>
    <s v="LYNN KOEHLER"/>
    <n v="0"/>
    <n v="0"/>
    <n v="0"/>
    <n v="0"/>
    <n v="0"/>
    <n v="0"/>
    <n v="131"/>
    <n v="0"/>
    <n v="131"/>
    <n v="2.6415219673315156E-7"/>
    <n v="0.99996900950296719"/>
    <b v="0"/>
  </r>
  <r>
    <n v="2197"/>
    <m/>
    <x v="18"/>
    <m/>
    <s v="BICAST"/>
    <n v="0"/>
    <n v="0"/>
    <n v="0"/>
    <n v="0"/>
    <n v="0"/>
    <n v="0"/>
    <n v="129.35"/>
    <n v="0"/>
    <n v="129.35"/>
    <n v="2.6082508891170345E-7"/>
    <n v="0.99996927032805605"/>
    <b v="0"/>
  </r>
  <r>
    <n v="928"/>
    <m/>
    <x v="18"/>
    <m/>
    <s v="CHARLES HARMON"/>
    <n v="0"/>
    <n v="127.74"/>
    <n v="0"/>
    <n v="0"/>
    <n v="0"/>
    <n v="0"/>
    <n v="0"/>
    <n v="0"/>
    <n v="127.74"/>
    <n v="2.5757863824956321E-7"/>
    <n v="0.99996952790669424"/>
    <b v="0"/>
  </r>
  <r>
    <n v="1171"/>
    <m/>
    <x v="18"/>
    <m/>
    <s v="DELCOLLO ELECTRIC INC"/>
    <n v="0"/>
    <n v="0"/>
    <n v="125"/>
    <n v="0"/>
    <n v="0"/>
    <n v="0"/>
    <n v="0"/>
    <n v="0"/>
    <n v="125"/>
    <n v="2.520536228369767E-7"/>
    <n v="0.99996977996031711"/>
    <b v="0"/>
  </r>
  <r>
    <n v="2447"/>
    <m/>
    <x v="18"/>
    <m/>
    <s v="EBENEZER UNITED METHODIST CHURCH"/>
    <n v="0"/>
    <n v="0"/>
    <n v="0"/>
    <n v="0"/>
    <n v="0"/>
    <n v="0"/>
    <n v="0"/>
    <n v="125"/>
    <n v="125"/>
    <n v="2.520536228369767E-7"/>
    <n v="0.99997003201393997"/>
    <b v="0"/>
  </r>
  <r>
    <n v="2448"/>
    <m/>
    <x v="18"/>
    <m/>
    <s v="BRAN DRUMBORE"/>
    <n v="0"/>
    <n v="0"/>
    <n v="0"/>
    <n v="0"/>
    <n v="0"/>
    <n v="0"/>
    <n v="0"/>
    <n v="125"/>
    <n v="125"/>
    <n v="2.520536228369767E-7"/>
    <n v="0.99997028406756283"/>
    <b v="0"/>
  </r>
  <r>
    <n v="1902"/>
    <m/>
    <x v="18"/>
    <m/>
    <s v="STATE COLLEGE FRIENDS SCHOOL"/>
    <n v="0"/>
    <n v="0"/>
    <n v="0"/>
    <n v="0"/>
    <n v="0"/>
    <n v="124"/>
    <n v="0"/>
    <n v="0"/>
    <n v="124"/>
    <n v="2.5003719385428087E-7"/>
    <n v="0.99997053410475667"/>
    <b v="0"/>
  </r>
  <r>
    <n v="658"/>
    <m/>
    <x v="18"/>
    <m/>
    <s v="Back to Basics Learning Dynami"/>
    <n v="121.24"/>
    <n v="0"/>
    <n v="0"/>
    <n v="0"/>
    <n v="0"/>
    <n v="0"/>
    <n v="0"/>
    <n v="0"/>
    <n v="121.24"/>
    <n v="2.4447184986204041E-7"/>
    <n v="0.99997077857660654"/>
    <b v="0"/>
  </r>
  <r>
    <n v="1904"/>
    <m/>
    <x v="18"/>
    <m/>
    <s v="HENRIETTA BELLMAN"/>
    <n v="0"/>
    <n v="0"/>
    <n v="0"/>
    <n v="0"/>
    <n v="0"/>
    <n v="120.69"/>
    <n v="0"/>
    <n v="0"/>
    <n v="120.69"/>
    <n v="2.4336281392155773E-7"/>
    <n v="0.99997102193942045"/>
    <b v="0"/>
  </r>
  <r>
    <n v="660"/>
    <m/>
    <x v="18"/>
    <m/>
    <s v="KAYLA CLAUSON"/>
    <n v="120"/>
    <n v="0"/>
    <n v="0"/>
    <n v="0"/>
    <n v="0"/>
    <n v="0"/>
    <n v="0"/>
    <n v="0"/>
    <n v="120"/>
    <n v="2.4197147792349763E-7"/>
    <n v="0.99997126391089841"/>
    <b v="0"/>
  </r>
  <r>
    <n v="661"/>
    <m/>
    <x v="18"/>
    <m/>
    <s v="GARVILLE HOLDER"/>
    <n v="120"/>
    <n v="0"/>
    <n v="0"/>
    <n v="0"/>
    <n v="0"/>
    <n v="0"/>
    <n v="0"/>
    <n v="0"/>
    <n v="120"/>
    <n v="2.4197147792349763E-7"/>
    <n v="0.99997150588237638"/>
    <b v="0"/>
  </r>
  <r>
    <n v="1600"/>
    <m/>
    <x v="18"/>
    <m/>
    <s v="MCOGL"/>
    <n v="0"/>
    <n v="0"/>
    <n v="0"/>
    <n v="0"/>
    <n v="120"/>
    <n v="0"/>
    <n v="0"/>
    <n v="0"/>
    <n v="120"/>
    <n v="2.4197147792349763E-7"/>
    <n v="0.99997174785385434"/>
    <b v="0"/>
  </r>
  <r>
    <n v="1601"/>
    <m/>
    <x v="18"/>
    <m/>
    <s v="LISA TIMBERS"/>
    <n v="0"/>
    <n v="0"/>
    <n v="0"/>
    <n v="0"/>
    <n v="120"/>
    <n v="0"/>
    <n v="0"/>
    <n v="0"/>
    <n v="120"/>
    <n v="2.4197147792349763E-7"/>
    <n v="0.99997198982533231"/>
    <b v="0"/>
  </r>
  <r>
    <n v="1905"/>
    <m/>
    <x v="18"/>
    <m/>
    <s v="KIMBERLY MOORE"/>
    <n v="0"/>
    <n v="0"/>
    <n v="0"/>
    <n v="0"/>
    <n v="0"/>
    <n v="120"/>
    <n v="0"/>
    <n v="0"/>
    <n v="120"/>
    <n v="2.4197147792349763E-7"/>
    <n v="0.99997223179681027"/>
    <b v="0"/>
  </r>
  <r>
    <n v="1907"/>
    <m/>
    <x v="18"/>
    <m/>
    <s v="BST 835 / ALLEN"/>
    <n v="0"/>
    <n v="0"/>
    <n v="0"/>
    <n v="0"/>
    <n v="0"/>
    <n v="120"/>
    <n v="0"/>
    <n v="0"/>
    <n v="120"/>
    <n v="2.4197147792349763E-7"/>
    <n v="0.99997247376828824"/>
    <b v="0"/>
  </r>
  <r>
    <n v="1908"/>
    <m/>
    <x v="18"/>
    <m/>
    <s v="CHRISTINA KUPSICK"/>
    <n v="0"/>
    <n v="0"/>
    <n v="0"/>
    <n v="0"/>
    <n v="0"/>
    <n v="120"/>
    <n v="0"/>
    <n v="0"/>
    <n v="120"/>
    <n v="2.4197147792349763E-7"/>
    <n v="0.9999727157397662"/>
    <b v="0"/>
  </r>
  <r>
    <n v="2199"/>
    <m/>
    <x v="18"/>
    <m/>
    <s v="ROBERT TERRY"/>
    <n v="0"/>
    <n v="0"/>
    <n v="0"/>
    <n v="0"/>
    <n v="0"/>
    <n v="0"/>
    <n v="120"/>
    <n v="0"/>
    <n v="120"/>
    <n v="2.4197147792349763E-7"/>
    <n v="0.99997295771124417"/>
    <b v="0"/>
  </r>
  <r>
    <n v="2200"/>
    <m/>
    <x v="18"/>
    <m/>
    <s v="RJ LOCK  SECURITY OF THE EASTERN SHOR"/>
    <n v="0"/>
    <n v="0"/>
    <n v="0"/>
    <n v="0"/>
    <n v="0"/>
    <n v="0"/>
    <n v="120"/>
    <n v="0"/>
    <n v="120"/>
    <n v="2.4197147792349763E-7"/>
    <n v="0.99997319968272214"/>
    <b v="0"/>
  </r>
  <r>
    <n v="2449"/>
    <m/>
    <x v="18"/>
    <m/>
    <s v="SAVEWAY COMPOUNDING"/>
    <n v="0"/>
    <n v="0"/>
    <n v="0"/>
    <n v="0"/>
    <n v="0"/>
    <n v="0"/>
    <n v="0"/>
    <n v="120"/>
    <n v="120"/>
    <n v="2.4197147792349763E-7"/>
    <n v="0.9999734416542001"/>
    <b v="0"/>
  </r>
  <r>
    <n v="2450"/>
    <m/>
    <x v="18"/>
    <m/>
    <s v="STEVEN C WELCH"/>
    <n v="0"/>
    <n v="0"/>
    <n v="0"/>
    <n v="0"/>
    <n v="0"/>
    <n v="0"/>
    <n v="0"/>
    <n v="120"/>
    <n v="120"/>
    <n v="2.4197147792349763E-7"/>
    <n v="0.99997368362567807"/>
    <b v="0"/>
  </r>
  <r>
    <n v="2451"/>
    <m/>
    <x v="18"/>
    <m/>
    <s v="WILLIAM NAGY"/>
    <n v="0"/>
    <n v="0"/>
    <n v="0"/>
    <n v="0"/>
    <n v="0"/>
    <n v="0"/>
    <n v="0"/>
    <n v="120"/>
    <n v="120"/>
    <n v="2.4197147792349763E-7"/>
    <n v="0.99997392559715603"/>
    <b v="0"/>
  </r>
  <r>
    <n v="1603"/>
    <m/>
    <x v="18"/>
    <m/>
    <s v="JULIA &amp; FRAN COLE"/>
    <n v="0"/>
    <n v="0"/>
    <n v="0"/>
    <n v="0"/>
    <n v="115"/>
    <n v="0"/>
    <n v="0"/>
    <n v="0"/>
    <n v="115"/>
    <n v="2.3188933301001856E-7"/>
    <n v="0.99997415748648899"/>
    <b v="0"/>
  </r>
  <r>
    <n v="1604"/>
    <m/>
    <x v="18"/>
    <m/>
    <s v="LINDA BELL"/>
    <n v="0"/>
    <n v="0"/>
    <n v="0"/>
    <n v="0"/>
    <n v="115"/>
    <n v="0"/>
    <n v="0"/>
    <n v="0"/>
    <n v="115"/>
    <n v="2.3188933301001856E-7"/>
    <n v="0.99997438937582195"/>
    <b v="0"/>
  </r>
  <r>
    <n v="1606"/>
    <m/>
    <x v="18"/>
    <m/>
    <s v="PETER CULLEY"/>
    <n v="0"/>
    <n v="0"/>
    <n v="0"/>
    <n v="0"/>
    <n v="115"/>
    <n v="0"/>
    <n v="0"/>
    <n v="0"/>
    <n v="115"/>
    <n v="2.3188933301001856E-7"/>
    <n v="0.99997462126515491"/>
    <b v="0"/>
  </r>
  <r>
    <n v="1607"/>
    <m/>
    <x v="18"/>
    <m/>
    <s v="KATE &amp; JOHN ROWLANDS"/>
    <n v="0"/>
    <n v="0"/>
    <n v="0"/>
    <n v="0"/>
    <n v="115"/>
    <n v="0"/>
    <n v="0"/>
    <n v="0"/>
    <n v="115"/>
    <n v="2.3188933301001856E-7"/>
    <n v="0.99997485315448786"/>
    <b v="0"/>
  </r>
  <r>
    <n v="1608"/>
    <m/>
    <x v="18"/>
    <m/>
    <s v="KAREN MCKINNON"/>
    <n v="0"/>
    <n v="0"/>
    <n v="0"/>
    <n v="0"/>
    <n v="115"/>
    <n v="0"/>
    <n v="0"/>
    <n v="0"/>
    <n v="115"/>
    <n v="2.3188933301001856E-7"/>
    <n v="0.99997508504382082"/>
    <b v="0"/>
  </r>
  <r>
    <n v="1609"/>
    <m/>
    <x v="18"/>
    <m/>
    <s v="LINDA SHULTZ"/>
    <n v="0"/>
    <n v="0"/>
    <n v="0"/>
    <n v="0"/>
    <n v="115"/>
    <n v="0"/>
    <n v="0"/>
    <n v="0"/>
    <n v="115"/>
    <n v="2.3188933301001856E-7"/>
    <n v="0.99997531693315378"/>
    <b v="0"/>
  </r>
  <r>
    <n v="1909"/>
    <m/>
    <x v="18"/>
    <m/>
    <s v="MICHAEL DUNN"/>
    <n v="0"/>
    <n v="0"/>
    <n v="0"/>
    <n v="0"/>
    <n v="0"/>
    <n v="115"/>
    <n v="0"/>
    <n v="0"/>
    <n v="115"/>
    <n v="2.3188933301001856E-7"/>
    <n v="0.99997554882248674"/>
    <b v="0"/>
  </r>
  <r>
    <n v="1910"/>
    <m/>
    <x v="18"/>
    <m/>
    <s v="DEVON ADAMS"/>
    <n v="0"/>
    <n v="0"/>
    <n v="0"/>
    <n v="0"/>
    <n v="0"/>
    <n v="115"/>
    <n v="0"/>
    <n v="0"/>
    <n v="115"/>
    <n v="2.3188933301001856E-7"/>
    <n v="0.9999757807118197"/>
    <b v="0"/>
  </r>
  <r>
    <n v="1911"/>
    <m/>
    <x v="18"/>
    <m/>
    <s v="BST 158 / LAIRD"/>
    <n v="0"/>
    <n v="0"/>
    <n v="0"/>
    <n v="0"/>
    <n v="0"/>
    <n v="114"/>
    <n v="0"/>
    <n v="0"/>
    <n v="114"/>
    <n v="2.2987290402732275E-7"/>
    <n v="0.99997601058472374"/>
    <b v="0"/>
  </r>
  <r>
    <n v="1376"/>
    <m/>
    <x v="18"/>
    <m/>
    <s v="SAFETY-KLEEN SYSTEMS INC"/>
    <n v="0"/>
    <n v="0"/>
    <n v="0"/>
    <n v="112.5"/>
    <n v="0"/>
    <n v="0"/>
    <n v="0"/>
    <n v="0"/>
    <n v="112.5"/>
    <n v="2.2684826055327902E-7"/>
    <n v="0.99997623743298425"/>
    <b v="0"/>
  </r>
  <r>
    <n v="2452"/>
    <m/>
    <x v="18"/>
    <m/>
    <s v="ELAINE M MANCUSO"/>
    <n v="0"/>
    <n v="0"/>
    <n v="0"/>
    <n v="0"/>
    <n v="0"/>
    <n v="0"/>
    <n v="0"/>
    <n v="112.5"/>
    <n v="112.5"/>
    <n v="2.2684826055327902E-7"/>
    <n v="0.99997646428124476"/>
    <b v="0"/>
  </r>
  <r>
    <n v="1172"/>
    <m/>
    <x v="18"/>
    <m/>
    <s v="SIMPLOT AB RETAIL SUB INC"/>
    <n v="0"/>
    <n v="0"/>
    <n v="111.63"/>
    <n v="0"/>
    <n v="0"/>
    <n v="0"/>
    <n v="0"/>
    <n v="0"/>
    <n v="111.63"/>
    <n v="2.2509396733833366E-7"/>
    <n v="0.99997668937521211"/>
    <b v="0"/>
  </r>
  <r>
    <n v="1610"/>
    <m/>
    <x v="18"/>
    <m/>
    <s v="Jennifer Blankenship"/>
    <n v="0"/>
    <n v="0"/>
    <n v="0"/>
    <n v="0"/>
    <n v="110"/>
    <n v="0"/>
    <n v="0"/>
    <n v="0"/>
    <n v="110"/>
    <n v="2.2180718809653948E-7"/>
    <n v="0.99997691118240017"/>
    <b v="0"/>
  </r>
  <r>
    <n v="1611"/>
    <m/>
    <x v="18"/>
    <m/>
    <s v="BRIDGET FANNON"/>
    <n v="0"/>
    <n v="0"/>
    <n v="0"/>
    <n v="0"/>
    <n v="110"/>
    <n v="0"/>
    <n v="0"/>
    <n v="0"/>
    <n v="110"/>
    <n v="2.2180718809653948E-7"/>
    <n v="0.99997713298958824"/>
    <b v="0"/>
  </r>
  <r>
    <n v="2202"/>
    <m/>
    <x v="18"/>
    <m/>
    <s v="JESSICA GRAAE"/>
    <n v="0"/>
    <n v="0"/>
    <n v="0"/>
    <n v="0"/>
    <n v="0"/>
    <n v="0"/>
    <n v="110"/>
    <n v="0"/>
    <n v="110"/>
    <n v="2.2180718809653948E-7"/>
    <n v="0.9999773547967763"/>
    <b v="0"/>
  </r>
  <r>
    <n v="2203"/>
    <m/>
    <x v="18"/>
    <m/>
    <s v="ACTION UNLIMITED RESOURCES INC"/>
    <n v="0"/>
    <n v="0"/>
    <n v="0"/>
    <n v="0"/>
    <n v="0"/>
    <n v="0"/>
    <n v="109.36"/>
    <n v="0"/>
    <n v="109.36"/>
    <n v="2.2051667354761415E-7"/>
    <n v="0.99997757531344988"/>
    <b v="0"/>
  </r>
  <r>
    <n v="1914"/>
    <m/>
    <x v="18"/>
    <m/>
    <s v="ANGERSTEIN PROPERTIES LLC"/>
    <n v="0"/>
    <n v="0"/>
    <n v="0"/>
    <n v="0"/>
    <n v="0"/>
    <n v="108.13"/>
    <n v="0"/>
    <n v="0"/>
    <n v="108.13"/>
    <n v="2.1803646589889831E-7"/>
    <n v="0.99997779334991577"/>
    <b v="0"/>
  </r>
  <r>
    <n v="681"/>
    <m/>
    <x v="18"/>
    <m/>
    <s v="MILLMAN AUTO PARTSII DBA HARRINGTON NAPA"/>
    <n v="44.64"/>
    <n v="63.08"/>
    <n v="0"/>
    <n v="0"/>
    <n v="0"/>
    <n v="0"/>
    <n v="0"/>
    <n v="0"/>
    <n v="107.72"/>
    <n v="2.1720973001599304E-7"/>
    <n v="0.99997801055964575"/>
    <b v="0"/>
  </r>
  <r>
    <n v="1613"/>
    <m/>
    <x v="18"/>
    <m/>
    <s v="DOMINIC MUZZI"/>
    <n v="0"/>
    <n v="0"/>
    <n v="0"/>
    <n v="0"/>
    <n v="107"/>
    <n v="0"/>
    <n v="0"/>
    <n v="0"/>
    <n v="107"/>
    <n v="2.1575790114845203E-7"/>
    <n v="0.99997822631754685"/>
    <b v="0"/>
  </r>
  <r>
    <n v="663"/>
    <m/>
    <x v="18"/>
    <m/>
    <s v="ERIC MORAN"/>
    <n v="100"/>
    <n v="0"/>
    <n v="0"/>
    <n v="0"/>
    <n v="0"/>
    <n v="0"/>
    <n v="0"/>
    <n v="0"/>
    <n v="100"/>
    <n v="2.0164289826958134E-7"/>
    <n v="0.99997842796044512"/>
    <b v="0"/>
  </r>
  <r>
    <n v="680"/>
    <m/>
    <x v="18"/>
    <m/>
    <s v="LANGUAGE UNIVERSITY"/>
    <n v="50"/>
    <n v="50"/>
    <n v="0"/>
    <n v="0"/>
    <n v="0"/>
    <n v="0"/>
    <n v="0"/>
    <n v="0"/>
    <n v="100"/>
    <n v="2.0164289826958134E-7"/>
    <n v="0.99997862960334338"/>
    <b v="0"/>
  </r>
  <r>
    <n v="1177"/>
    <m/>
    <x v="18"/>
    <m/>
    <s v="VALERIE  WEST"/>
    <n v="0"/>
    <n v="0"/>
    <n v="100"/>
    <n v="0"/>
    <n v="0"/>
    <n v="0"/>
    <n v="0"/>
    <n v="0"/>
    <n v="100"/>
    <n v="2.0164289826958134E-7"/>
    <n v="0.99997883124624165"/>
    <b v="0"/>
  </r>
  <r>
    <n v="1377"/>
    <m/>
    <x v="18"/>
    <m/>
    <s v="Michael Orhelein"/>
    <n v="0"/>
    <n v="0"/>
    <n v="0"/>
    <n v="100"/>
    <n v="0"/>
    <n v="0"/>
    <n v="0"/>
    <n v="0"/>
    <n v="100"/>
    <n v="2.0164289826958134E-7"/>
    <n v="0.99997903288913992"/>
    <b v="0"/>
  </r>
  <r>
    <n v="1378"/>
    <m/>
    <x v="18"/>
    <m/>
    <s v="SUE HENRY"/>
    <n v="0"/>
    <n v="0"/>
    <n v="0"/>
    <n v="100"/>
    <n v="0"/>
    <n v="0"/>
    <n v="0"/>
    <n v="0"/>
    <n v="100"/>
    <n v="2.0164289826958134E-7"/>
    <n v="0.99997923453203819"/>
    <b v="0"/>
  </r>
  <r>
    <n v="1379"/>
    <m/>
    <x v="18"/>
    <m/>
    <s v="SUE LEMMONS"/>
    <n v="0"/>
    <n v="0"/>
    <n v="0"/>
    <n v="100"/>
    <n v="0"/>
    <n v="0"/>
    <n v="0"/>
    <n v="0"/>
    <n v="100"/>
    <n v="2.0164289826958134E-7"/>
    <n v="0.99997943617493645"/>
    <b v="0"/>
  </r>
  <r>
    <n v="1381"/>
    <m/>
    <x v="18"/>
    <m/>
    <s v="USLA MID-ATLANTIC REGION"/>
    <n v="0"/>
    <n v="0"/>
    <n v="0"/>
    <n v="100"/>
    <n v="0"/>
    <n v="0"/>
    <n v="0"/>
    <n v="0"/>
    <n v="100"/>
    <n v="2.0164289826958134E-7"/>
    <n v="0.99997963781783472"/>
    <b v="0"/>
  </r>
  <r>
    <n v="1382"/>
    <m/>
    <x v="18"/>
    <m/>
    <s v="DEENA GREENWOOD"/>
    <n v="0"/>
    <n v="0"/>
    <n v="0"/>
    <n v="100"/>
    <n v="0"/>
    <n v="0"/>
    <n v="0"/>
    <n v="0"/>
    <n v="100"/>
    <n v="2.0164289826958134E-7"/>
    <n v="0.99997983946073299"/>
    <b v="0"/>
  </r>
  <r>
    <n v="1383"/>
    <m/>
    <x v="18"/>
    <m/>
    <s v="Carolina Tailwinds"/>
    <n v="0"/>
    <n v="0"/>
    <n v="0"/>
    <n v="100"/>
    <n v="0"/>
    <n v="0"/>
    <n v="0"/>
    <n v="0"/>
    <n v="100"/>
    <n v="2.0164289826958134E-7"/>
    <n v="0.99998004110363126"/>
    <b v="0"/>
  </r>
  <r>
    <n v="1384"/>
    <m/>
    <x v="18"/>
    <m/>
    <s v="MICHAEL RIGGIN"/>
    <n v="0"/>
    <n v="0"/>
    <n v="0"/>
    <n v="100"/>
    <n v="0"/>
    <n v="0"/>
    <n v="0"/>
    <n v="0"/>
    <n v="100"/>
    <n v="2.0164289826958134E-7"/>
    <n v="0.99998024274652952"/>
    <b v="0"/>
  </r>
  <r>
    <n v="1385"/>
    <m/>
    <x v="18"/>
    <m/>
    <s v="RON MICHAELS"/>
    <n v="0"/>
    <n v="0"/>
    <n v="0"/>
    <n v="100"/>
    <n v="0"/>
    <n v="0"/>
    <n v="0"/>
    <n v="0"/>
    <n v="100"/>
    <n v="2.0164289826958134E-7"/>
    <n v="0.99998044438942779"/>
    <b v="0"/>
  </r>
  <r>
    <n v="1614"/>
    <m/>
    <x v="18"/>
    <m/>
    <s v="ST. ANNE'S EPISCOPAL SCHOOL"/>
    <n v="0"/>
    <n v="0"/>
    <n v="0"/>
    <n v="0"/>
    <n v="100"/>
    <n v="0"/>
    <n v="0"/>
    <n v="0"/>
    <n v="100"/>
    <n v="2.0164289826958134E-7"/>
    <n v="0.99998064603232606"/>
    <b v="0"/>
  </r>
  <r>
    <n v="1615"/>
    <m/>
    <x v="18"/>
    <m/>
    <s v="JOE HAYS"/>
    <n v="0"/>
    <n v="0"/>
    <n v="0"/>
    <n v="0"/>
    <n v="100"/>
    <n v="0"/>
    <n v="0"/>
    <n v="0"/>
    <n v="100"/>
    <n v="2.0164289826958134E-7"/>
    <n v="0.99998084767522433"/>
    <b v="0"/>
  </r>
  <r>
    <n v="1915"/>
    <m/>
    <x v="18"/>
    <m/>
    <s v="E SHAWN QAISSAUNEE"/>
    <n v="0"/>
    <n v="0"/>
    <n v="0"/>
    <n v="0"/>
    <n v="0"/>
    <n v="100"/>
    <n v="0"/>
    <n v="0"/>
    <n v="100"/>
    <n v="2.0164289826958134E-7"/>
    <n v="0.99998104931812259"/>
    <b v="0"/>
  </r>
  <r>
    <n v="1916"/>
    <m/>
    <x v="18"/>
    <m/>
    <s v="DOWNTOWN DOVER PARTNERSHIP"/>
    <n v="0"/>
    <n v="0"/>
    <n v="0"/>
    <n v="0"/>
    <n v="0"/>
    <n v="100"/>
    <n v="0"/>
    <n v="0"/>
    <n v="100"/>
    <n v="2.0164289826958134E-7"/>
    <n v="0.99998125096102086"/>
    <b v="0"/>
  </r>
  <r>
    <n v="2206"/>
    <m/>
    <x v="18"/>
    <m/>
    <s v="ANGELEE GEROVASILIOU"/>
    <n v="0"/>
    <n v="0"/>
    <n v="0"/>
    <n v="0"/>
    <n v="0"/>
    <n v="0"/>
    <n v="100"/>
    <n v="0"/>
    <n v="100"/>
    <n v="2.0164289826958134E-7"/>
    <n v="0.99998145260391913"/>
    <b v="0"/>
  </r>
  <r>
    <n v="2207"/>
    <m/>
    <x v="18"/>
    <m/>
    <s v="GREENBANK MILL ASSOC"/>
    <n v="0"/>
    <n v="0"/>
    <n v="0"/>
    <n v="0"/>
    <n v="0"/>
    <n v="0"/>
    <n v="100"/>
    <n v="0"/>
    <n v="100"/>
    <n v="2.0164289826958134E-7"/>
    <n v="0.9999816542468174"/>
    <b v="0"/>
  </r>
  <r>
    <n v="2221"/>
    <m/>
    <x v="18"/>
    <m/>
    <s v="ELIZABETH IRENE GREEN"/>
    <n v="0"/>
    <n v="0"/>
    <n v="0"/>
    <n v="0"/>
    <n v="0"/>
    <n v="0"/>
    <n v="60"/>
    <n v="40"/>
    <n v="100"/>
    <n v="2.0164289826958134E-7"/>
    <n v="0.99998185588971567"/>
    <b v="0"/>
  </r>
  <r>
    <n v="2453"/>
    <m/>
    <x v="18"/>
    <m/>
    <s v="DANIEL WHITECOTTON"/>
    <n v="0"/>
    <n v="0"/>
    <n v="0"/>
    <n v="0"/>
    <n v="0"/>
    <n v="0"/>
    <n v="0"/>
    <n v="100"/>
    <n v="100"/>
    <n v="2.0164289826958134E-7"/>
    <n v="0.99998205753261393"/>
    <b v="0"/>
  </r>
  <r>
    <n v="2454"/>
    <m/>
    <x v="18"/>
    <m/>
    <s v="HEATHER AKRIDGE"/>
    <n v="0"/>
    <n v="0"/>
    <n v="0"/>
    <n v="0"/>
    <n v="0"/>
    <n v="0"/>
    <n v="0"/>
    <n v="100"/>
    <n v="100"/>
    <n v="2.0164289826958134E-7"/>
    <n v="0.9999822591755122"/>
    <b v="0"/>
  </r>
  <r>
    <n v="2455"/>
    <m/>
    <x v="18"/>
    <m/>
    <s v="RODNEY BRESSLER"/>
    <n v="0"/>
    <n v="0"/>
    <n v="0"/>
    <n v="0"/>
    <n v="0"/>
    <n v="0"/>
    <n v="0"/>
    <n v="100"/>
    <n v="100"/>
    <n v="2.0164289826958134E-7"/>
    <n v="0.99998246081841047"/>
    <b v="0"/>
  </r>
  <r>
    <n v="2456"/>
    <m/>
    <x v="18"/>
    <m/>
    <s v="TOWN OF CENTREVILLE"/>
    <n v="0"/>
    <n v="0"/>
    <n v="0"/>
    <n v="0"/>
    <n v="0"/>
    <n v="0"/>
    <n v="0"/>
    <n v="100"/>
    <n v="100"/>
    <n v="2.0164289826958134E-7"/>
    <n v="0.99998266246130874"/>
    <b v="0"/>
  </r>
  <r>
    <n v="669"/>
    <m/>
    <x v="18"/>
    <m/>
    <s v="Alissa DeMont"/>
    <n v="99.64"/>
    <n v="0"/>
    <n v="0"/>
    <n v="0"/>
    <n v="0"/>
    <n v="0"/>
    <n v="0"/>
    <n v="0"/>
    <n v="99.64"/>
    <n v="2.0091698383581086E-7"/>
    <n v="0.99998286337829256"/>
    <b v="0"/>
  </r>
  <r>
    <n v="1386"/>
    <m/>
    <x v="18"/>
    <m/>
    <s v="Amanda Love"/>
    <n v="0"/>
    <n v="0"/>
    <n v="0"/>
    <n v="95"/>
    <n v="0"/>
    <n v="0"/>
    <n v="0"/>
    <n v="0"/>
    <n v="95"/>
    <n v="1.9156075335610229E-7"/>
    <n v="0.99998305493904593"/>
    <b v="0"/>
  </r>
  <r>
    <n v="937"/>
    <m/>
    <x v="18"/>
    <m/>
    <s v="CAMDEN AQUARIUM LLC"/>
    <n v="0"/>
    <n v="93.5"/>
    <n v="0"/>
    <n v="0"/>
    <n v="0"/>
    <n v="0"/>
    <n v="0"/>
    <n v="0"/>
    <n v="93.5"/>
    <n v="1.8853610988205857E-7"/>
    <n v="0.99998324347515577"/>
    <b v="0"/>
  </r>
  <r>
    <n v="1178"/>
    <m/>
    <x v="18"/>
    <m/>
    <s v="CHERYL DEERING"/>
    <n v="0"/>
    <n v="0"/>
    <n v="90"/>
    <n v="0"/>
    <n v="0"/>
    <n v="0"/>
    <n v="0"/>
    <n v="0"/>
    <n v="90"/>
    <n v="1.8147860844262322E-7"/>
    <n v="0.99998342495376424"/>
    <b v="0"/>
  </r>
  <r>
    <n v="1617"/>
    <m/>
    <x v="18"/>
    <m/>
    <s v="TAMMY SEVERSON"/>
    <n v="0"/>
    <n v="0"/>
    <n v="0"/>
    <n v="0"/>
    <n v="90"/>
    <n v="0"/>
    <n v="0"/>
    <n v="0"/>
    <n v="90"/>
    <n v="1.8147860844262322E-7"/>
    <n v="0.99998360643237272"/>
    <b v="0"/>
  </r>
  <r>
    <n v="2209"/>
    <m/>
    <x v="18"/>
    <m/>
    <s v="JANET CHARLSEN"/>
    <n v="0"/>
    <n v="0"/>
    <n v="0"/>
    <n v="0"/>
    <n v="0"/>
    <n v="0"/>
    <n v="90"/>
    <n v="0"/>
    <n v="90"/>
    <n v="1.8147860844262322E-7"/>
    <n v="0.99998378791098119"/>
    <b v="0"/>
  </r>
  <r>
    <n v="2223"/>
    <m/>
    <x v="18"/>
    <m/>
    <s v="RED CLAY CONSOL SCH DIST OFC"/>
    <n v="0"/>
    <n v="0"/>
    <n v="0"/>
    <n v="0"/>
    <n v="0"/>
    <n v="0"/>
    <n v="45"/>
    <n v="45"/>
    <n v="90"/>
    <n v="1.8147860844262322E-7"/>
    <n v="0.99998396938958967"/>
    <b v="0"/>
  </r>
  <r>
    <n v="2457"/>
    <m/>
    <x v="18"/>
    <m/>
    <s v="DELAWARE MUSEUM OF NATURAL HISTORY"/>
    <n v="0"/>
    <n v="0"/>
    <n v="0"/>
    <n v="0"/>
    <n v="0"/>
    <n v="0"/>
    <n v="0"/>
    <n v="90"/>
    <n v="90"/>
    <n v="1.8147860844262322E-7"/>
    <n v="0.99998415086819814"/>
    <b v="0"/>
  </r>
  <r>
    <n v="2458"/>
    <m/>
    <x v="18"/>
    <m/>
    <s v="ROBIN CHANDLER"/>
    <n v="0"/>
    <n v="0"/>
    <n v="0"/>
    <n v="0"/>
    <n v="0"/>
    <n v="0"/>
    <n v="0"/>
    <n v="90"/>
    <n v="90"/>
    <n v="1.8147860844262322E-7"/>
    <n v="0.99998433234680661"/>
    <b v="0"/>
  </r>
  <r>
    <n v="1919"/>
    <m/>
    <x v="18"/>
    <m/>
    <s v="THOMAS R SMITH"/>
    <n v="0"/>
    <n v="0"/>
    <n v="0"/>
    <n v="0"/>
    <n v="0"/>
    <n v="88.12"/>
    <n v="0"/>
    <n v="0"/>
    <n v="88.12"/>
    <n v="1.776877219551551E-7"/>
    <n v="0.9999845100345286"/>
    <b v="0"/>
  </r>
  <r>
    <n v="1618"/>
    <m/>
    <x v="18"/>
    <m/>
    <s v="JANEY &amp; JEREMY KRAMLIK"/>
    <n v="0"/>
    <n v="0"/>
    <n v="0"/>
    <n v="0"/>
    <n v="83.5"/>
    <n v="0"/>
    <n v="0"/>
    <n v="0"/>
    <n v="83.5"/>
    <n v="1.6837182005510042E-7"/>
    <n v="0.99998467840634864"/>
    <b v="0"/>
  </r>
  <r>
    <n v="938"/>
    <m/>
    <x v="18"/>
    <m/>
    <s v="DELAWARE ACADEMY OF SCIENCE INC"/>
    <n v="0"/>
    <n v="82"/>
    <n v="0"/>
    <n v="0"/>
    <n v="0"/>
    <n v="0"/>
    <n v="0"/>
    <n v="0"/>
    <n v="82"/>
    <n v="1.653471765810567E-7"/>
    <n v="0.99998484375352525"/>
    <b v="0"/>
  </r>
  <r>
    <n v="2459"/>
    <m/>
    <x v="18"/>
    <m/>
    <s v="PAUL HENNINGER"/>
    <n v="0"/>
    <n v="0"/>
    <n v="0"/>
    <n v="0"/>
    <n v="0"/>
    <n v="0"/>
    <n v="0"/>
    <n v="81.900000000000006"/>
    <n v="81.900000000000006"/>
    <n v="1.6514553368278713E-7"/>
    <n v="0.99998500889905895"/>
    <b v="0"/>
  </r>
  <r>
    <n v="2460"/>
    <m/>
    <x v="18"/>
    <m/>
    <s v="LISA MUELLER"/>
    <n v="0"/>
    <n v="0"/>
    <n v="0"/>
    <n v="0"/>
    <n v="0"/>
    <n v="0"/>
    <n v="0"/>
    <n v="80.39"/>
    <n v="80.39"/>
    <n v="1.6210072591891644E-7"/>
    <n v="0.9999851709997849"/>
    <b v="0"/>
  </r>
  <r>
    <n v="672"/>
    <m/>
    <x v="18"/>
    <m/>
    <s v="VERNON MEGEE"/>
    <n v="80"/>
    <n v="0"/>
    <n v="0"/>
    <n v="0"/>
    <n v="0"/>
    <n v="0"/>
    <n v="0"/>
    <n v="0"/>
    <n v="80"/>
    <n v="1.6131431861566508E-7"/>
    <n v="0.99998533231410347"/>
    <b v="0"/>
  </r>
  <r>
    <n v="673"/>
    <m/>
    <x v="18"/>
    <m/>
    <s v="Kelly Farms"/>
    <n v="80"/>
    <n v="0"/>
    <n v="0"/>
    <n v="0"/>
    <n v="0"/>
    <n v="0"/>
    <n v="0"/>
    <n v="0"/>
    <n v="80"/>
    <n v="1.6131431861566508E-7"/>
    <n v="0.99998549362842204"/>
    <b v="0"/>
  </r>
  <r>
    <n v="1179"/>
    <m/>
    <x v="18"/>
    <m/>
    <s v="Hatboro Troop 3, Brian Dutill"/>
    <n v="0"/>
    <n v="0"/>
    <n v="80"/>
    <n v="0"/>
    <n v="0"/>
    <n v="0"/>
    <n v="0"/>
    <n v="0"/>
    <n v="80"/>
    <n v="1.6131431861566508E-7"/>
    <n v="0.99998565494274061"/>
    <b v="0"/>
  </r>
  <r>
    <n v="1619"/>
    <m/>
    <x v="18"/>
    <m/>
    <s v="Grace Tinley"/>
    <n v="0"/>
    <n v="0"/>
    <n v="0"/>
    <n v="0"/>
    <n v="80"/>
    <n v="0"/>
    <n v="0"/>
    <n v="0"/>
    <n v="80"/>
    <n v="1.6131431861566508E-7"/>
    <n v="0.99998581625705918"/>
    <b v="0"/>
  </r>
  <r>
    <n v="1920"/>
    <m/>
    <x v="18"/>
    <m/>
    <s v="JAYME GRAVELL"/>
    <n v="0"/>
    <n v="0"/>
    <n v="0"/>
    <n v="0"/>
    <n v="0"/>
    <n v="80"/>
    <n v="0"/>
    <n v="0"/>
    <n v="80"/>
    <n v="1.6131431861566508E-7"/>
    <n v="0.99998597757137775"/>
    <b v="0"/>
  </r>
  <r>
    <n v="2211"/>
    <m/>
    <x v="18"/>
    <m/>
    <s v="ALEXANDER J FORVEY"/>
    <n v="0"/>
    <n v="0"/>
    <n v="0"/>
    <n v="0"/>
    <n v="0"/>
    <n v="0"/>
    <n v="80"/>
    <n v="0"/>
    <n v="80"/>
    <n v="1.6131431861566508E-7"/>
    <n v="0.99998613888569632"/>
    <b v="0"/>
  </r>
  <r>
    <n v="674"/>
    <m/>
    <x v="18"/>
    <m/>
    <s v="Austin Cooper"/>
    <n v="79"/>
    <n v="0"/>
    <n v="0"/>
    <n v="0"/>
    <n v="0"/>
    <n v="0"/>
    <n v="0"/>
    <n v="0"/>
    <n v="79"/>
    <n v="1.5929788963296927E-7"/>
    <n v="0.99998629818358598"/>
    <b v="0"/>
  </r>
  <r>
    <n v="1620"/>
    <m/>
    <x v="18"/>
    <m/>
    <s v="SARAH PALMER"/>
    <n v="0"/>
    <n v="0"/>
    <n v="0"/>
    <n v="0"/>
    <n v="79"/>
    <n v="0"/>
    <n v="0"/>
    <n v="0"/>
    <n v="79"/>
    <n v="1.5929788963296927E-7"/>
    <n v="0.99998645748147563"/>
    <b v="0"/>
  </r>
  <r>
    <n v="939"/>
    <m/>
    <x v="18"/>
    <m/>
    <s v="DEIDRE FOSTER"/>
    <n v="0"/>
    <n v="78.14"/>
    <n v="0"/>
    <n v="0"/>
    <n v="0"/>
    <n v="0"/>
    <n v="0"/>
    <n v="0"/>
    <n v="78.14"/>
    <n v="1.5756376070785087E-7"/>
    <n v="0.99998661504523634"/>
    <b v="0"/>
  </r>
  <r>
    <n v="1622"/>
    <m/>
    <x v="18"/>
    <m/>
    <s v="JENNETTE &amp; SEAN FIRLEIN"/>
    <n v="0"/>
    <n v="0"/>
    <n v="0"/>
    <n v="0"/>
    <n v="77"/>
    <n v="0"/>
    <n v="0"/>
    <n v="0"/>
    <n v="77"/>
    <n v="1.5526503166757765E-7"/>
    <n v="0.99998677031026806"/>
    <b v="0"/>
  </r>
  <r>
    <n v="2461"/>
    <m/>
    <x v="18"/>
    <m/>
    <s v="SHORE FINANCE LLC"/>
    <n v="0"/>
    <n v="0"/>
    <n v="0"/>
    <n v="0"/>
    <n v="0"/>
    <n v="0"/>
    <n v="0"/>
    <n v="76.64"/>
    <n v="76.64"/>
    <n v="1.5453911723380715E-7"/>
    <n v="0.99998692484938534"/>
    <b v="0"/>
  </r>
  <r>
    <n v="2462"/>
    <m/>
    <x v="18"/>
    <m/>
    <s v="CORINNE LITZENBERG"/>
    <n v="0"/>
    <n v="0"/>
    <n v="0"/>
    <n v="0"/>
    <n v="0"/>
    <n v="0"/>
    <n v="0"/>
    <n v="75.540000000000006"/>
    <n v="75.540000000000006"/>
    <n v="1.5232104535284177E-7"/>
    <n v="0.99998707717043067"/>
    <b v="0"/>
  </r>
  <r>
    <n v="1623"/>
    <m/>
    <x v="18"/>
    <m/>
    <s v="NIC DECAIRE"/>
    <n v="0"/>
    <n v="0"/>
    <n v="0"/>
    <n v="0"/>
    <n v="75"/>
    <n v="0"/>
    <n v="0"/>
    <n v="0"/>
    <n v="75"/>
    <n v="1.51232173702186E-7"/>
    <n v="0.99998722840260434"/>
    <b v="0"/>
  </r>
  <r>
    <n v="2212"/>
    <m/>
    <x v="18"/>
    <m/>
    <s v="LARRY QUILLEN"/>
    <n v="0"/>
    <n v="0"/>
    <n v="0"/>
    <n v="0"/>
    <n v="0"/>
    <n v="0"/>
    <n v="75"/>
    <n v="0"/>
    <n v="75"/>
    <n v="1.51232173702186E-7"/>
    <n v="0.99998737963477802"/>
    <b v="0"/>
  </r>
  <r>
    <n v="2213"/>
    <m/>
    <x v="18"/>
    <m/>
    <s v="LEISL STACY"/>
    <n v="0"/>
    <n v="0"/>
    <n v="0"/>
    <n v="0"/>
    <n v="0"/>
    <n v="0"/>
    <n v="75"/>
    <n v="0"/>
    <n v="75"/>
    <n v="1.51232173702186E-7"/>
    <n v="0.99998753086695169"/>
    <b v="0"/>
  </r>
  <r>
    <n v="2214"/>
    <m/>
    <x v="18"/>
    <m/>
    <s v="ELIZABETH SCOTT"/>
    <n v="0"/>
    <n v="0"/>
    <n v="0"/>
    <n v="0"/>
    <n v="0"/>
    <n v="0"/>
    <n v="75"/>
    <n v="0"/>
    <n v="75"/>
    <n v="1.51232173702186E-7"/>
    <n v="0.99998768209912536"/>
    <b v="0"/>
  </r>
  <r>
    <n v="2215"/>
    <m/>
    <x v="18"/>
    <m/>
    <s v="RANDALL BURRIDGE"/>
    <n v="0"/>
    <n v="0"/>
    <n v="0"/>
    <n v="0"/>
    <n v="0"/>
    <n v="0"/>
    <n v="75"/>
    <n v="0"/>
    <n v="75"/>
    <n v="1.51232173702186E-7"/>
    <n v="0.99998783333129904"/>
    <b v="0"/>
  </r>
  <r>
    <n v="2216"/>
    <m/>
    <x v="18"/>
    <m/>
    <s v="BEV HARRINGTON"/>
    <n v="0"/>
    <n v="0"/>
    <n v="0"/>
    <n v="0"/>
    <n v="0"/>
    <n v="0"/>
    <n v="75"/>
    <n v="0"/>
    <n v="75"/>
    <n v="1.51232173702186E-7"/>
    <n v="0.99998798456347271"/>
    <b v="0"/>
  </r>
  <r>
    <n v="2217"/>
    <m/>
    <x v="18"/>
    <m/>
    <s v="BOB BOHANNON"/>
    <n v="0"/>
    <n v="0"/>
    <n v="0"/>
    <n v="0"/>
    <n v="0"/>
    <n v="0"/>
    <n v="75"/>
    <n v="0"/>
    <n v="75"/>
    <n v="1.51232173702186E-7"/>
    <n v="0.99998813579564638"/>
    <b v="0"/>
  </r>
  <r>
    <n v="2463"/>
    <m/>
    <x v="18"/>
    <m/>
    <s v="URBAN BIKE PROJECT OF WILMINGTON"/>
    <n v="0"/>
    <n v="0"/>
    <n v="0"/>
    <n v="0"/>
    <n v="0"/>
    <n v="0"/>
    <n v="0"/>
    <n v="75"/>
    <n v="75"/>
    <n v="1.51232173702186E-7"/>
    <n v="0.99998828702782006"/>
    <b v="0"/>
  </r>
  <r>
    <n v="1923"/>
    <m/>
    <x v="18"/>
    <m/>
    <s v="CAMPUS COMMUNITY SCHOOL"/>
    <n v="0"/>
    <n v="0"/>
    <n v="0"/>
    <n v="0"/>
    <n v="0"/>
    <n v="73.849999999999994"/>
    <n v="0"/>
    <n v="0"/>
    <n v="73.849999999999994"/>
    <n v="1.4891328037208581E-7"/>
    <n v="0.99998843594110043"/>
    <b v="0"/>
  </r>
  <r>
    <n v="1387"/>
    <m/>
    <x v="18"/>
    <m/>
    <s v="PASCO HOLDINGS LLC"/>
    <n v="0"/>
    <n v="0"/>
    <n v="0"/>
    <n v="73.53"/>
    <n v="0"/>
    <n v="0"/>
    <n v="0"/>
    <n v="0"/>
    <n v="73.53"/>
    <n v="1.4826802309762316E-7"/>
    <n v="0.99998858420912351"/>
    <b v="0"/>
  </r>
  <r>
    <n v="1624"/>
    <m/>
    <x v="18"/>
    <m/>
    <s v="HEATHER BARRETT"/>
    <n v="0"/>
    <n v="0"/>
    <n v="0"/>
    <n v="0"/>
    <n v="72"/>
    <n v="0"/>
    <n v="0"/>
    <n v="0"/>
    <n v="72"/>
    <n v="1.4518288675409858E-7"/>
    <n v="0.99998872939201022"/>
    <b v="0"/>
  </r>
  <r>
    <n v="1924"/>
    <m/>
    <x v="18"/>
    <m/>
    <s v="ANDREA MANGUM"/>
    <n v="0"/>
    <n v="0"/>
    <n v="0"/>
    <n v="0"/>
    <n v="0"/>
    <n v="72"/>
    <n v="0"/>
    <n v="0"/>
    <n v="72"/>
    <n v="1.4518288675409858E-7"/>
    <n v="0.99998887457489694"/>
    <b v="0"/>
  </r>
  <r>
    <n v="1181"/>
    <m/>
    <x v="18"/>
    <m/>
    <s v="EMILY MATHEWS"/>
    <n v="0"/>
    <n v="0"/>
    <n v="70.010000000000005"/>
    <n v="0"/>
    <n v="0"/>
    <n v="0"/>
    <n v="0"/>
    <n v="0"/>
    <n v="70.010000000000005"/>
    <n v="1.411701930785339E-7"/>
    <n v="0.99998901574509003"/>
    <b v="0"/>
  </r>
  <r>
    <n v="676"/>
    <m/>
    <x v="18"/>
    <m/>
    <s v="JOHN BORKOWSKI"/>
    <n v="70"/>
    <n v="0"/>
    <n v="0"/>
    <n v="0"/>
    <n v="0"/>
    <n v="0"/>
    <n v="0"/>
    <n v="0"/>
    <n v="70"/>
    <n v="1.4115002878870693E-7"/>
    <n v="0.9999891568951188"/>
    <b v="0"/>
  </r>
  <r>
    <n v="2464"/>
    <m/>
    <x v="18"/>
    <m/>
    <s v="STEWART GAHAGAN"/>
    <n v="0"/>
    <n v="0"/>
    <n v="0"/>
    <n v="0"/>
    <n v="0"/>
    <n v="0"/>
    <n v="0"/>
    <n v="70"/>
    <n v="70"/>
    <n v="1.4115002878870693E-7"/>
    <n v="0.99998929804514758"/>
    <b v="0"/>
  </r>
  <r>
    <n v="2465"/>
    <m/>
    <x v="18"/>
    <m/>
    <s v="CHARLES REEVES"/>
    <n v="0"/>
    <n v="0"/>
    <n v="0"/>
    <n v="0"/>
    <n v="0"/>
    <n v="0"/>
    <n v="0"/>
    <n v="70"/>
    <n v="70"/>
    <n v="1.4115002878870693E-7"/>
    <n v="0.99998943919517636"/>
    <b v="0"/>
  </r>
  <r>
    <n v="2466"/>
    <m/>
    <x v="18"/>
    <m/>
    <s v="ROBERT GIBBS"/>
    <n v="0"/>
    <n v="0"/>
    <n v="0"/>
    <n v="0"/>
    <n v="0"/>
    <n v="0"/>
    <n v="0"/>
    <n v="70"/>
    <n v="70"/>
    <n v="1.4115002878870693E-7"/>
    <n v="0.99998958034520513"/>
    <b v="0"/>
  </r>
  <r>
    <n v="2467"/>
    <m/>
    <x v="18"/>
    <m/>
    <s v="THOMAS McCORMICK"/>
    <n v="0"/>
    <n v="0"/>
    <n v="0"/>
    <n v="0"/>
    <n v="0"/>
    <n v="0"/>
    <n v="0"/>
    <n v="70"/>
    <n v="70"/>
    <n v="1.4115002878870693E-7"/>
    <n v="0.99998972149523391"/>
    <b v="0"/>
  </r>
  <r>
    <n v="1625"/>
    <m/>
    <x v="18"/>
    <m/>
    <s v="BEEBE MEDICAL CENTER INC"/>
    <n v="0"/>
    <n v="0"/>
    <n v="0"/>
    <n v="0"/>
    <n v="69"/>
    <n v="0"/>
    <n v="0"/>
    <n v="0"/>
    <n v="69"/>
    <n v="1.3913359980601112E-7"/>
    <n v="0.99998986062883366"/>
    <b v="0"/>
  </r>
  <r>
    <n v="2218"/>
    <m/>
    <x v="18"/>
    <m/>
    <s v="RAY MEGONIGAL"/>
    <n v="0"/>
    <n v="0"/>
    <n v="0"/>
    <n v="0"/>
    <n v="0"/>
    <n v="0"/>
    <n v="65"/>
    <n v="0"/>
    <n v="65"/>
    <n v="1.3106788387522789E-7"/>
    <n v="0.99998999169671754"/>
    <b v="0"/>
  </r>
  <r>
    <n v="2468"/>
    <m/>
    <x v="18"/>
    <m/>
    <s v="W G MALDEN INC"/>
    <n v="0"/>
    <n v="0"/>
    <n v="0"/>
    <n v="0"/>
    <n v="0"/>
    <n v="0"/>
    <n v="0"/>
    <n v="65"/>
    <n v="65"/>
    <n v="1.3106788387522789E-7"/>
    <n v="0.99999012276460142"/>
    <b v="0"/>
  </r>
  <r>
    <n v="2220"/>
    <m/>
    <x v="18"/>
    <m/>
    <s v="CYNTHIA TODD"/>
    <n v="0"/>
    <n v="0"/>
    <n v="0"/>
    <n v="0"/>
    <n v="0"/>
    <n v="0"/>
    <n v="64.23"/>
    <n v="0"/>
    <n v="64.23"/>
    <n v="1.2951523355855211E-7"/>
    <n v="0.99999025227983496"/>
    <b v="0"/>
  </r>
  <r>
    <n v="677"/>
    <m/>
    <x v="18"/>
    <m/>
    <s v="Debra Brian"/>
    <n v="64"/>
    <n v="0"/>
    <n v="0"/>
    <n v="0"/>
    <n v="0"/>
    <n v="0"/>
    <n v="0"/>
    <n v="0"/>
    <n v="64"/>
    <n v="1.2905145489253205E-7"/>
    <n v="0.99999038133128981"/>
    <b v="0"/>
  </r>
  <r>
    <n v="941"/>
    <m/>
    <x v="18"/>
    <m/>
    <s v="Jeffrey Mirto"/>
    <n v="0"/>
    <n v="64"/>
    <n v="0"/>
    <n v="0"/>
    <n v="0"/>
    <n v="0"/>
    <n v="0"/>
    <n v="0"/>
    <n v="64"/>
    <n v="1.2905145489253205E-7"/>
    <n v="0.99999051038274467"/>
    <b v="0"/>
  </r>
  <r>
    <n v="1626"/>
    <m/>
    <x v="18"/>
    <m/>
    <s v="KATHRYN KADLUBAR"/>
    <n v="0"/>
    <n v="0"/>
    <n v="0"/>
    <n v="0"/>
    <n v="63.67"/>
    <n v="0"/>
    <n v="0"/>
    <n v="0"/>
    <n v="63.67"/>
    <n v="1.2838603332824246E-7"/>
    <n v="0.99999063876877803"/>
    <b v="0"/>
  </r>
  <r>
    <n v="1182"/>
    <m/>
    <x v="18"/>
    <m/>
    <s v="LISA WATT"/>
    <n v="0"/>
    <n v="0"/>
    <n v="62.99"/>
    <n v="0"/>
    <n v="0"/>
    <n v="0"/>
    <n v="0"/>
    <n v="0"/>
    <n v="62.99"/>
    <n v="1.270148616200093E-7"/>
    <n v="0.99999076578363966"/>
    <b v="0"/>
  </r>
  <r>
    <n v="942"/>
    <m/>
    <x v="18"/>
    <m/>
    <s v="FUSION RACING LLC"/>
    <n v="0"/>
    <n v="62.63"/>
    <n v="0"/>
    <n v="0"/>
    <n v="0"/>
    <n v="0"/>
    <n v="0"/>
    <n v="0"/>
    <n v="62.63"/>
    <n v="1.2628894718623879E-7"/>
    <n v="0.99999089207258685"/>
    <b v="0"/>
  </r>
  <r>
    <n v="1927"/>
    <m/>
    <x v="18"/>
    <m/>
    <s v="MTM RECOGNITION"/>
    <n v="0"/>
    <n v="0"/>
    <n v="0"/>
    <n v="0"/>
    <n v="0"/>
    <n v="60.99"/>
    <n v="0"/>
    <n v="0"/>
    <n v="60.99"/>
    <n v="1.2298200365461768E-7"/>
    <n v="0.99999101505459054"/>
    <b v="0"/>
  </r>
  <r>
    <n v="944"/>
    <m/>
    <x v="18"/>
    <m/>
    <s v="Samwel Mochama"/>
    <n v="0"/>
    <n v="60"/>
    <n v="0"/>
    <n v="0"/>
    <n v="0"/>
    <n v="0"/>
    <n v="0"/>
    <n v="0"/>
    <n v="60"/>
    <n v="1.2098573896174881E-7"/>
    <n v="0.99999113604032952"/>
    <b v="0"/>
  </r>
  <r>
    <n v="1183"/>
    <m/>
    <x v="18"/>
    <m/>
    <s v="GABRIELLE SMITH"/>
    <n v="0"/>
    <n v="0"/>
    <n v="60"/>
    <n v="0"/>
    <n v="0"/>
    <n v="0"/>
    <n v="0"/>
    <n v="0"/>
    <n v="60"/>
    <n v="1.2098573896174881E-7"/>
    <n v="0.9999912570260685"/>
    <b v="0"/>
  </r>
  <r>
    <n v="1389"/>
    <m/>
    <x v="18"/>
    <m/>
    <s v="BARBARA EDMONSON"/>
    <n v="0"/>
    <n v="0"/>
    <n v="0"/>
    <n v="60"/>
    <n v="0"/>
    <n v="0"/>
    <n v="0"/>
    <n v="0"/>
    <n v="60"/>
    <n v="1.2098573896174881E-7"/>
    <n v="0.99999137801180749"/>
    <b v="0"/>
  </r>
  <r>
    <n v="1928"/>
    <m/>
    <x v="18"/>
    <m/>
    <s v="ROBENIA BOLLING"/>
    <n v="0"/>
    <n v="0"/>
    <n v="0"/>
    <n v="0"/>
    <n v="0"/>
    <n v="60"/>
    <n v="0"/>
    <n v="0"/>
    <n v="60"/>
    <n v="1.2098573896174881E-7"/>
    <n v="0.99999149899754647"/>
    <b v="0"/>
  </r>
  <r>
    <n v="2469"/>
    <m/>
    <x v="18"/>
    <m/>
    <s v="LAKE FOREST SCHOOL DIST OFC"/>
    <n v="0"/>
    <n v="0"/>
    <n v="0"/>
    <n v="0"/>
    <n v="0"/>
    <n v="0"/>
    <n v="0"/>
    <n v="60"/>
    <n v="60"/>
    <n v="1.2098573896174881E-7"/>
    <n v="0.99999161998328545"/>
    <b v="0"/>
  </r>
  <r>
    <n v="2470"/>
    <m/>
    <x v="18"/>
    <m/>
    <s v="ST LOUIS ZOOLOGICAL PARK"/>
    <n v="0"/>
    <n v="0"/>
    <n v="0"/>
    <n v="0"/>
    <n v="0"/>
    <n v="0"/>
    <n v="0"/>
    <n v="60"/>
    <n v="60"/>
    <n v="1.2098573896174881E-7"/>
    <n v="0.99999174096902443"/>
    <b v="0"/>
  </r>
  <r>
    <n v="1929"/>
    <m/>
    <x v="18"/>
    <m/>
    <s v="DANA BOULDEN"/>
    <n v="0"/>
    <n v="0"/>
    <n v="0"/>
    <n v="0"/>
    <n v="0"/>
    <n v="59.5"/>
    <n v="0"/>
    <n v="0"/>
    <n v="59.5"/>
    <n v="1.199775244704009E-7"/>
    <n v="0.9999918609465489"/>
    <b v="0"/>
  </r>
  <r>
    <n v="1390"/>
    <m/>
    <x v="18"/>
    <m/>
    <s v="GARY MACY"/>
    <n v="0"/>
    <n v="0"/>
    <n v="0"/>
    <n v="58.94"/>
    <n v="0"/>
    <n v="0"/>
    <n v="0"/>
    <n v="0"/>
    <n v="58.94"/>
    <n v="1.1884832424009124E-7"/>
    <n v="0.9999919797948732"/>
    <b v="0"/>
  </r>
  <r>
    <n v="678"/>
    <m/>
    <x v="18"/>
    <m/>
    <s v="CONCENTRA HEALTH SERVICES INC"/>
    <n v="56"/>
    <n v="0"/>
    <n v="0"/>
    <n v="0"/>
    <n v="0"/>
    <n v="0"/>
    <n v="0"/>
    <n v="0"/>
    <n v="56"/>
    <n v="1.1292002303096555E-7"/>
    <n v="0.9999920927148962"/>
    <b v="0"/>
  </r>
  <r>
    <n v="945"/>
    <m/>
    <x v="18"/>
    <m/>
    <s v="CHRIS KELLER"/>
    <n v="0"/>
    <n v="54.66"/>
    <n v="0"/>
    <n v="0"/>
    <n v="0"/>
    <n v="0"/>
    <n v="0"/>
    <n v="0"/>
    <n v="54.66"/>
    <n v="1.1021800819415316E-7"/>
    <n v="0.99999220293290436"/>
    <b v="0"/>
  </r>
  <r>
    <n v="1627"/>
    <m/>
    <x v="18"/>
    <m/>
    <s v="Nicholas Madden"/>
    <n v="0"/>
    <n v="0"/>
    <n v="0"/>
    <n v="0"/>
    <n v="54.44"/>
    <n v="0"/>
    <n v="0"/>
    <n v="0"/>
    <n v="54.44"/>
    <n v="1.0977439381796009E-7"/>
    <n v="0.99999231270729816"/>
    <b v="0"/>
  </r>
  <r>
    <n v="2234"/>
    <m/>
    <x v="18"/>
    <m/>
    <s v="JUSTYN FOTH"/>
    <n v="0"/>
    <n v="0"/>
    <n v="0"/>
    <n v="0"/>
    <n v="0"/>
    <n v="0"/>
    <n v="18.989999999999998"/>
    <n v="34.99"/>
    <n v="53.980000000000004"/>
    <n v="1.0884683648592002E-7"/>
    <n v="0.99999242155413459"/>
    <b v="0"/>
  </r>
  <r>
    <n v="679"/>
    <m/>
    <x v="18"/>
    <m/>
    <s v="Michael Home"/>
    <n v="52.5"/>
    <n v="0"/>
    <n v="0"/>
    <n v="0"/>
    <n v="0"/>
    <n v="0"/>
    <n v="0"/>
    <n v="0"/>
    <n v="52.5"/>
    <n v="1.0586252159153021E-7"/>
    <n v="0.99999252741665623"/>
    <b v="0"/>
  </r>
  <r>
    <n v="946"/>
    <m/>
    <x v="18"/>
    <m/>
    <s v="Mary Hopkins"/>
    <n v="0"/>
    <n v="52"/>
    <n v="0"/>
    <n v="0"/>
    <n v="0"/>
    <n v="0"/>
    <n v="0"/>
    <n v="0"/>
    <n v="52"/>
    <n v="1.048543071001823E-7"/>
    <n v="0.99999263227096336"/>
    <b v="0"/>
  </r>
  <r>
    <n v="1391"/>
    <m/>
    <x v="18"/>
    <m/>
    <s v="BENJAMIN WOODARD"/>
    <n v="0"/>
    <n v="0"/>
    <n v="0"/>
    <n v="50.84"/>
    <n v="0"/>
    <n v="0"/>
    <n v="0"/>
    <n v="0"/>
    <n v="50.84"/>
    <n v="1.0251524948025517E-7"/>
    <n v="0.99999273478621287"/>
    <b v="0"/>
  </r>
  <r>
    <n v="1185"/>
    <m/>
    <x v="18"/>
    <m/>
    <s v="DELAWARE MUSEUM ASSOCIATION"/>
    <n v="0"/>
    <n v="0"/>
    <n v="50"/>
    <n v="0"/>
    <n v="0"/>
    <n v="0"/>
    <n v="0"/>
    <n v="0"/>
    <n v="50"/>
    <n v="1.0082144913479067E-7"/>
    <n v="0.99999283560766206"/>
    <b v="0"/>
  </r>
  <r>
    <n v="1930"/>
    <m/>
    <x v="18"/>
    <m/>
    <s v="CHRISTIE BONNIWELL"/>
    <n v="0"/>
    <n v="0"/>
    <n v="0"/>
    <n v="0"/>
    <n v="0"/>
    <n v="50"/>
    <n v="0"/>
    <n v="0"/>
    <n v="50"/>
    <n v="1.0082144913479067E-7"/>
    <n v="0.99999293642911125"/>
    <b v="0"/>
  </r>
  <r>
    <n v="2222"/>
    <m/>
    <x v="18"/>
    <m/>
    <s v="ERIC WENRICH"/>
    <n v="0"/>
    <n v="0"/>
    <n v="0"/>
    <n v="0"/>
    <n v="0"/>
    <n v="0"/>
    <n v="50"/>
    <n v="0"/>
    <n v="50"/>
    <n v="1.0082144913479067E-7"/>
    <n v="0.99999303725056043"/>
    <b v="0"/>
  </r>
  <r>
    <n v="2471"/>
    <m/>
    <x v="18"/>
    <m/>
    <s v="SUSAN BARTON"/>
    <n v="0"/>
    <n v="0"/>
    <n v="0"/>
    <n v="0"/>
    <n v="0"/>
    <n v="0"/>
    <n v="0"/>
    <n v="50"/>
    <n v="50"/>
    <n v="1.0082144913479067E-7"/>
    <n v="0.99999313807200962"/>
    <b v="0"/>
  </r>
  <r>
    <n v="2472"/>
    <m/>
    <x v="18"/>
    <m/>
    <s v="JIM HUNT"/>
    <n v="0"/>
    <n v="0"/>
    <n v="0"/>
    <n v="0"/>
    <n v="0"/>
    <n v="0"/>
    <n v="0"/>
    <n v="50"/>
    <n v="50"/>
    <n v="1.0082144913479067E-7"/>
    <n v="0.99999323889345881"/>
    <b v="0"/>
  </r>
  <r>
    <n v="2473"/>
    <m/>
    <x v="18"/>
    <m/>
    <s v="STEPHANIE MORRISON"/>
    <n v="0"/>
    <n v="0"/>
    <n v="0"/>
    <n v="0"/>
    <n v="0"/>
    <n v="0"/>
    <n v="0"/>
    <n v="50"/>
    <n v="50"/>
    <n v="1.0082144913479067E-7"/>
    <n v="0.999993339714908"/>
    <b v="0"/>
  </r>
  <r>
    <n v="947"/>
    <m/>
    <x v="18"/>
    <m/>
    <s v="Mariangela Fontanez"/>
    <n v="0"/>
    <n v="49"/>
    <n v="0"/>
    <n v="0"/>
    <n v="0"/>
    <n v="0"/>
    <n v="0"/>
    <n v="0"/>
    <n v="49"/>
    <n v="9.8805020152094861E-8"/>
    <n v="0.99999343851992817"/>
    <b v="0"/>
  </r>
  <r>
    <n v="1628"/>
    <m/>
    <x v="18"/>
    <m/>
    <s v="J &amp; A GRINDING INC"/>
    <n v="0"/>
    <n v="0"/>
    <n v="0"/>
    <n v="0"/>
    <n v="44"/>
    <n v="0"/>
    <n v="0"/>
    <n v="0"/>
    <n v="44"/>
    <n v="8.8722875238615788E-8"/>
    <n v="0.99999352724280344"/>
    <b v="0"/>
  </r>
  <r>
    <n v="1932"/>
    <m/>
    <x v="18"/>
    <m/>
    <s v="COURTNEY FIRTH"/>
    <n v="0"/>
    <n v="0"/>
    <n v="0"/>
    <n v="0"/>
    <n v="0"/>
    <n v="44"/>
    <n v="0"/>
    <n v="0"/>
    <n v="44"/>
    <n v="8.8722875238615788E-8"/>
    <n v="0.99999361596567871"/>
    <b v="0"/>
  </r>
  <r>
    <n v="2474"/>
    <m/>
    <x v="18"/>
    <m/>
    <s v="EILEEN BUTLER"/>
    <n v="0"/>
    <n v="0"/>
    <n v="0"/>
    <n v="0"/>
    <n v="0"/>
    <n v="0"/>
    <n v="0"/>
    <n v="43.66"/>
    <n v="43.66"/>
    <n v="8.803728938449921E-8"/>
    <n v="0.99999370400296805"/>
    <b v="0"/>
  </r>
  <r>
    <n v="2475"/>
    <m/>
    <x v="18"/>
    <m/>
    <s v="CALICO INDUSTRIAL SUPPLY LLC"/>
    <n v="0"/>
    <n v="0"/>
    <n v="0"/>
    <n v="0"/>
    <n v="0"/>
    <n v="0"/>
    <n v="0"/>
    <n v="43.56"/>
    <n v="43.56"/>
    <n v="8.7835646486229634E-8"/>
    <n v="0.99999379183861459"/>
    <b v="0"/>
  </r>
  <r>
    <n v="1186"/>
    <m/>
    <x v="18"/>
    <m/>
    <s v="FEDEX"/>
    <n v="0"/>
    <n v="0"/>
    <n v="43.23"/>
    <n v="0"/>
    <n v="0"/>
    <n v="0"/>
    <n v="0"/>
    <n v="0"/>
    <n v="43.23"/>
    <n v="8.7170224921940012E-8"/>
    <n v="0.99999387900883951"/>
    <b v="0"/>
  </r>
  <r>
    <n v="1933"/>
    <m/>
    <x v="18"/>
    <m/>
    <s v="ELLIOTT DELANE JR"/>
    <n v="0"/>
    <n v="0"/>
    <n v="0"/>
    <n v="0"/>
    <n v="0"/>
    <n v="42.5"/>
    <n v="0"/>
    <n v="0"/>
    <n v="42.5"/>
    <n v="8.5698231764572075E-8"/>
    <n v="0.99999396470707125"/>
    <b v="0"/>
  </r>
  <r>
    <n v="1934"/>
    <m/>
    <x v="18"/>
    <m/>
    <s v="JOSE SANTIAGO"/>
    <n v="0"/>
    <n v="0"/>
    <n v="0"/>
    <n v="0"/>
    <n v="0"/>
    <n v="42.5"/>
    <n v="0"/>
    <n v="0"/>
    <n v="42.5"/>
    <n v="8.5698231764572075E-8"/>
    <n v="0.99999405040530298"/>
    <b v="0"/>
  </r>
  <r>
    <n v="948"/>
    <m/>
    <x v="18"/>
    <m/>
    <s v="Kara Locktish"/>
    <n v="0"/>
    <n v="42"/>
    <n v="0"/>
    <n v="0"/>
    <n v="0"/>
    <n v="0"/>
    <n v="0"/>
    <n v="0"/>
    <n v="42"/>
    <n v="8.469001727322417E-8"/>
    <n v="0.9999941350953202"/>
    <b v="0"/>
  </r>
  <r>
    <n v="1392"/>
    <m/>
    <x v="18"/>
    <m/>
    <s v="ERCO CEILINGS INC"/>
    <n v="0"/>
    <n v="0"/>
    <n v="0"/>
    <n v="40"/>
    <n v="0"/>
    <n v="0"/>
    <n v="0"/>
    <n v="0"/>
    <n v="40"/>
    <n v="8.0657159307832539E-8"/>
    <n v="0.99999421575247949"/>
    <b v="0"/>
  </r>
  <r>
    <n v="1629"/>
    <m/>
    <x v="18"/>
    <m/>
    <s v="MIKE ARNDT"/>
    <n v="0"/>
    <n v="0"/>
    <n v="0"/>
    <n v="0"/>
    <n v="40"/>
    <n v="0"/>
    <n v="0"/>
    <n v="0"/>
    <n v="40"/>
    <n v="8.0657159307832539E-8"/>
    <n v="0.99999429640963877"/>
    <b v="0"/>
  </r>
  <r>
    <n v="1630"/>
    <m/>
    <x v="18"/>
    <m/>
    <s v="ANDREW JONES"/>
    <n v="0"/>
    <n v="0"/>
    <n v="0"/>
    <n v="0"/>
    <n v="40"/>
    <n v="0"/>
    <n v="0"/>
    <n v="0"/>
    <n v="40"/>
    <n v="8.0657159307832539E-8"/>
    <n v="0.99999437706679806"/>
    <b v="0"/>
  </r>
  <r>
    <n v="1631"/>
    <m/>
    <x v="18"/>
    <m/>
    <s v="MICHAEL HENRY"/>
    <n v="0"/>
    <n v="0"/>
    <n v="0"/>
    <n v="0"/>
    <n v="40"/>
    <n v="0"/>
    <n v="0"/>
    <n v="0"/>
    <n v="40"/>
    <n v="8.0657159307832539E-8"/>
    <n v="0.99999445772395734"/>
    <b v="0"/>
  </r>
  <r>
    <n v="1632"/>
    <m/>
    <x v="18"/>
    <m/>
    <s v="HEATHER HIGGINS"/>
    <n v="0"/>
    <n v="0"/>
    <n v="0"/>
    <n v="0"/>
    <n v="40"/>
    <n v="0"/>
    <n v="0"/>
    <n v="0"/>
    <n v="40"/>
    <n v="8.0657159307832539E-8"/>
    <n v="0.99999453838111663"/>
    <b v="0"/>
  </r>
  <r>
    <n v="1633"/>
    <m/>
    <x v="18"/>
    <m/>
    <s v="Laura Parks"/>
    <n v="0"/>
    <n v="0"/>
    <n v="0"/>
    <n v="0"/>
    <n v="40"/>
    <n v="0"/>
    <n v="0"/>
    <n v="0"/>
    <n v="40"/>
    <n v="8.0657159307832539E-8"/>
    <n v="0.99999461903827591"/>
    <b v="0"/>
  </r>
  <r>
    <n v="1634"/>
    <m/>
    <x v="18"/>
    <m/>
    <s v="Marilyn Brown"/>
    <n v="0"/>
    <n v="0"/>
    <n v="0"/>
    <n v="0"/>
    <n v="40"/>
    <n v="0"/>
    <n v="0"/>
    <n v="0"/>
    <n v="40"/>
    <n v="8.0657159307832539E-8"/>
    <n v="0.9999946996954352"/>
    <b v="0"/>
  </r>
  <r>
    <n v="1635"/>
    <m/>
    <x v="18"/>
    <m/>
    <s v="BSA TROOP 828 C/O CHERYL TOUNG"/>
    <n v="0"/>
    <n v="0"/>
    <n v="0"/>
    <n v="0"/>
    <n v="40"/>
    <n v="0"/>
    <n v="0"/>
    <n v="0"/>
    <n v="40"/>
    <n v="8.0657159307832539E-8"/>
    <n v="0.99999478035259448"/>
    <b v="0"/>
  </r>
  <r>
    <n v="1636"/>
    <m/>
    <x v="18"/>
    <m/>
    <s v="John Barczak"/>
    <n v="0"/>
    <n v="0"/>
    <n v="0"/>
    <n v="0"/>
    <n v="40"/>
    <n v="0"/>
    <n v="0"/>
    <n v="0"/>
    <n v="40"/>
    <n v="8.0657159307832539E-8"/>
    <n v="0.99999486100975377"/>
    <b v="0"/>
  </r>
  <r>
    <n v="1637"/>
    <m/>
    <x v="18"/>
    <m/>
    <s v="WILLIAM DATZ"/>
    <n v="0"/>
    <n v="0"/>
    <n v="0"/>
    <n v="0"/>
    <n v="40"/>
    <n v="0"/>
    <n v="0"/>
    <n v="0"/>
    <n v="40"/>
    <n v="8.0657159307832539E-8"/>
    <n v="0.99999494166691305"/>
    <b v="0"/>
  </r>
  <r>
    <n v="1638"/>
    <m/>
    <x v="18"/>
    <m/>
    <s v="BSA TROOP 30 C/O MARK PASCHETAG"/>
    <n v="0"/>
    <n v="0"/>
    <n v="0"/>
    <n v="0"/>
    <n v="40"/>
    <n v="0"/>
    <n v="0"/>
    <n v="0"/>
    <n v="40"/>
    <n v="8.0657159307832539E-8"/>
    <n v="0.99999502232407234"/>
    <b v="0"/>
  </r>
  <r>
    <n v="1639"/>
    <m/>
    <x v="18"/>
    <m/>
    <s v="JIM HEFFERNAN"/>
    <n v="0"/>
    <n v="0"/>
    <n v="0"/>
    <n v="0"/>
    <n v="40"/>
    <n v="0"/>
    <n v="0"/>
    <n v="0"/>
    <n v="40"/>
    <n v="8.0657159307832539E-8"/>
    <n v="0.99999510298123162"/>
    <b v="0"/>
  </r>
  <r>
    <n v="1640"/>
    <m/>
    <x v="18"/>
    <m/>
    <s v="BRIAN BOSCOLO"/>
    <n v="0"/>
    <n v="0"/>
    <n v="0"/>
    <n v="0"/>
    <n v="40"/>
    <n v="0"/>
    <n v="0"/>
    <n v="0"/>
    <n v="40"/>
    <n v="8.0657159307832539E-8"/>
    <n v="0.99999518363839091"/>
    <b v="0"/>
  </r>
  <r>
    <n v="1641"/>
    <m/>
    <x v="18"/>
    <m/>
    <s v="DAWN WILLIAMS"/>
    <n v="0"/>
    <n v="0"/>
    <n v="0"/>
    <n v="0"/>
    <n v="40"/>
    <n v="0"/>
    <n v="0"/>
    <n v="0"/>
    <n v="40"/>
    <n v="8.0657159307832539E-8"/>
    <n v="0.99999526429555019"/>
    <b v="0"/>
  </r>
  <r>
    <n v="1935"/>
    <m/>
    <x v="18"/>
    <m/>
    <s v="KATHLEEN FISHER"/>
    <n v="0"/>
    <n v="0"/>
    <n v="0"/>
    <n v="0"/>
    <n v="0"/>
    <n v="40"/>
    <n v="0"/>
    <n v="0"/>
    <n v="40"/>
    <n v="8.0657159307832539E-8"/>
    <n v="0.99999534495270948"/>
    <b v="0"/>
  </r>
  <r>
    <n v="1936"/>
    <m/>
    <x v="18"/>
    <m/>
    <s v="CSP 865 / KLEMM"/>
    <n v="0"/>
    <n v="0"/>
    <n v="0"/>
    <n v="0"/>
    <n v="0"/>
    <n v="40"/>
    <n v="0"/>
    <n v="0"/>
    <n v="40"/>
    <n v="8.0657159307832539E-8"/>
    <n v="0.99999542560986876"/>
    <b v="0"/>
  </r>
  <r>
    <n v="1937"/>
    <m/>
    <x v="18"/>
    <m/>
    <s v="BS TROOP 315"/>
    <n v="0"/>
    <n v="0"/>
    <n v="0"/>
    <n v="0"/>
    <n v="0"/>
    <n v="40"/>
    <n v="0"/>
    <n v="0"/>
    <n v="40"/>
    <n v="8.0657159307832539E-8"/>
    <n v="0.99999550626702804"/>
    <b v="0"/>
  </r>
  <r>
    <n v="1938"/>
    <m/>
    <x v="18"/>
    <m/>
    <s v="BST 116 / KLINE"/>
    <n v="0"/>
    <n v="0"/>
    <n v="0"/>
    <n v="0"/>
    <n v="0"/>
    <n v="40"/>
    <n v="0"/>
    <n v="0"/>
    <n v="40"/>
    <n v="8.0657159307832539E-8"/>
    <n v="0.99999558692418733"/>
    <b v="0"/>
  </r>
  <r>
    <n v="1939"/>
    <m/>
    <x v="18"/>
    <m/>
    <s v="BST 260 / MURRAY"/>
    <n v="0"/>
    <n v="0"/>
    <n v="0"/>
    <n v="0"/>
    <n v="0"/>
    <n v="40"/>
    <n v="0"/>
    <n v="0"/>
    <n v="40"/>
    <n v="8.0657159307832539E-8"/>
    <n v="0.99999566758134661"/>
    <b v="0"/>
  </r>
  <r>
    <n v="1940"/>
    <m/>
    <x v="18"/>
    <m/>
    <s v="EMILY SMULOWITZ"/>
    <n v="0"/>
    <n v="0"/>
    <n v="0"/>
    <n v="0"/>
    <n v="0"/>
    <n v="40"/>
    <n v="0"/>
    <n v="0"/>
    <n v="40"/>
    <n v="8.0657159307832539E-8"/>
    <n v="0.9999957482385059"/>
    <b v="0"/>
  </r>
  <r>
    <n v="1941"/>
    <m/>
    <x v="18"/>
    <m/>
    <s v="RON HUNT"/>
    <n v="0"/>
    <n v="0"/>
    <n v="0"/>
    <n v="0"/>
    <n v="0"/>
    <n v="40"/>
    <n v="0"/>
    <n v="0"/>
    <n v="40"/>
    <n v="8.0657159307832539E-8"/>
    <n v="0.99999582889566518"/>
    <b v="0"/>
  </r>
  <r>
    <n v="1942"/>
    <m/>
    <x v="18"/>
    <m/>
    <s v="PETER G ABESSINIO"/>
    <n v="0"/>
    <n v="0"/>
    <n v="0"/>
    <n v="0"/>
    <n v="0"/>
    <n v="40"/>
    <n v="0"/>
    <n v="0"/>
    <n v="40"/>
    <n v="8.0657159307832539E-8"/>
    <n v="0.99999590955282447"/>
    <b v="0"/>
  </r>
  <r>
    <n v="1943"/>
    <m/>
    <x v="18"/>
    <m/>
    <s v="GST 70595 / HOUCK"/>
    <n v="0"/>
    <n v="0"/>
    <n v="0"/>
    <n v="0"/>
    <n v="0"/>
    <n v="40"/>
    <n v="0"/>
    <n v="0"/>
    <n v="40"/>
    <n v="8.0657159307832539E-8"/>
    <n v="0.99999599020998375"/>
    <b v="0"/>
  </r>
  <r>
    <n v="1944"/>
    <m/>
    <x v="18"/>
    <m/>
    <s v="BST 313 / FRETZ"/>
    <n v="0"/>
    <n v="0"/>
    <n v="0"/>
    <n v="0"/>
    <n v="0"/>
    <n v="40"/>
    <n v="0"/>
    <n v="0"/>
    <n v="40"/>
    <n v="8.0657159307832539E-8"/>
    <n v="0.99999607086714304"/>
    <b v="0"/>
  </r>
  <r>
    <n v="1945"/>
    <m/>
    <x v="18"/>
    <m/>
    <s v="CRAIG D DEPPE"/>
    <n v="0"/>
    <n v="0"/>
    <n v="0"/>
    <n v="0"/>
    <n v="0"/>
    <n v="40"/>
    <n v="0"/>
    <n v="0"/>
    <n v="40"/>
    <n v="8.0657159307832539E-8"/>
    <n v="0.99999615152430232"/>
    <b v="0"/>
  </r>
  <r>
    <n v="1946"/>
    <m/>
    <x v="18"/>
    <m/>
    <s v="BETH SHARP"/>
    <n v="0"/>
    <n v="0"/>
    <n v="0"/>
    <n v="0"/>
    <n v="0"/>
    <n v="40"/>
    <n v="0"/>
    <n v="0"/>
    <n v="40"/>
    <n v="8.0657159307832539E-8"/>
    <n v="0.99999623218146161"/>
    <b v="0"/>
  </r>
  <r>
    <n v="1947"/>
    <m/>
    <x v="18"/>
    <m/>
    <s v="ERIN BROWNAWELL"/>
    <n v="0"/>
    <n v="0"/>
    <n v="0"/>
    <n v="0"/>
    <n v="0"/>
    <n v="40"/>
    <n v="0"/>
    <n v="0"/>
    <n v="40"/>
    <n v="8.0657159307832539E-8"/>
    <n v="0.99999631283862089"/>
    <b v="0"/>
  </r>
  <r>
    <n v="1948"/>
    <m/>
    <x v="18"/>
    <m/>
    <s v="CHRISTA ANDERSEN"/>
    <n v="0"/>
    <n v="0"/>
    <n v="0"/>
    <n v="0"/>
    <n v="0"/>
    <n v="40"/>
    <n v="0"/>
    <n v="0"/>
    <n v="40"/>
    <n v="8.0657159307832539E-8"/>
    <n v="0.99999639349578018"/>
    <b v="0"/>
  </r>
  <r>
    <n v="1949"/>
    <m/>
    <x v="18"/>
    <m/>
    <s v="THE KEY SCHOOL"/>
    <n v="0"/>
    <n v="0"/>
    <n v="0"/>
    <n v="0"/>
    <n v="0"/>
    <n v="40"/>
    <n v="0"/>
    <n v="0"/>
    <n v="40"/>
    <n v="8.0657159307832539E-8"/>
    <n v="0.99999647415293946"/>
    <b v="0"/>
  </r>
  <r>
    <n v="1950"/>
    <m/>
    <x v="18"/>
    <m/>
    <s v="PATTI BEBBINGTON"/>
    <n v="0"/>
    <n v="0"/>
    <n v="0"/>
    <n v="0"/>
    <n v="0"/>
    <n v="40"/>
    <n v="0"/>
    <n v="0"/>
    <n v="40"/>
    <n v="8.0657159307832539E-8"/>
    <n v="0.99999655481009875"/>
    <b v="0"/>
  </r>
  <r>
    <n v="1951"/>
    <m/>
    <x v="18"/>
    <m/>
    <s v="KEN AGATONE"/>
    <n v="0"/>
    <n v="0"/>
    <n v="0"/>
    <n v="0"/>
    <n v="0"/>
    <n v="40"/>
    <n v="0"/>
    <n v="0"/>
    <n v="40"/>
    <n v="8.0657159307832539E-8"/>
    <n v="0.99999663546725803"/>
    <b v="0"/>
  </r>
  <r>
    <n v="1952"/>
    <m/>
    <x v="18"/>
    <m/>
    <s v="CHRISTA ANDERSON"/>
    <n v="0"/>
    <n v="0"/>
    <n v="0"/>
    <n v="0"/>
    <n v="0"/>
    <n v="40"/>
    <n v="0"/>
    <n v="0"/>
    <n v="40"/>
    <n v="8.0657159307832539E-8"/>
    <n v="0.99999671612441732"/>
    <b v="0"/>
  </r>
  <r>
    <n v="2225"/>
    <m/>
    <x v="18"/>
    <m/>
    <s v="JESSICA WALKER"/>
    <n v="0"/>
    <n v="0"/>
    <n v="0"/>
    <n v="0"/>
    <n v="0"/>
    <n v="0"/>
    <n v="40"/>
    <n v="0"/>
    <n v="40"/>
    <n v="8.0657159307832539E-8"/>
    <n v="0.9999967967815766"/>
    <b v="0"/>
  </r>
  <r>
    <n v="1953"/>
    <m/>
    <x v="18"/>
    <m/>
    <s v="CENVEO CORP"/>
    <n v="0"/>
    <n v="0"/>
    <n v="0"/>
    <n v="0"/>
    <n v="0"/>
    <n v="39.909999999999997"/>
    <n v="0"/>
    <n v="0"/>
    <n v="39.909999999999997"/>
    <n v="8.0475680699389906E-8"/>
    <n v="0.99999687725725728"/>
    <b v="0"/>
  </r>
  <r>
    <n v="2476"/>
    <m/>
    <x v="18"/>
    <m/>
    <s v="KENT-SUSSEX INDUSTRIES INC"/>
    <n v="0"/>
    <n v="0"/>
    <n v="0"/>
    <n v="0"/>
    <n v="0"/>
    <n v="0"/>
    <n v="0"/>
    <n v="39.85"/>
    <n v="39.85"/>
    <n v="8.0354694960428168E-8"/>
    <n v="0.99999695761195229"/>
    <b v="0"/>
  </r>
  <r>
    <n v="2477"/>
    <m/>
    <x v="18"/>
    <m/>
    <s v="DTI INC"/>
    <n v="0"/>
    <n v="0"/>
    <n v="0"/>
    <n v="0"/>
    <n v="0"/>
    <n v="0"/>
    <n v="0"/>
    <n v="39"/>
    <n v="39"/>
    <n v="7.8640730325136729E-8"/>
    <n v="0.99999703625268266"/>
    <b v="0"/>
  </r>
  <r>
    <n v="2226"/>
    <m/>
    <x v="18"/>
    <m/>
    <s v="JOAN GRUTTAN"/>
    <n v="0"/>
    <n v="0"/>
    <n v="0"/>
    <n v="0"/>
    <n v="0"/>
    <n v="0"/>
    <n v="36"/>
    <n v="0"/>
    <n v="36"/>
    <n v="7.2591443377049289E-8"/>
    <n v="0.99999710884412607"/>
    <b v="0"/>
  </r>
  <r>
    <n v="682"/>
    <m/>
    <x v="18"/>
    <m/>
    <s v="Gary Bullock"/>
    <n v="35"/>
    <n v="0"/>
    <n v="0"/>
    <n v="0"/>
    <n v="0"/>
    <n v="0"/>
    <n v="0"/>
    <n v="0"/>
    <n v="35"/>
    <n v="7.0575014394353466E-8"/>
    <n v="0.99999717941914046"/>
    <b v="0"/>
  </r>
  <r>
    <n v="1954"/>
    <m/>
    <x v="18"/>
    <m/>
    <s v="ANNE FENIMORE"/>
    <n v="0"/>
    <n v="0"/>
    <n v="0"/>
    <n v="0"/>
    <n v="0"/>
    <n v="35"/>
    <n v="0"/>
    <n v="0"/>
    <n v="35"/>
    <n v="7.0575014394353466E-8"/>
    <n v="0.99999724999415485"/>
    <b v="0"/>
  </r>
  <r>
    <n v="2227"/>
    <m/>
    <x v="18"/>
    <m/>
    <s v="CHRISTOPHER SMITH"/>
    <n v="0"/>
    <n v="0"/>
    <n v="0"/>
    <n v="0"/>
    <n v="0"/>
    <n v="0"/>
    <n v="35"/>
    <n v="0"/>
    <n v="35"/>
    <n v="7.0575014394353466E-8"/>
    <n v="0.99999732056916923"/>
    <b v="0"/>
  </r>
  <r>
    <n v="2228"/>
    <m/>
    <x v="18"/>
    <m/>
    <s v="JAMES ANTHONY LEE"/>
    <n v="0"/>
    <n v="0"/>
    <n v="0"/>
    <n v="0"/>
    <n v="0"/>
    <n v="0"/>
    <n v="35"/>
    <n v="0"/>
    <n v="35"/>
    <n v="7.0575014394353466E-8"/>
    <n v="0.99999739114418362"/>
    <b v="0"/>
  </r>
  <r>
    <n v="2478"/>
    <m/>
    <x v="18"/>
    <m/>
    <s v="MARY JO BOCK"/>
    <n v="0"/>
    <n v="0"/>
    <n v="0"/>
    <n v="0"/>
    <n v="0"/>
    <n v="0"/>
    <n v="0"/>
    <n v="35"/>
    <n v="35"/>
    <n v="7.0575014394353466E-8"/>
    <n v="0.99999746171919801"/>
    <b v="0"/>
  </r>
  <r>
    <n v="1393"/>
    <m/>
    <x v="18"/>
    <m/>
    <s v="ALEXANDER RUMM"/>
    <n v="0"/>
    <n v="0"/>
    <n v="0"/>
    <n v="34.83"/>
    <n v="0"/>
    <n v="0"/>
    <n v="0"/>
    <n v="0"/>
    <n v="34.83"/>
    <n v="7.0232221467295184E-8"/>
    <n v="0.99999753195141949"/>
    <b v="0"/>
  </r>
  <r>
    <n v="1955"/>
    <m/>
    <x v="18"/>
    <m/>
    <s v="TERENCE LTNAM"/>
    <n v="0"/>
    <n v="0"/>
    <n v="0"/>
    <n v="0"/>
    <n v="0"/>
    <n v="34.1"/>
    <n v="0"/>
    <n v="0"/>
    <n v="34.1"/>
    <n v="6.8760228309927246E-8"/>
    <n v="0.99999760071164778"/>
    <b v="0"/>
  </r>
  <r>
    <n v="1956"/>
    <m/>
    <x v="18"/>
    <m/>
    <s v="ALISSA DeMONT"/>
    <n v="0"/>
    <n v="0"/>
    <n v="0"/>
    <n v="0"/>
    <n v="0"/>
    <n v="33.840000000000003"/>
    <n v="0"/>
    <n v="0"/>
    <n v="33.840000000000003"/>
    <n v="6.8235956774426331E-8"/>
    <n v="0.99999766894760456"/>
    <b v="0"/>
  </r>
  <r>
    <n v="1187"/>
    <m/>
    <x v="18"/>
    <m/>
    <s v="Kimberly Lawson"/>
    <n v="0"/>
    <n v="0"/>
    <n v="32"/>
    <n v="0"/>
    <n v="0"/>
    <n v="0"/>
    <n v="0"/>
    <n v="0"/>
    <n v="32"/>
    <n v="6.4525727446266026E-8"/>
    <n v="0.99999773347333198"/>
    <b v="0"/>
  </r>
  <r>
    <n v="1957"/>
    <m/>
    <x v="18"/>
    <m/>
    <s v="LATISHA JACKSON"/>
    <n v="0"/>
    <n v="0"/>
    <n v="0"/>
    <n v="0"/>
    <n v="0"/>
    <n v="32"/>
    <n v="0"/>
    <n v="0"/>
    <n v="32"/>
    <n v="6.4525727446266026E-8"/>
    <n v="0.99999779799905941"/>
    <b v="0"/>
  </r>
  <r>
    <n v="2479"/>
    <m/>
    <x v="18"/>
    <m/>
    <s v="LIZ TARASEWICZ"/>
    <n v="0"/>
    <n v="0"/>
    <n v="0"/>
    <n v="0"/>
    <n v="0"/>
    <n v="0"/>
    <n v="0"/>
    <n v="29.95"/>
    <n v="29.95"/>
    <n v="6.0392048031739613E-8"/>
    <n v="0.99999785839110744"/>
    <b v="0"/>
  </r>
  <r>
    <n v="2480"/>
    <m/>
    <x v="18"/>
    <m/>
    <s v="MAZIE BARBOSA"/>
    <n v="0"/>
    <n v="0"/>
    <n v="0"/>
    <n v="0"/>
    <n v="0"/>
    <n v="0"/>
    <n v="0"/>
    <n v="29.52"/>
    <n v="29.52"/>
    <n v="5.9524983569180415E-8"/>
    <n v="0.99999791791609105"/>
    <b v="0"/>
  </r>
  <r>
    <n v="949"/>
    <m/>
    <x v="18"/>
    <m/>
    <s v="Kelsey Doyle"/>
    <n v="0"/>
    <n v="28.47"/>
    <n v="0"/>
    <n v="0"/>
    <n v="0"/>
    <n v="0"/>
    <n v="0"/>
    <n v="0"/>
    <n v="28.47"/>
    <n v="5.7407733137349805E-8"/>
    <n v="0.99999797532382417"/>
    <b v="0"/>
  </r>
  <r>
    <n v="1394"/>
    <m/>
    <x v="18"/>
    <m/>
    <s v="ROBERT HACKNEY"/>
    <n v="0"/>
    <n v="0"/>
    <n v="0"/>
    <n v="28"/>
    <n v="0"/>
    <n v="0"/>
    <n v="0"/>
    <n v="0"/>
    <n v="28"/>
    <n v="5.6460011515482776E-8"/>
    <n v="0.99999803178383573"/>
    <b v="0"/>
  </r>
  <r>
    <n v="2229"/>
    <m/>
    <x v="18"/>
    <m/>
    <s v="JOHN MANN"/>
    <n v="0"/>
    <n v="0"/>
    <n v="0"/>
    <n v="0"/>
    <n v="0"/>
    <n v="0"/>
    <n v="28"/>
    <n v="0"/>
    <n v="28"/>
    <n v="5.6460011515482776E-8"/>
    <n v="0.99999808824384728"/>
    <b v="0"/>
  </r>
  <r>
    <n v="2230"/>
    <m/>
    <x v="18"/>
    <m/>
    <s v="DELAWARE ASSOCIATION OF REHABILITATION"/>
    <n v="0"/>
    <n v="0"/>
    <n v="0"/>
    <n v="0"/>
    <n v="0"/>
    <n v="0"/>
    <n v="27.61"/>
    <n v="0"/>
    <n v="27.61"/>
    <n v="5.567360421223141E-8"/>
    <n v="0.99999814391745145"/>
    <b v="0"/>
  </r>
  <r>
    <n v="1642"/>
    <m/>
    <x v="18"/>
    <m/>
    <s v="ROSS &amp; BARR INC"/>
    <n v="0"/>
    <n v="0"/>
    <n v="0"/>
    <n v="0"/>
    <n v="27.5"/>
    <n v="0"/>
    <n v="0"/>
    <n v="0"/>
    <n v="27.5"/>
    <n v="5.5451797024134871E-8"/>
    <n v="0.9999981993692485"/>
    <b v="0"/>
  </r>
  <r>
    <n v="684"/>
    <m/>
    <x v="18"/>
    <m/>
    <s v="MICHAEL RILEY"/>
    <n v="25.14"/>
    <n v="0"/>
    <n v="0"/>
    <n v="0"/>
    <n v="0"/>
    <n v="0"/>
    <n v="0"/>
    <n v="0"/>
    <n v="25.14"/>
    <n v="5.0693024624972755E-8"/>
    <n v="0.99999825006227316"/>
    <b v="0"/>
  </r>
  <r>
    <n v="1395"/>
    <m/>
    <x v="18"/>
    <m/>
    <s v="IAN DRUMMOND"/>
    <n v="0"/>
    <n v="0"/>
    <n v="0"/>
    <n v="25"/>
    <n v="0"/>
    <n v="0"/>
    <n v="0"/>
    <n v="0"/>
    <n v="25"/>
    <n v="5.0410724567395335E-8"/>
    <n v="0.99999830047299776"/>
    <b v="0"/>
  </r>
  <r>
    <n v="1643"/>
    <m/>
    <x v="18"/>
    <m/>
    <s v="SEAN MCDEVITT"/>
    <n v="0"/>
    <n v="0"/>
    <n v="0"/>
    <n v="0"/>
    <n v="25"/>
    <n v="0"/>
    <n v="0"/>
    <n v="0"/>
    <n v="25"/>
    <n v="5.0410724567395335E-8"/>
    <n v="0.99999835088372235"/>
    <b v="0"/>
  </r>
  <r>
    <n v="1958"/>
    <m/>
    <x v="18"/>
    <m/>
    <s v="MICHAEL GRAHAM"/>
    <n v="0"/>
    <n v="0"/>
    <n v="0"/>
    <n v="0"/>
    <n v="0"/>
    <n v="25"/>
    <n v="0"/>
    <n v="0"/>
    <n v="25"/>
    <n v="5.0410724567395335E-8"/>
    <n v="0.99999840129444695"/>
    <b v="0"/>
  </r>
  <r>
    <n v="2481"/>
    <m/>
    <x v="18"/>
    <m/>
    <s v="CAESAR RODNEY HIGH SCHOOL"/>
    <n v="0"/>
    <n v="0"/>
    <n v="0"/>
    <n v="0"/>
    <n v="0"/>
    <n v="0"/>
    <n v="0"/>
    <n v="25"/>
    <n v="25"/>
    <n v="5.0410724567395335E-8"/>
    <n v="0.99999845170517154"/>
    <b v="0"/>
  </r>
  <r>
    <n v="2482"/>
    <m/>
    <x v="18"/>
    <m/>
    <s v="COACHING SYSTEMS LLC"/>
    <n v="0"/>
    <n v="0"/>
    <n v="0"/>
    <n v="0"/>
    <n v="0"/>
    <n v="0"/>
    <n v="0"/>
    <n v="25"/>
    <n v="25"/>
    <n v="5.0410724567395335E-8"/>
    <n v="0.99999850211589614"/>
    <b v="0"/>
  </r>
  <r>
    <n v="2231"/>
    <m/>
    <x v="18"/>
    <m/>
    <s v="SALISBURY AUTOMOTIVE DE INC"/>
    <n v="0"/>
    <n v="0"/>
    <n v="0"/>
    <n v="0"/>
    <n v="0"/>
    <n v="0"/>
    <n v="24.9"/>
    <n v="0"/>
    <n v="24.9"/>
    <n v="5.0209081669125753E-8"/>
    <n v="0.99999855232497781"/>
    <b v="0"/>
  </r>
  <r>
    <n v="1959"/>
    <m/>
    <x v="18"/>
    <m/>
    <s v="LOUIS TALLARICO"/>
    <n v="0"/>
    <n v="0"/>
    <n v="0"/>
    <n v="0"/>
    <n v="0"/>
    <n v="24.45"/>
    <n v="0"/>
    <n v="0"/>
    <n v="24.45"/>
    <n v="4.9301688626912636E-8"/>
    <n v="0.99999860162666643"/>
    <b v="0"/>
  </r>
  <r>
    <n v="1644"/>
    <m/>
    <x v="18"/>
    <m/>
    <s v="SOPHIE TROY"/>
    <n v="0"/>
    <n v="0"/>
    <n v="0"/>
    <n v="0"/>
    <n v="24"/>
    <n v="0"/>
    <n v="0"/>
    <n v="0"/>
    <n v="24"/>
    <n v="4.8394295584699526E-8"/>
    <n v="0.999998650020962"/>
    <b v="0"/>
  </r>
  <r>
    <n v="2233"/>
    <m/>
    <x v="18"/>
    <m/>
    <s v="DANIEL  BORTNER"/>
    <n v="0"/>
    <n v="0"/>
    <n v="0"/>
    <n v="0"/>
    <n v="0"/>
    <n v="0"/>
    <n v="24"/>
    <n v="0"/>
    <n v="24"/>
    <n v="4.8394295584699526E-8"/>
    <n v="0.99999869841525757"/>
    <b v="0"/>
  </r>
  <r>
    <n v="685"/>
    <m/>
    <x v="18"/>
    <m/>
    <s v="Local 879"/>
    <n v="22.7"/>
    <n v="0"/>
    <n v="0"/>
    <n v="0"/>
    <n v="0"/>
    <n v="0"/>
    <n v="0"/>
    <n v="0"/>
    <n v="22.7"/>
    <n v="4.5772937907194963E-8"/>
    <n v="0.99999874418819545"/>
    <b v="0"/>
  </r>
  <r>
    <n v="1188"/>
    <m/>
    <x v="18"/>
    <m/>
    <s v="GERALDINE PIZARRO"/>
    <n v="0"/>
    <n v="0"/>
    <n v="22"/>
    <n v="0"/>
    <n v="0"/>
    <n v="0"/>
    <n v="0"/>
    <n v="0"/>
    <n v="22"/>
    <n v="4.4361437619307894E-8"/>
    <n v="0.99999878854963309"/>
    <b v="0"/>
  </r>
  <r>
    <n v="1189"/>
    <m/>
    <x v="18"/>
    <m/>
    <s v="PHYLLIS D BIRCH"/>
    <n v="0"/>
    <n v="0"/>
    <n v="22"/>
    <n v="0"/>
    <n v="0"/>
    <n v="0"/>
    <n v="0"/>
    <n v="0"/>
    <n v="22"/>
    <n v="4.4361437619307894E-8"/>
    <n v="0.99999883291107072"/>
    <b v="0"/>
  </r>
  <r>
    <n v="1645"/>
    <m/>
    <x v="18"/>
    <m/>
    <s v="CHRISTINE VETTER"/>
    <n v="0"/>
    <n v="0"/>
    <n v="0"/>
    <n v="0"/>
    <n v="22"/>
    <n v="0"/>
    <n v="0"/>
    <n v="0"/>
    <n v="22"/>
    <n v="4.4361437619307894E-8"/>
    <n v="0.99999887727250836"/>
    <b v="0"/>
  </r>
  <r>
    <n v="1190"/>
    <m/>
    <x v="18"/>
    <m/>
    <s v="ANN BURRUSS"/>
    <n v="0"/>
    <n v="0"/>
    <n v="21.25"/>
    <n v="0"/>
    <n v="0"/>
    <n v="0"/>
    <n v="0"/>
    <n v="0"/>
    <n v="21.25"/>
    <n v="4.2849115882286037E-8"/>
    <n v="0.99999892012162428"/>
    <b v="0"/>
  </r>
  <r>
    <n v="1397"/>
    <m/>
    <x v="18"/>
    <m/>
    <s v="TYLER BEUTLER"/>
    <n v="0"/>
    <n v="0"/>
    <n v="0"/>
    <n v="20.09"/>
    <n v="0"/>
    <n v="0"/>
    <n v="0"/>
    <n v="0"/>
    <n v="20.09"/>
    <n v="4.0510058262358895E-8"/>
    <n v="0.99999896063168259"/>
    <b v="0"/>
  </r>
  <r>
    <n v="951"/>
    <m/>
    <x v="18"/>
    <m/>
    <s v="Jeffery H Miller"/>
    <n v="0"/>
    <n v="20"/>
    <n v="0"/>
    <n v="0"/>
    <n v="0"/>
    <n v="0"/>
    <n v="0"/>
    <n v="0"/>
    <n v="20"/>
    <n v="4.0328579653916269E-8"/>
    <n v="0.99999900096026229"/>
    <b v="0"/>
  </r>
  <r>
    <n v="952"/>
    <m/>
    <x v="18"/>
    <m/>
    <s v="Don Jesse"/>
    <n v="0"/>
    <n v="20"/>
    <n v="0"/>
    <n v="0"/>
    <n v="0"/>
    <n v="0"/>
    <n v="0"/>
    <n v="0"/>
    <n v="20"/>
    <n v="4.0328579653916269E-8"/>
    <n v="0.99999904128884198"/>
    <b v="0"/>
  </r>
  <r>
    <n v="1191"/>
    <m/>
    <x v="18"/>
    <m/>
    <s v="BRENDA HACKERS"/>
    <n v="0"/>
    <n v="0"/>
    <n v="20"/>
    <n v="0"/>
    <n v="0"/>
    <n v="0"/>
    <n v="0"/>
    <n v="0"/>
    <n v="20"/>
    <n v="4.0328579653916269E-8"/>
    <n v="0.99999908161742168"/>
    <b v="0"/>
  </r>
  <r>
    <n v="1192"/>
    <m/>
    <x v="18"/>
    <m/>
    <s v="Cheryl Deering"/>
    <n v="0"/>
    <n v="0"/>
    <n v="20"/>
    <n v="0"/>
    <n v="0"/>
    <n v="0"/>
    <n v="0"/>
    <n v="0"/>
    <n v="20"/>
    <n v="4.0328579653916269E-8"/>
    <n v="0.99999912194600138"/>
    <b v="0"/>
  </r>
  <r>
    <n v="1398"/>
    <m/>
    <x v="18"/>
    <m/>
    <s v="JENNIFER SERVISS"/>
    <n v="0"/>
    <n v="0"/>
    <n v="0"/>
    <n v="20"/>
    <n v="0"/>
    <n v="0"/>
    <n v="0"/>
    <n v="0"/>
    <n v="20"/>
    <n v="4.0328579653916269E-8"/>
    <n v="0.99999916227458108"/>
    <b v="0"/>
  </r>
  <r>
    <n v="1960"/>
    <m/>
    <x v="18"/>
    <m/>
    <s v="BOY SCOUT TROOP PACK 960"/>
    <n v="0"/>
    <n v="0"/>
    <n v="0"/>
    <n v="0"/>
    <n v="0"/>
    <n v="20"/>
    <n v="0"/>
    <n v="0"/>
    <n v="20"/>
    <n v="4.0328579653916269E-8"/>
    <n v="0.99999920260316078"/>
    <b v="0"/>
  </r>
  <r>
    <n v="1961"/>
    <m/>
    <x v="18"/>
    <m/>
    <s v="BST TROOP 239"/>
    <n v="0"/>
    <n v="0"/>
    <n v="0"/>
    <n v="0"/>
    <n v="0"/>
    <n v="20"/>
    <n v="0"/>
    <n v="0"/>
    <n v="20"/>
    <n v="4.0328579653916269E-8"/>
    <n v="0.99999924293174047"/>
    <b v="0"/>
  </r>
  <r>
    <n v="1962"/>
    <m/>
    <x v="18"/>
    <m/>
    <s v="BST 24 / SUNDE"/>
    <n v="0"/>
    <n v="0"/>
    <n v="0"/>
    <n v="0"/>
    <n v="0"/>
    <n v="20"/>
    <n v="0"/>
    <n v="0"/>
    <n v="20"/>
    <n v="4.0328579653916269E-8"/>
    <n v="0.99999928326032017"/>
    <b v="0"/>
  </r>
  <r>
    <n v="1963"/>
    <m/>
    <x v="18"/>
    <m/>
    <s v="BST 50 / BEBBINGTON"/>
    <n v="0"/>
    <n v="0"/>
    <n v="0"/>
    <n v="0"/>
    <n v="0"/>
    <n v="20"/>
    <n v="0"/>
    <n v="0"/>
    <n v="20"/>
    <n v="4.0328579653916269E-8"/>
    <n v="0.99999932358889987"/>
    <b v="0"/>
  </r>
  <r>
    <n v="1965"/>
    <m/>
    <x v="18"/>
    <m/>
    <s v="HILARY MADEN"/>
    <n v="0"/>
    <n v="0"/>
    <n v="0"/>
    <n v="0"/>
    <n v="0"/>
    <n v="18"/>
    <n v="0"/>
    <n v="0"/>
    <n v="18"/>
    <n v="3.6295721688524644E-8"/>
    <n v="0.99999935988462152"/>
    <b v="0"/>
  </r>
  <r>
    <n v="2235"/>
    <m/>
    <x v="18"/>
    <m/>
    <s v="STEVEN MARSH"/>
    <n v="0"/>
    <n v="0"/>
    <n v="0"/>
    <n v="0"/>
    <n v="0"/>
    <n v="0"/>
    <n v="18"/>
    <n v="0"/>
    <n v="18"/>
    <n v="3.6295721688524644E-8"/>
    <n v="0.99999939618034317"/>
    <b v="0"/>
  </r>
  <r>
    <n v="2236"/>
    <m/>
    <x v="18"/>
    <m/>
    <s v="DAVID LUCAS"/>
    <n v="0"/>
    <n v="0"/>
    <n v="0"/>
    <n v="0"/>
    <n v="0"/>
    <n v="0"/>
    <n v="18"/>
    <n v="0"/>
    <n v="18"/>
    <n v="3.6295721688524644E-8"/>
    <n v="0.99999943247606482"/>
    <b v="0"/>
  </r>
  <r>
    <n v="2237"/>
    <m/>
    <x v="18"/>
    <m/>
    <s v="GEORGINA E PROKOPCHAK"/>
    <n v="0"/>
    <n v="0"/>
    <n v="0"/>
    <n v="0"/>
    <n v="0"/>
    <n v="0"/>
    <n v="18"/>
    <n v="0"/>
    <n v="18"/>
    <n v="3.6295721688524644E-8"/>
    <n v="0.99999946877178647"/>
    <b v="0"/>
  </r>
  <r>
    <n v="2483"/>
    <m/>
    <x v="18"/>
    <m/>
    <s v="KIM HOUTZ"/>
    <n v="0"/>
    <n v="0"/>
    <n v="0"/>
    <n v="0"/>
    <n v="0"/>
    <n v="0"/>
    <n v="0"/>
    <n v="17.95"/>
    <n v="17.95"/>
    <n v="3.619490023938985E-8"/>
    <n v="0.99999950496668666"/>
    <b v="0"/>
  </r>
  <r>
    <n v="1193"/>
    <m/>
    <x v="18"/>
    <m/>
    <s v="Joseph Hill"/>
    <n v="0"/>
    <n v="0"/>
    <n v="17.5"/>
    <n v="0"/>
    <n v="0"/>
    <n v="0"/>
    <n v="0"/>
    <n v="0"/>
    <n v="17.5"/>
    <n v="3.5287507197176733E-8"/>
    <n v="0.99999954025419391"/>
    <b v="0"/>
  </r>
  <r>
    <n v="953"/>
    <m/>
    <x v="18"/>
    <m/>
    <s v="Terri Dalton"/>
    <n v="0"/>
    <n v="17"/>
    <n v="0"/>
    <n v="0"/>
    <n v="0"/>
    <n v="0"/>
    <n v="0"/>
    <n v="0"/>
    <n v="17"/>
    <n v="3.4279292705828829E-8"/>
    <n v="0.99999957453348665"/>
    <b v="0"/>
  </r>
  <r>
    <n v="1194"/>
    <m/>
    <x v="18"/>
    <m/>
    <s v="RICHARD SAPP"/>
    <n v="0"/>
    <n v="0"/>
    <n v="17"/>
    <n v="0"/>
    <n v="0"/>
    <n v="0"/>
    <n v="0"/>
    <n v="0"/>
    <n v="17"/>
    <n v="3.4279292705828829E-8"/>
    <n v="0.99999960881277938"/>
    <b v="0"/>
  </r>
  <r>
    <n v="2484"/>
    <m/>
    <x v="18"/>
    <m/>
    <s v="Delaware State Troopers Assoc"/>
    <n v="0"/>
    <n v="0"/>
    <n v="0"/>
    <n v="0"/>
    <n v="0"/>
    <n v="0"/>
    <n v="0"/>
    <n v="16.100000000000001"/>
    <n v="16.100000000000001"/>
    <n v="3.2464506621402602E-8"/>
    <n v="0.99999964127728602"/>
    <b v="0"/>
  </r>
  <r>
    <n v="2238"/>
    <m/>
    <x v="18"/>
    <m/>
    <s v="CHARLES CRAIG"/>
    <n v="0"/>
    <n v="0"/>
    <n v="0"/>
    <n v="0"/>
    <n v="0"/>
    <n v="0"/>
    <n v="16"/>
    <n v="0"/>
    <n v="16"/>
    <n v="3.2262863723133013E-8"/>
    <n v="0.99999967354014974"/>
    <b v="0"/>
  </r>
  <r>
    <n v="2239"/>
    <m/>
    <x v="18"/>
    <m/>
    <s v="SETH MICHAEL"/>
    <n v="0"/>
    <n v="0"/>
    <n v="0"/>
    <n v="0"/>
    <n v="0"/>
    <n v="0"/>
    <n v="15"/>
    <n v="0"/>
    <n v="15"/>
    <n v="3.0246434740437204E-8"/>
    <n v="0.99999970378658443"/>
    <b v="0"/>
  </r>
  <r>
    <n v="2240"/>
    <m/>
    <x v="18"/>
    <m/>
    <s v="CHARLES MOYER"/>
    <n v="0"/>
    <n v="0"/>
    <n v="0"/>
    <n v="0"/>
    <n v="0"/>
    <n v="0"/>
    <n v="15"/>
    <n v="0"/>
    <n v="15"/>
    <n v="3.0246434740437204E-8"/>
    <n v="0.99999973403301912"/>
    <b v="0"/>
  </r>
  <r>
    <n v="2485"/>
    <m/>
    <x v="18"/>
    <m/>
    <s v="ELLEN H COLE"/>
    <n v="0"/>
    <n v="0"/>
    <n v="0"/>
    <n v="0"/>
    <n v="0"/>
    <n v="0"/>
    <n v="0"/>
    <n v="15"/>
    <n v="15"/>
    <n v="3.0246434740437204E-8"/>
    <n v="0.99999976427945381"/>
    <b v="0"/>
  </r>
  <r>
    <n v="2486"/>
    <m/>
    <x v="18"/>
    <m/>
    <s v="OLIVIA MCDONALD"/>
    <n v="0"/>
    <n v="0"/>
    <n v="0"/>
    <n v="0"/>
    <n v="0"/>
    <n v="0"/>
    <n v="0"/>
    <n v="13.98"/>
    <n v="13.98"/>
    <n v="2.8189677178087472E-8"/>
    <n v="0.99999979246913095"/>
    <b v="0"/>
  </r>
  <r>
    <n v="686"/>
    <m/>
    <x v="18"/>
    <m/>
    <s v="CALENDLY LLC"/>
    <n v="12"/>
    <n v="0"/>
    <n v="0"/>
    <n v="0"/>
    <n v="0"/>
    <n v="0"/>
    <n v="0"/>
    <n v="0"/>
    <n v="12"/>
    <n v="2.4197147792349763E-8"/>
    <n v="0.9999998166662788"/>
    <b v="0"/>
  </r>
  <r>
    <n v="954"/>
    <m/>
    <x v="18"/>
    <m/>
    <s v="JEFF HERTZOG"/>
    <n v="0"/>
    <n v="10.65"/>
    <n v="0"/>
    <n v="0"/>
    <n v="0"/>
    <n v="0"/>
    <n v="0"/>
    <n v="0"/>
    <n v="10.65"/>
    <n v="2.1474968665710416E-8"/>
    <n v="0.99999983814124749"/>
    <b v="0"/>
  </r>
  <r>
    <n v="1196"/>
    <m/>
    <x v="18"/>
    <m/>
    <s v="KYLA HUCKER"/>
    <n v="0"/>
    <n v="0"/>
    <n v="10"/>
    <n v="0"/>
    <n v="0"/>
    <n v="0"/>
    <n v="0"/>
    <n v="0"/>
    <n v="10"/>
    <n v="2.0164289826958135E-8"/>
    <n v="0.99999985830553728"/>
    <b v="0"/>
  </r>
  <r>
    <n v="2487"/>
    <m/>
    <x v="18"/>
    <m/>
    <s v="DSTA Life Insurance Fund"/>
    <n v="0"/>
    <n v="0"/>
    <n v="0"/>
    <n v="0"/>
    <n v="0"/>
    <n v="0"/>
    <n v="0"/>
    <n v="8.6"/>
    <n v="8.6"/>
    <n v="1.7341289251183997E-8"/>
    <n v="0.99999987564682657"/>
    <b v="0"/>
  </r>
  <r>
    <n v="1967"/>
    <m/>
    <x v="18"/>
    <m/>
    <s v="JOY CANNON"/>
    <n v="0"/>
    <n v="0"/>
    <n v="0"/>
    <n v="0"/>
    <n v="0"/>
    <n v="8.5"/>
    <n v="0"/>
    <n v="0"/>
    <n v="8.5"/>
    <n v="1.7139646352914414E-8"/>
    <n v="0.99999989278647294"/>
    <b v="0"/>
  </r>
  <r>
    <n v="1399"/>
    <m/>
    <x v="18"/>
    <m/>
    <s v="LISETTE AMPARO"/>
    <n v="0"/>
    <n v="0"/>
    <n v="0"/>
    <n v="8"/>
    <n v="0"/>
    <n v="0"/>
    <n v="0"/>
    <n v="0"/>
    <n v="8"/>
    <n v="1.6131431861566506E-8"/>
    <n v="0.9999999089179048"/>
    <b v="0"/>
  </r>
  <r>
    <n v="1400"/>
    <m/>
    <x v="18"/>
    <m/>
    <s v="Heather Dougherty"/>
    <n v="0"/>
    <n v="0"/>
    <n v="0"/>
    <n v="8"/>
    <n v="0"/>
    <n v="0"/>
    <n v="0"/>
    <n v="0"/>
    <n v="8"/>
    <n v="1.6131431861566506E-8"/>
    <n v="0.99999992504933666"/>
    <b v="0"/>
  </r>
  <r>
    <n v="2241"/>
    <m/>
    <x v="18"/>
    <m/>
    <s v="STEVE NAZIGIAN"/>
    <n v="0"/>
    <n v="0"/>
    <n v="0"/>
    <n v="0"/>
    <n v="0"/>
    <n v="0"/>
    <n v="8"/>
    <n v="0"/>
    <n v="8"/>
    <n v="1.6131431861566506E-8"/>
    <n v="0.99999994118076851"/>
    <b v="0"/>
  </r>
  <r>
    <n v="2488"/>
    <m/>
    <x v="18"/>
    <m/>
    <s v="TRACEY MUSOTTO"/>
    <n v="0"/>
    <n v="0"/>
    <n v="0"/>
    <n v="0"/>
    <n v="0"/>
    <n v="0"/>
    <n v="0"/>
    <n v="8"/>
    <n v="8"/>
    <n v="1.6131431861566506E-8"/>
    <n v="0.99999995731220037"/>
    <b v="0"/>
  </r>
  <r>
    <n v="687"/>
    <m/>
    <x v="18"/>
    <m/>
    <s v="Lindsay Graham"/>
    <n v="6"/>
    <n v="0"/>
    <n v="0"/>
    <n v="0"/>
    <n v="0"/>
    <n v="0"/>
    <n v="0"/>
    <n v="0"/>
    <n v="6"/>
    <n v="1.2098573896174881E-8"/>
    <n v="0.99999996941077429"/>
    <b v="0"/>
  </r>
  <r>
    <n v="1401"/>
    <m/>
    <x v="18"/>
    <m/>
    <s v="BRIAN ROBBINS"/>
    <n v="0"/>
    <n v="0"/>
    <n v="0"/>
    <n v="5.48"/>
    <n v="0"/>
    <n v="0"/>
    <n v="0"/>
    <n v="0"/>
    <n v="5.48"/>
    <n v="1.1050030825173059E-8"/>
    <n v="0.99999998046080507"/>
    <b v="0"/>
  </r>
  <r>
    <n v="1402"/>
    <m/>
    <x v="18"/>
    <m/>
    <s v="JESSE WEEG"/>
    <n v="0"/>
    <n v="0"/>
    <n v="0"/>
    <n v="4"/>
    <n v="0"/>
    <n v="0"/>
    <n v="0"/>
    <n v="0"/>
    <n v="4"/>
    <n v="8.0657159307832532E-9"/>
    <n v="0.99999998852652106"/>
    <b v="0"/>
  </r>
  <r>
    <n v="2242"/>
    <m/>
    <x v="18"/>
    <m/>
    <s v="MICHELLE WATERS"/>
    <n v="0"/>
    <n v="0"/>
    <n v="0"/>
    <n v="0"/>
    <n v="0"/>
    <n v="0"/>
    <n v="4"/>
    <n v="0"/>
    <n v="4"/>
    <n v="8.0657159307832532E-9"/>
    <n v="0.99999999659223704"/>
    <b v="0"/>
  </r>
  <r>
    <n v="2489"/>
    <m/>
    <x v="18"/>
    <m/>
    <s v="DSP Museum Fund"/>
    <n v="0"/>
    <n v="0"/>
    <n v="0"/>
    <n v="0"/>
    <n v="0"/>
    <n v="0"/>
    <n v="0"/>
    <n v="0.6"/>
    <n v="0.6"/>
    <n v="1.2098573896174881E-9"/>
    <n v="0.99999999780209448"/>
    <b v="0"/>
  </r>
  <r>
    <n v="2490"/>
    <m/>
    <x v="18"/>
    <m/>
    <s v="Del St Troopers Memorial Fund"/>
    <n v="0"/>
    <n v="0"/>
    <n v="0"/>
    <n v="0"/>
    <n v="0"/>
    <n v="0"/>
    <n v="0"/>
    <n v="0.55000000000000004"/>
    <n v="0.55000000000000004"/>
    <n v="1.1090359404826976E-9"/>
    <n v="0.99999999891113045"/>
    <b v="0"/>
  </r>
  <r>
    <n v="2491"/>
    <m/>
    <x v="18"/>
    <m/>
    <s v="United Way of Delaware"/>
    <n v="0"/>
    <n v="0"/>
    <n v="0"/>
    <n v="0"/>
    <n v="0"/>
    <n v="0"/>
    <n v="0"/>
    <n v="0.54"/>
    <n v="0.54"/>
    <n v="1.0888716506557393E-9"/>
    <n v="1.000000000000002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944F7-1D4A-47BF-B12F-4EC40B0CFCF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3" firstHeaderRow="0" firstDataRow="1" firstDataCol="1"/>
  <pivotFields count="17">
    <pivotField showAll="0"/>
    <pivotField showAll="0"/>
    <pivotField axis="axisRow" showAll="0" sortType="descending">
      <items count="26">
        <item x="4"/>
        <item x="6"/>
        <item m="1" x="20"/>
        <item m="1" x="23"/>
        <item x="5"/>
        <item x="9"/>
        <item m="1" x="21"/>
        <item x="10"/>
        <item x="7"/>
        <item x="2"/>
        <item m="1" x="24"/>
        <item m="1" x="22"/>
        <item x="12"/>
        <item x="3"/>
        <item x="14"/>
        <item x="17"/>
        <item x="11"/>
        <item x="16"/>
        <item x="1"/>
        <item m="1" x="19"/>
        <item x="8"/>
        <item x="18"/>
        <item x="13"/>
        <item x="0"/>
        <item x="1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4" showAll="0"/>
    <pivotField numFmtId="164" showAll="0"/>
    <pivotField showAll="0"/>
  </pivotFields>
  <rowFields count="1">
    <field x="2"/>
  </rowFields>
  <rowItems count="20">
    <i>
      <x v="23"/>
    </i>
    <i>
      <x/>
    </i>
    <i>
      <x v="18"/>
    </i>
    <i>
      <x v="4"/>
    </i>
    <i>
      <x v="13"/>
    </i>
    <i>
      <x v="21"/>
    </i>
    <i>
      <x v="9"/>
    </i>
    <i>
      <x v="7"/>
    </i>
    <i>
      <x v="8"/>
    </i>
    <i>
      <x v="20"/>
    </i>
    <i>
      <x v="1"/>
    </i>
    <i>
      <x v="5"/>
    </i>
    <i>
      <x v="22"/>
    </i>
    <i>
      <x v="24"/>
    </i>
    <i>
      <x v="12"/>
    </i>
    <i>
      <x v="16"/>
    </i>
    <i>
      <x v="14"/>
    </i>
    <i>
      <x v="17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tl" fld="13" baseField="0" baseItem="0" numFmtId="165"/>
    <dataField name="Sum of pctAllTimeExp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881124-2205-49C0-8B41-E02F2BBDF516}" name="Table1" displayName="Table1" ref="A1:Q2493" totalsRowShown="0">
  <autoFilter ref="A1:Q2493" xr:uid="{72881124-2205-49C0-8B41-E02F2BBDF516}"/>
  <tableColumns count="17">
    <tableColumn id="1" xr3:uid="{F99E7729-4505-4D80-9BC1-886BD0A66CE6}" name="index"/>
    <tableColumn id="17" xr3:uid="{5EC62C70-28FE-44BB-9CFB-02414019BB82}" name="claude_classification"/>
    <tableColumn id="15" xr3:uid="{308AA373-2EE6-4107-AA24-4FA9D1E5596D}" name="my_classification"/>
    <tableColumn id="16" xr3:uid="{83A51A46-26F7-4919-B731-B3CCD2891DBE}" name="claude_notes"/>
    <tableColumn id="2" xr3:uid="{4FEBEF63-CA72-4D60-8972-152A622C2332}" name="vendor"/>
    <tableColumn id="3" xr3:uid="{D3C4573A-8038-4651-BAF8-29DCEBA408D3}" name="2025" dataDxfId="11" dataCellStyle="Comma"/>
    <tableColumn id="4" xr3:uid="{E8EAE666-7B25-4126-AC4E-3A5670E0618C}" name="2024" dataDxfId="10" dataCellStyle="Comma"/>
    <tableColumn id="5" xr3:uid="{609E1B3A-7828-47BC-A7DD-669A258D1EB4}" name="2023" dataDxfId="9" dataCellStyle="Comma"/>
    <tableColumn id="6" xr3:uid="{3BBE9BC0-F2F8-4638-A5C2-154B5420142B}" name="2022" dataDxfId="8" dataCellStyle="Comma"/>
    <tableColumn id="7" xr3:uid="{80D5BB54-67FC-4C9C-A699-EBCA0AA52C7D}" name="2021" dataDxfId="7" dataCellStyle="Comma"/>
    <tableColumn id="8" xr3:uid="{68F02EC6-24D3-4900-96D3-D1925A4A4FED}" name="2020" dataDxfId="6" dataCellStyle="Comma"/>
    <tableColumn id="9" xr3:uid="{EAAC8499-ACD7-4185-8BB2-31ABB3042C35}" name="2019" dataDxfId="5" dataCellStyle="Comma"/>
    <tableColumn id="10" xr3:uid="{1D33BD18-FFBD-44B6-ADFB-26FE7852E335}" name="2018" dataDxfId="4" dataCellStyle="Comma"/>
    <tableColumn id="11" xr3:uid="{DB7BAC4F-80FD-4379-9404-D9A1A9C92084}" name="ttl" dataDxfId="3" dataCellStyle="Comma">
      <calculatedColumnFormula>SUM(Table1[[#This Row],[2025]:[2018]])</calculatedColumnFormula>
    </tableColumn>
    <tableColumn id="12" xr3:uid="{A706B103-1675-40BC-ACCC-112CCA376352}" name="pctAllTimeExp" dataDxfId="2" dataCellStyle="Percent">
      <calculatedColumnFormula>Table1[[#This Row],[ttl]]/SUM(Table1[ttl])</calculatedColumnFormula>
    </tableColumn>
    <tableColumn id="13" xr3:uid="{28E35CFD-6259-43B7-B288-F9528828AA9F}" name="cumPctAllTimeExp" dataDxfId="1">
      <calculatedColumnFormula>SUM($O$2:Table1[[#This Row],[pctAllTimeExp]])</calculatedColumnFormula>
    </tableColumn>
    <tableColumn id="14" xr3:uid="{8E3464AD-96C3-4BEE-85D9-B2518E9A45DB}" name="classify" dataDxfId="0">
      <calculatedColumnFormula>Table1[[#This Row],[cumPctAllTimeExp]]&lt;0.95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5B1-29EC-4609-9C43-03544EE8D399}">
  <dimension ref="A1:R2493"/>
  <sheetViews>
    <sheetView tabSelected="1" zoomScale="85" zoomScaleNormal="85" workbookViewId="0">
      <selection activeCell="D61" sqref="D61"/>
    </sheetView>
  </sheetViews>
  <sheetFormatPr defaultRowHeight="15" x14ac:dyDescent="0.25"/>
  <cols>
    <col min="2" max="2" width="24.85546875" customWidth="1"/>
    <col min="3" max="3" width="24.85546875" bestFit="1" customWidth="1"/>
    <col min="4" max="4" width="44.85546875" customWidth="1"/>
    <col min="5" max="5" width="25.85546875" customWidth="1"/>
    <col min="6" max="6" width="11.5703125" customWidth="1"/>
    <col min="7" max="14" width="11.5703125" style="4" bestFit="1" customWidth="1"/>
    <col min="15" max="15" width="12.5703125" style="4" bestFit="1" customWidth="1"/>
    <col min="16" max="16" width="7.5703125" style="1" customWidth="1"/>
    <col min="17" max="17" width="6.42578125" customWidth="1"/>
  </cols>
  <sheetData>
    <row r="1" spans="1:17" x14ac:dyDescent="0.25">
      <c r="A1" t="s">
        <v>0</v>
      </c>
      <c r="B1" t="s">
        <v>2761</v>
      </c>
      <c r="C1" t="s">
        <v>2760</v>
      </c>
      <c r="D1" t="s">
        <v>2762</v>
      </c>
      <c r="E1" t="s">
        <v>1</v>
      </c>
      <c r="F1" s="4" t="s">
        <v>2494</v>
      </c>
      <c r="G1" s="4" t="s">
        <v>2495</v>
      </c>
      <c r="H1" s="4" t="s">
        <v>2496</v>
      </c>
      <c r="I1" s="4" t="s">
        <v>2497</v>
      </c>
      <c r="J1" s="4" t="s">
        <v>2498</v>
      </c>
      <c r="K1" s="4" t="s">
        <v>2499</v>
      </c>
      <c r="L1" s="4" t="s">
        <v>2500</v>
      </c>
      <c r="M1" s="4" t="s">
        <v>2501</v>
      </c>
      <c r="N1" s="4" t="s">
        <v>2502</v>
      </c>
      <c r="O1" s="1" t="s">
        <v>2503</v>
      </c>
      <c r="P1" t="s">
        <v>2504</v>
      </c>
      <c r="Q1" t="s">
        <v>2505</v>
      </c>
    </row>
    <row r="2" spans="1:17" x14ac:dyDescent="0.25">
      <c r="A2">
        <v>0</v>
      </c>
      <c r="B2" t="s">
        <v>2506</v>
      </c>
      <c r="C2" t="s">
        <v>2763</v>
      </c>
      <c r="D2" t="s">
        <v>2513</v>
      </c>
      <c r="E2" t="s">
        <v>2</v>
      </c>
      <c r="F2" s="4">
        <v>18010753.149999999</v>
      </c>
      <c r="G2" s="4">
        <v>16413472.77</v>
      </c>
      <c r="H2" s="4">
        <v>15111922.65</v>
      </c>
      <c r="I2" s="4">
        <v>13511402.43</v>
      </c>
      <c r="J2" s="4">
        <v>12475721.189999999</v>
      </c>
      <c r="K2" s="4">
        <v>12372693.92</v>
      </c>
      <c r="L2" s="4">
        <v>11763584.43</v>
      </c>
      <c r="M2" s="4">
        <v>11140598.18</v>
      </c>
      <c r="N2" s="4">
        <f>SUM(Table1[[#This Row],[2025]:[2018]])</f>
        <v>110800148.72</v>
      </c>
      <c r="O2" s="2">
        <f>Table1[[#This Row],[ttl]]/SUM(Table1[ttl])</f>
        <v>0.22342063116601443</v>
      </c>
      <c r="P2" s="3">
        <f>SUM($O$2:Table1[[#This Row],[pctAllTimeExp]])</f>
        <v>0.22342063116601443</v>
      </c>
      <c r="Q2" t="b">
        <f>Table1[[#This Row],[cumPctAllTimeExp]]&lt;0.95</f>
        <v>1</v>
      </c>
    </row>
    <row r="3" spans="1:17" x14ac:dyDescent="0.25">
      <c r="A3">
        <v>2</v>
      </c>
      <c r="B3" t="s">
        <v>2506</v>
      </c>
      <c r="C3" t="s">
        <v>2763</v>
      </c>
      <c r="D3" t="s">
        <v>2514</v>
      </c>
      <c r="E3" t="s">
        <v>4</v>
      </c>
      <c r="F3" s="4">
        <v>6657719.9400000004</v>
      </c>
      <c r="G3" s="4">
        <v>5689157.1399999997</v>
      </c>
      <c r="H3" s="4">
        <v>5179131.49</v>
      </c>
      <c r="I3" s="4">
        <v>4832867.59</v>
      </c>
      <c r="J3" s="4">
        <v>4499480.1399999997</v>
      </c>
      <c r="K3" s="4">
        <v>4467066.97</v>
      </c>
      <c r="L3" s="4">
        <v>4242813.2300000004</v>
      </c>
      <c r="M3" s="4">
        <v>4052478.31</v>
      </c>
      <c r="N3" s="4">
        <f>SUM(Table1[[#This Row],[2025]:[2018]])</f>
        <v>39620714.810000002</v>
      </c>
      <c r="O3" s="2">
        <f>Table1[[#This Row],[ttl]]/SUM(Table1[ttl])</f>
        <v>7.9892357658009255E-2</v>
      </c>
      <c r="P3" s="3">
        <f>SUM($O$2:Table1[[#This Row],[pctAllTimeExp]])</f>
        <v>0.30331298882402369</v>
      </c>
      <c r="Q3" t="b">
        <f>Table1[[#This Row],[cumPctAllTimeExp]]&lt;0.95</f>
        <v>1</v>
      </c>
    </row>
    <row r="4" spans="1:17" x14ac:dyDescent="0.25">
      <c r="A4">
        <v>1</v>
      </c>
      <c r="B4" t="s">
        <v>2507</v>
      </c>
      <c r="C4" t="s">
        <v>2507</v>
      </c>
      <c r="D4" t="s">
        <v>2515</v>
      </c>
      <c r="E4" t="s">
        <v>3</v>
      </c>
      <c r="F4" s="4">
        <v>9378027.5700000003</v>
      </c>
      <c r="G4" s="4">
        <v>27142932.620000001</v>
      </c>
      <c r="H4" s="4">
        <v>503606.01</v>
      </c>
      <c r="I4" s="4">
        <v>731343.24</v>
      </c>
      <c r="J4" s="4">
        <v>1289414.69</v>
      </c>
      <c r="K4" s="4">
        <v>0</v>
      </c>
      <c r="L4" s="4">
        <v>0</v>
      </c>
      <c r="M4" s="4">
        <v>0</v>
      </c>
      <c r="N4" s="4">
        <f>SUM(Table1[[#This Row],[2025]:[2018]])</f>
        <v>39045324.129999995</v>
      </c>
      <c r="O4" s="2">
        <f>Table1[[#This Row],[ttl]]/SUM(Table1[ttl])</f>
        <v>7.8732123214484195E-2</v>
      </c>
      <c r="P4" s="3">
        <f>SUM($O$2:Table1[[#This Row],[pctAllTimeExp]])</f>
        <v>0.38204511203850788</v>
      </c>
      <c r="Q4" t="b">
        <f>Table1[[#This Row],[cumPctAllTimeExp]]&lt;0.95</f>
        <v>1</v>
      </c>
    </row>
    <row r="5" spans="1:17" x14ac:dyDescent="0.25">
      <c r="A5">
        <v>4</v>
      </c>
      <c r="B5" t="s">
        <v>2511</v>
      </c>
      <c r="C5" t="s">
        <v>2756</v>
      </c>
      <c r="D5" t="s">
        <v>2516</v>
      </c>
      <c r="E5" t="s">
        <v>6</v>
      </c>
      <c r="F5" s="4">
        <v>2897550.92</v>
      </c>
      <c r="G5" s="4">
        <v>2335707.66</v>
      </c>
      <c r="H5" s="4">
        <v>2884496.26</v>
      </c>
      <c r="I5" s="4">
        <v>3662047.73</v>
      </c>
      <c r="J5" s="4">
        <v>2287076.9500000002</v>
      </c>
      <c r="K5" s="4">
        <v>2284283.9700000002</v>
      </c>
      <c r="L5" s="4">
        <v>2279696.25</v>
      </c>
      <c r="M5" s="4">
        <v>2319694.13</v>
      </c>
      <c r="N5" s="4">
        <f>SUM(Table1[[#This Row],[2025]:[2018]])</f>
        <v>20950553.870000001</v>
      </c>
      <c r="O5" s="2">
        <f>Table1[[#This Row],[ttl]]/SUM(Table1[ttl])</f>
        <v>4.2245304026997943E-2</v>
      </c>
      <c r="P5" s="3">
        <f>SUM($O$2:Table1[[#This Row],[pctAllTimeExp]])</f>
        <v>0.42429041606550583</v>
      </c>
      <c r="Q5" t="b">
        <f>Table1[[#This Row],[cumPctAllTimeExp]]&lt;0.95</f>
        <v>1</v>
      </c>
    </row>
    <row r="6" spans="1:17" x14ac:dyDescent="0.25">
      <c r="A6">
        <v>5</v>
      </c>
      <c r="B6" t="s">
        <v>2512</v>
      </c>
      <c r="C6" t="s">
        <v>2767</v>
      </c>
      <c r="D6" t="s">
        <v>2517</v>
      </c>
      <c r="E6" t="s">
        <v>7</v>
      </c>
      <c r="F6" s="4">
        <v>2058824.02</v>
      </c>
      <c r="G6" s="4">
        <v>2265678.0699999998</v>
      </c>
      <c r="H6" s="4">
        <v>2318471.9300000002</v>
      </c>
      <c r="I6" s="4">
        <v>2154710.4900000002</v>
      </c>
      <c r="J6" s="4">
        <v>1619753.74</v>
      </c>
      <c r="K6" s="4">
        <v>1887601.47</v>
      </c>
      <c r="L6" s="4">
        <v>1895135.31</v>
      </c>
      <c r="M6" s="4">
        <v>1883260.37</v>
      </c>
      <c r="N6" s="4">
        <f>SUM(Table1[[#This Row],[2025]:[2018]])</f>
        <v>16083435.400000002</v>
      </c>
      <c r="O6" s="2">
        <f>Table1[[#This Row],[ttl]]/SUM(Table1[ttl])</f>
        <v>3.2431105281875837E-2</v>
      </c>
      <c r="P6" s="3">
        <f>SUM($O$2:Table1[[#This Row],[pctAllTimeExp]])</f>
        <v>0.45672152134738164</v>
      </c>
      <c r="Q6" t="b">
        <f>Table1[[#This Row],[cumPctAllTimeExp]]&lt;0.95</f>
        <v>1</v>
      </c>
    </row>
    <row r="7" spans="1:17" x14ac:dyDescent="0.25">
      <c r="A7">
        <v>14</v>
      </c>
      <c r="B7" t="s">
        <v>2518</v>
      </c>
      <c r="C7" t="s">
        <v>2509</v>
      </c>
      <c r="D7" t="s">
        <v>2519</v>
      </c>
      <c r="E7" t="s">
        <v>16</v>
      </c>
      <c r="F7" s="4">
        <v>977614</v>
      </c>
      <c r="G7" s="4">
        <v>9197843</v>
      </c>
      <c r="H7" s="4">
        <v>3395207</v>
      </c>
      <c r="I7" s="4">
        <v>0</v>
      </c>
      <c r="J7" s="4">
        <v>29385</v>
      </c>
      <c r="K7" s="4">
        <v>382223.22</v>
      </c>
      <c r="L7" s="4">
        <v>0</v>
      </c>
      <c r="M7" s="4">
        <v>627901.88</v>
      </c>
      <c r="N7" s="4">
        <f>SUM(Table1[[#This Row],[2025]:[2018]])</f>
        <v>14610174.100000001</v>
      </c>
      <c r="O7" s="2">
        <f>Table1[[#This Row],[ttl]]/SUM(Table1[ttl])</f>
        <v>2.9460378497471726E-2</v>
      </c>
      <c r="P7" s="3">
        <f>SUM($O$2:Table1[[#This Row],[pctAllTimeExp]])</f>
        <v>0.48618189984485338</v>
      </c>
      <c r="Q7" t="b">
        <f>Table1[[#This Row],[cumPctAllTimeExp]]&lt;0.95</f>
        <v>1</v>
      </c>
    </row>
    <row r="8" spans="1:17" x14ac:dyDescent="0.25">
      <c r="A8">
        <v>688</v>
      </c>
      <c r="B8" t="s">
        <v>2507</v>
      </c>
      <c r="C8" t="s">
        <v>2507</v>
      </c>
      <c r="D8" t="s">
        <v>2520</v>
      </c>
      <c r="E8" t="s">
        <v>690</v>
      </c>
      <c r="F8" s="4">
        <v>0</v>
      </c>
      <c r="G8" s="4">
        <v>1539221.44</v>
      </c>
      <c r="H8" s="4">
        <v>2486526.7200000002</v>
      </c>
      <c r="I8" s="4">
        <v>755010.13</v>
      </c>
      <c r="J8" s="4">
        <v>1681022.06</v>
      </c>
      <c r="K8" s="4">
        <v>2668088.79</v>
      </c>
      <c r="L8" s="4">
        <v>2832478.82</v>
      </c>
      <c r="M8" s="4">
        <v>1856145.33</v>
      </c>
      <c r="N8" s="4">
        <f>SUM(Table1[[#This Row],[2025]:[2018]])</f>
        <v>13818493.290000001</v>
      </c>
      <c r="O8" s="2">
        <f>Table1[[#This Row],[ttl]]/SUM(Table1[ttl])</f>
        <v>2.7864010367143626E-2</v>
      </c>
      <c r="P8" s="3">
        <f>SUM($O$2:Table1[[#This Row],[pctAllTimeExp]])</f>
        <v>0.51404591021199697</v>
      </c>
      <c r="Q8" t="b">
        <f>Table1[[#This Row],[cumPctAllTimeExp]]&lt;0.95</f>
        <v>1</v>
      </c>
    </row>
    <row r="9" spans="1:17" x14ac:dyDescent="0.25">
      <c r="A9">
        <v>8</v>
      </c>
      <c r="B9" t="s">
        <v>2758</v>
      </c>
      <c r="C9" t="s">
        <v>2758</v>
      </c>
      <c r="D9" t="s">
        <v>2521</v>
      </c>
      <c r="E9" t="s">
        <v>10</v>
      </c>
      <c r="F9" s="4">
        <v>1645323.14</v>
      </c>
      <c r="G9" s="4">
        <v>1943640.99</v>
      </c>
      <c r="H9" s="4">
        <v>2017351.33</v>
      </c>
      <c r="I9" s="4">
        <v>1753172.59</v>
      </c>
      <c r="J9" s="4">
        <v>1100996.76</v>
      </c>
      <c r="K9" s="4">
        <v>1175584.3799999999</v>
      </c>
      <c r="L9" s="4">
        <v>1257707.21</v>
      </c>
      <c r="M9" s="4">
        <v>249713.48</v>
      </c>
      <c r="N9" s="4">
        <f>SUM(Table1[[#This Row],[2025]:[2018]])</f>
        <v>11143489.880000003</v>
      </c>
      <c r="O9" s="2">
        <f>Table1[[#This Row],[ttl]]/SUM(Table1[ttl])</f>
        <v>2.2470055962409499E-2</v>
      </c>
      <c r="P9" s="3">
        <f>SUM($O$2:Table1[[#This Row],[pctAllTimeExp]])</f>
        <v>0.53651596617440644</v>
      </c>
      <c r="Q9" t="b">
        <f>Table1[[#This Row],[cumPctAllTimeExp]]&lt;0.95</f>
        <v>1</v>
      </c>
    </row>
    <row r="10" spans="1:17" x14ac:dyDescent="0.25">
      <c r="A10">
        <v>7</v>
      </c>
      <c r="B10" t="s">
        <v>2510</v>
      </c>
      <c r="C10" t="s">
        <v>2510</v>
      </c>
      <c r="D10" t="s">
        <v>2522</v>
      </c>
      <c r="E10" t="s">
        <v>9</v>
      </c>
      <c r="F10" s="4">
        <v>1674154.83</v>
      </c>
      <c r="G10" s="4">
        <v>1303701.32</v>
      </c>
      <c r="H10" s="4">
        <v>1119531.79</v>
      </c>
      <c r="I10" s="4">
        <v>1061715.75</v>
      </c>
      <c r="J10" s="4">
        <v>1101440.99</v>
      </c>
      <c r="K10" s="4">
        <v>999857.74</v>
      </c>
      <c r="L10" s="4">
        <v>1167457.8600000001</v>
      </c>
      <c r="M10" s="4">
        <v>1171951.94</v>
      </c>
      <c r="N10" s="4">
        <f>SUM(Table1[[#This Row],[2025]:[2018]])</f>
        <v>9599812.2200000007</v>
      </c>
      <c r="O10" s="2">
        <f>Table1[[#This Row],[ttl]]/SUM(Table1[ttl])</f>
        <v>1.9357339588845439E-2</v>
      </c>
      <c r="P10" s="3">
        <f>SUM($O$2:Table1[[#This Row],[pctAllTimeExp]])</f>
        <v>0.55587330576325189</v>
      </c>
      <c r="Q10" t="b">
        <f>Table1[[#This Row],[cumPctAllTimeExp]]&lt;0.95</f>
        <v>1</v>
      </c>
    </row>
    <row r="11" spans="1:17" x14ac:dyDescent="0.25">
      <c r="A11">
        <v>9</v>
      </c>
      <c r="B11" t="s">
        <v>2512</v>
      </c>
      <c r="C11" t="s">
        <v>2768</v>
      </c>
      <c r="D11" t="s">
        <v>2523</v>
      </c>
      <c r="E11" t="s">
        <v>11</v>
      </c>
      <c r="F11" s="4">
        <v>1644341.04</v>
      </c>
      <c r="G11" s="4">
        <v>1442732.63</v>
      </c>
      <c r="H11" s="4">
        <v>1086416.58</v>
      </c>
      <c r="I11" s="4">
        <v>892609.43</v>
      </c>
      <c r="J11" s="4">
        <v>835364.45</v>
      </c>
      <c r="K11" s="4">
        <v>810560.09</v>
      </c>
      <c r="L11" s="4">
        <v>772402.73</v>
      </c>
      <c r="M11" s="4">
        <v>851271.86</v>
      </c>
      <c r="N11" s="4">
        <f>SUM(Table1[[#This Row],[2025]:[2018]])</f>
        <v>8335698.8099999996</v>
      </c>
      <c r="O11" s="2">
        <f>Table1[[#This Row],[ttl]]/SUM(Table1[ttl])</f>
        <v>1.6808344671507002E-2</v>
      </c>
      <c r="P11" s="3">
        <f>SUM($O$2:Table1[[#This Row],[pctAllTimeExp]])</f>
        <v>0.57268165043475894</v>
      </c>
      <c r="Q11" t="b">
        <f>Table1[[#This Row],[cumPctAllTimeExp]]&lt;0.95</f>
        <v>1</v>
      </c>
    </row>
    <row r="12" spans="1:17" x14ac:dyDescent="0.25">
      <c r="A12">
        <v>1649</v>
      </c>
      <c r="B12" t="s">
        <v>2507</v>
      </c>
      <c r="C12" t="s">
        <v>2507</v>
      </c>
      <c r="D12" t="s">
        <v>2524</v>
      </c>
      <c r="E12" t="s">
        <v>1651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3265394.61</v>
      </c>
      <c r="L12" s="4">
        <v>4741258.2699999996</v>
      </c>
      <c r="M12" s="4">
        <v>150315.87</v>
      </c>
      <c r="N12" s="4">
        <f>SUM(Table1[[#This Row],[2025]:[2018]])</f>
        <v>8156968.7499999991</v>
      </c>
      <c r="O12" s="2">
        <f>Table1[[#This Row],[ttl]]/SUM(Table1[ttl])</f>
        <v>1.6447948198444039E-2</v>
      </c>
      <c r="P12" s="3">
        <f>SUM($O$2:Table1[[#This Row],[pctAllTimeExp]])</f>
        <v>0.58912959863320302</v>
      </c>
      <c r="Q12" t="b">
        <f>Table1[[#This Row],[cumPctAllTimeExp]]&lt;0.95</f>
        <v>1</v>
      </c>
    </row>
    <row r="13" spans="1:17" x14ac:dyDescent="0.25">
      <c r="A13">
        <v>16</v>
      </c>
      <c r="B13" t="s">
        <v>2518</v>
      </c>
      <c r="C13" t="s">
        <v>2509</v>
      </c>
      <c r="D13" t="s">
        <v>2525</v>
      </c>
      <c r="E13" t="s">
        <v>18</v>
      </c>
      <c r="F13" s="4">
        <v>734287.01</v>
      </c>
      <c r="G13" s="4">
        <v>2722907.04</v>
      </c>
      <c r="H13" s="4">
        <v>167912.5</v>
      </c>
      <c r="I13" s="4">
        <v>192579.66</v>
      </c>
      <c r="J13" s="4">
        <v>934103.09</v>
      </c>
      <c r="K13" s="4">
        <v>1015169.65</v>
      </c>
      <c r="L13" s="4">
        <v>283195</v>
      </c>
      <c r="M13" s="4">
        <v>0</v>
      </c>
      <c r="N13" s="4">
        <f>SUM(Table1[[#This Row],[2025]:[2018]])</f>
        <v>6050153.9500000002</v>
      </c>
      <c r="O13" s="2">
        <f>Table1[[#This Row],[ttl]]/SUM(Table1[ttl])</f>
        <v>1.2199705774551558E-2</v>
      </c>
      <c r="P13" s="3">
        <f>SUM($O$2:Table1[[#This Row],[pctAllTimeExp]])</f>
        <v>0.60132930440775456</v>
      </c>
      <c r="Q13" t="b">
        <f>Table1[[#This Row],[cumPctAllTimeExp]]&lt;0.95</f>
        <v>1</v>
      </c>
    </row>
    <row r="14" spans="1:17" x14ac:dyDescent="0.25">
      <c r="A14">
        <v>123</v>
      </c>
      <c r="B14" t="s">
        <v>2518</v>
      </c>
      <c r="C14" t="s">
        <v>2509</v>
      </c>
      <c r="D14" t="s">
        <v>2526</v>
      </c>
      <c r="E14" t="s">
        <v>125</v>
      </c>
      <c r="F14" s="4">
        <v>34400</v>
      </c>
      <c r="G14" s="4">
        <v>303400.5</v>
      </c>
      <c r="H14" s="4">
        <v>1840980.21</v>
      </c>
      <c r="I14" s="4">
        <v>2460640</v>
      </c>
      <c r="J14" s="4">
        <v>105940</v>
      </c>
      <c r="K14" s="4">
        <v>319080</v>
      </c>
      <c r="L14" s="4">
        <v>619099</v>
      </c>
      <c r="M14" s="4">
        <v>314350</v>
      </c>
      <c r="N14" s="4">
        <f>SUM(Table1[[#This Row],[2025]:[2018]])</f>
        <v>5997889.71</v>
      </c>
      <c r="O14" s="2">
        <f>Table1[[#This Row],[ttl]]/SUM(Table1[ttl])</f>
        <v>1.2094318646256987E-2</v>
      </c>
      <c r="P14" s="3">
        <f>SUM($O$2:Table1[[#This Row],[pctAllTimeExp]])</f>
        <v>0.61342362305401155</v>
      </c>
      <c r="Q14" t="b">
        <f>Table1[[#This Row],[cumPctAllTimeExp]]&lt;0.95</f>
        <v>1</v>
      </c>
    </row>
    <row r="15" spans="1:17" x14ac:dyDescent="0.25">
      <c r="A15">
        <v>6</v>
      </c>
      <c r="B15" t="s">
        <v>2518</v>
      </c>
      <c r="C15" t="s">
        <v>2509</v>
      </c>
      <c r="D15" t="s">
        <v>2527</v>
      </c>
      <c r="E15" t="s">
        <v>8</v>
      </c>
      <c r="F15" s="4">
        <v>1913915.9</v>
      </c>
      <c r="G15" s="4">
        <v>534153.80000000005</v>
      </c>
      <c r="H15" s="4">
        <v>2110156.25</v>
      </c>
      <c r="I15" s="4">
        <v>1053174.47</v>
      </c>
      <c r="J15" s="4">
        <v>354376.25</v>
      </c>
      <c r="K15" s="4">
        <v>0</v>
      </c>
      <c r="L15" s="4">
        <v>0</v>
      </c>
      <c r="M15" s="4">
        <v>0</v>
      </c>
      <c r="N15" s="4">
        <f>SUM(Table1[[#This Row],[2025]:[2018]])</f>
        <v>5965776.6699999999</v>
      </c>
      <c r="O15" s="2">
        <f>Table1[[#This Row],[ttl]]/SUM(Table1[ttl])</f>
        <v>1.2029564981678518E-2</v>
      </c>
      <c r="P15" s="3">
        <f>SUM($O$2:Table1[[#This Row],[pctAllTimeExp]])</f>
        <v>0.62545318803569006</v>
      </c>
      <c r="Q15" t="b">
        <f>Table1[[#This Row],[cumPctAllTimeExp]]&lt;0.95</f>
        <v>1</v>
      </c>
    </row>
    <row r="16" spans="1:17" x14ac:dyDescent="0.25">
      <c r="A16">
        <v>15</v>
      </c>
      <c r="B16" t="s">
        <v>2757</v>
      </c>
      <c r="C16" t="s">
        <v>2758</v>
      </c>
      <c r="D16" t="s">
        <v>2529</v>
      </c>
      <c r="E16" t="s">
        <v>17</v>
      </c>
      <c r="F16" s="4">
        <v>800223.7</v>
      </c>
      <c r="G16" s="4">
        <v>890952.51</v>
      </c>
      <c r="H16" s="4">
        <v>869794.59</v>
      </c>
      <c r="I16" s="4">
        <v>620728.38</v>
      </c>
      <c r="J16" s="4">
        <v>1129085.9099999999</v>
      </c>
      <c r="K16" s="4">
        <v>678061.12</v>
      </c>
      <c r="L16" s="4">
        <v>635728.44999999995</v>
      </c>
      <c r="M16" s="4">
        <v>139334.85</v>
      </c>
      <c r="N16" s="4">
        <f>SUM(Table1[[#This Row],[2025]:[2018]])</f>
        <v>5763909.5099999998</v>
      </c>
      <c r="O16" s="2">
        <f>Table1[[#This Row],[ttl]]/SUM(Table1[ttl])</f>
        <v>1.1622514189600024E-2</v>
      </c>
      <c r="P16" s="3">
        <f>SUM($O$2:Table1[[#This Row],[pctAllTimeExp]])</f>
        <v>0.63707570222529009</v>
      </c>
      <c r="Q16" t="b">
        <f>Table1[[#This Row],[cumPctAllTimeExp]]&lt;0.95</f>
        <v>1</v>
      </c>
    </row>
    <row r="17" spans="1:17" x14ac:dyDescent="0.25">
      <c r="A17">
        <v>3</v>
      </c>
      <c r="B17" t="s">
        <v>2530</v>
      </c>
      <c r="C17" t="s">
        <v>2509</v>
      </c>
      <c r="D17" t="s">
        <v>2531</v>
      </c>
      <c r="E17" t="s">
        <v>5</v>
      </c>
      <c r="F17" s="4">
        <v>3867572.18</v>
      </c>
      <c r="G17" s="4">
        <v>839840.19</v>
      </c>
      <c r="H17" s="4">
        <v>524814.46</v>
      </c>
      <c r="I17" s="4">
        <v>62586.76</v>
      </c>
      <c r="J17" s="4">
        <v>0</v>
      </c>
      <c r="K17" s="4">
        <v>0</v>
      </c>
      <c r="L17" s="4">
        <v>0</v>
      </c>
      <c r="M17" s="4">
        <v>0</v>
      </c>
      <c r="N17" s="4">
        <f>SUM(Table1[[#This Row],[2025]:[2018]])</f>
        <v>5294813.59</v>
      </c>
      <c r="O17" s="2">
        <f>Table1[[#This Row],[ttl]]/SUM(Table1[ttl])</f>
        <v>1.0676615580847667E-2</v>
      </c>
      <c r="P17" s="3">
        <f>SUM($O$2:Table1[[#This Row],[pctAllTimeExp]])</f>
        <v>0.64775231780613773</v>
      </c>
      <c r="Q17" t="b">
        <f>Table1[[#This Row],[cumPctAllTimeExp]]&lt;0.95</f>
        <v>1</v>
      </c>
    </row>
    <row r="18" spans="1:17" x14ac:dyDescent="0.25">
      <c r="A18">
        <v>19</v>
      </c>
      <c r="B18" t="s">
        <v>2518</v>
      </c>
      <c r="C18" t="s">
        <v>2509</v>
      </c>
      <c r="D18" t="s">
        <v>2532</v>
      </c>
      <c r="E18" t="s">
        <v>21</v>
      </c>
      <c r="F18" s="4">
        <v>574378.22</v>
      </c>
      <c r="G18" s="4">
        <v>0</v>
      </c>
      <c r="H18" s="4">
        <v>285547.88</v>
      </c>
      <c r="I18" s="4">
        <v>2386733.89</v>
      </c>
      <c r="J18" s="4">
        <v>1681043.84</v>
      </c>
      <c r="K18" s="4">
        <v>0</v>
      </c>
      <c r="L18" s="4">
        <v>0</v>
      </c>
      <c r="M18" s="4">
        <v>0</v>
      </c>
      <c r="N18" s="4">
        <f>SUM(Table1[[#This Row],[2025]:[2018]])</f>
        <v>4927703.83</v>
      </c>
      <c r="O18" s="2">
        <f>Table1[[#This Row],[ttl]]/SUM(Table1[ttl])</f>
        <v>9.9363648209531644E-3</v>
      </c>
      <c r="P18" s="3">
        <f>SUM($O$2:Table1[[#This Row],[pctAllTimeExp]])</f>
        <v>0.6576886826270909</v>
      </c>
      <c r="Q18" t="b">
        <f>Table1[[#This Row],[cumPctAllTimeExp]]&lt;0.95</f>
        <v>1</v>
      </c>
    </row>
    <row r="19" spans="1:17" x14ac:dyDescent="0.25">
      <c r="A19">
        <v>13</v>
      </c>
      <c r="B19" t="s">
        <v>2530</v>
      </c>
      <c r="C19" t="s">
        <v>2509</v>
      </c>
      <c r="D19" t="s">
        <v>2533</v>
      </c>
      <c r="E19" t="s">
        <v>15</v>
      </c>
      <c r="F19" s="4">
        <v>1217349.3700000001</v>
      </c>
      <c r="G19" s="4">
        <v>776668.04</v>
      </c>
      <c r="H19" s="4">
        <v>775098.24</v>
      </c>
      <c r="I19" s="4">
        <v>543527.37</v>
      </c>
      <c r="J19" s="4">
        <v>278226.21000000002</v>
      </c>
      <c r="K19" s="4">
        <v>591759.07999999996</v>
      </c>
      <c r="L19" s="4">
        <v>399198.18</v>
      </c>
      <c r="M19" s="4">
        <v>107882.54</v>
      </c>
      <c r="N19" s="4">
        <f>SUM(Table1[[#This Row],[2025]:[2018]])</f>
        <v>4689709.03</v>
      </c>
      <c r="O19" s="2">
        <f>Table1[[#This Row],[ttl]]/SUM(Table1[ttl])</f>
        <v>9.45646520850227E-3</v>
      </c>
      <c r="P19" s="3">
        <f>SUM($O$2:Table1[[#This Row],[pctAllTimeExp]])</f>
        <v>0.6671451478355932</v>
      </c>
      <c r="Q19" t="b">
        <f>Table1[[#This Row],[cumPctAllTimeExp]]&lt;0.95</f>
        <v>1</v>
      </c>
    </row>
    <row r="20" spans="1:17" x14ac:dyDescent="0.25">
      <c r="A20">
        <v>52</v>
      </c>
      <c r="B20" t="s">
        <v>2758</v>
      </c>
      <c r="C20" t="s">
        <v>2758</v>
      </c>
      <c r="D20" t="s">
        <v>2534</v>
      </c>
      <c r="E20" t="s">
        <v>54</v>
      </c>
      <c r="F20" s="4">
        <v>130735.35</v>
      </c>
      <c r="G20" s="4">
        <v>166443.74</v>
      </c>
      <c r="H20" s="4">
        <v>2838592.74</v>
      </c>
      <c r="I20" s="4">
        <v>1114260.1599999999</v>
      </c>
      <c r="J20" s="4">
        <v>296267.28000000003</v>
      </c>
      <c r="K20" s="4">
        <v>54930</v>
      </c>
      <c r="L20" s="4">
        <v>40201.910000000003</v>
      </c>
      <c r="M20" s="4">
        <v>40232.639999999999</v>
      </c>
      <c r="N20" s="4">
        <f>SUM(Table1[[#This Row],[2025]:[2018]])</f>
        <v>4681663.82</v>
      </c>
      <c r="O20" s="2">
        <f>Table1[[#This Row],[ttl]]/SUM(Table1[ttl])</f>
        <v>9.4402426138863963E-3</v>
      </c>
      <c r="P20" s="3">
        <f>SUM($O$2:Table1[[#This Row],[pctAllTimeExp]])</f>
        <v>0.67658539044947963</v>
      </c>
      <c r="Q20" t="b">
        <f>Table1[[#This Row],[cumPctAllTimeExp]]&lt;0.95</f>
        <v>1</v>
      </c>
    </row>
    <row r="21" spans="1:17" x14ac:dyDescent="0.25">
      <c r="A21">
        <v>689</v>
      </c>
      <c r="B21" t="s">
        <v>2507</v>
      </c>
      <c r="C21" t="s">
        <v>2507</v>
      </c>
      <c r="D21" t="s">
        <v>2535</v>
      </c>
      <c r="E21" t="s">
        <v>691</v>
      </c>
      <c r="F21" s="4">
        <v>0</v>
      </c>
      <c r="G21" s="4">
        <v>522330.11</v>
      </c>
      <c r="H21" s="4">
        <v>2045535.26</v>
      </c>
      <c r="I21" s="4">
        <v>1541636.61</v>
      </c>
      <c r="J21" s="4">
        <v>0</v>
      </c>
      <c r="K21" s="4">
        <v>0</v>
      </c>
      <c r="L21" s="4">
        <v>0</v>
      </c>
      <c r="M21" s="4">
        <v>0</v>
      </c>
      <c r="N21" s="4">
        <f>SUM(Table1[[#This Row],[2025]:[2018]])</f>
        <v>4109501.9800000004</v>
      </c>
      <c r="O21" s="2">
        <f>Table1[[#This Row],[ttl]]/SUM(Table1[ttl])</f>
        <v>8.2865188969178313E-3</v>
      </c>
      <c r="P21" s="3">
        <f>SUM($O$2:Table1[[#This Row],[pctAllTimeExp]])</f>
        <v>0.68487190934639741</v>
      </c>
      <c r="Q21" t="b">
        <f>Table1[[#This Row],[cumPctAllTimeExp]]&lt;0.95</f>
        <v>1</v>
      </c>
    </row>
    <row r="22" spans="1:17" x14ac:dyDescent="0.25">
      <c r="A22">
        <v>17</v>
      </c>
      <c r="B22" t="s">
        <v>2758</v>
      </c>
      <c r="C22" t="s">
        <v>2758</v>
      </c>
      <c r="D22" t="s">
        <v>2536</v>
      </c>
      <c r="E22" t="s">
        <v>19</v>
      </c>
      <c r="F22" s="4">
        <v>720574.86</v>
      </c>
      <c r="G22" s="4">
        <v>599528.19999999995</v>
      </c>
      <c r="H22" s="4">
        <v>715995.69</v>
      </c>
      <c r="I22" s="4">
        <v>496725.31</v>
      </c>
      <c r="J22" s="4">
        <v>352418.19</v>
      </c>
      <c r="K22" s="4">
        <v>370898.54</v>
      </c>
      <c r="L22" s="4">
        <v>334415.78999999998</v>
      </c>
      <c r="M22" s="4">
        <v>348629.27</v>
      </c>
      <c r="N22" s="4">
        <f>SUM(Table1[[#This Row],[2025]:[2018]])</f>
        <v>3939185.85</v>
      </c>
      <c r="O22" s="2">
        <f>Table1[[#This Row],[ttl]]/SUM(Table1[ttl])</f>
        <v>7.9430885161652434E-3</v>
      </c>
      <c r="P22" s="3">
        <f>SUM($O$2:Table1[[#This Row],[pctAllTimeExp]])</f>
        <v>0.69281499786256262</v>
      </c>
      <c r="Q22" t="b">
        <f>Table1[[#This Row],[cumPctAllTimeExp]]&lt;0.95</f>
        <v>1</v>
      </c>
    </row>
    <row r="23" spans="1:17" x14ac:dyDescent="0.25">
      <c r="A23">
        <v>96</v>
      </c>
      <c r="B23" t="s">
        <v>2518</v>
      </c>
      <c r="C23" t="s">
        <v>2509</v>
      </c>
      <c r="D23" t="s">
        <v>2537</v>
      </c>
      <c r="E23" t="s">
        <v>98</v>
      </c>
      <c r="F23" s="4">
        <v>48774</v>
      </c>
      <c r="G23" s="4">
        <v>568280</v>
      </c>
      <c r="H23" s="4">
        <v>63000</v>
      </c>
      <c r="I23" s="4">
        <v>44212</v>
      </c>
      <c r="J23" s="4">
        <v>0</v>
      </c>
      <c r="K23" s="4">
        <v>141720.41</v>
      </c>
      <c r="L23" s="4">
        <v>1818935.69</v>
      </c>
      <c r="M23" s="4">
        <v>1155802.6299999999</v>
      </c>
      <c r="N23" s="4">
        <f>SUM(Table1[[#This Row],[2025]:[2018]])</f>
        <v>3840724.73</v>
      </c>
      <c r="O23" s="2">
        <f>Table1[[#This Row],[ttl]]/SUM(Table1[ttl])</f>
        <v>7.7445486601285529E-3</v>
      </c>
      <c r="P23" s="3">
        <f>SUM($O$2:Table1[[#This Row],[pctAllTimeExp]])</f>
        <v>0.70055954652269115</v>
      </c>
      <c r="Q23" t="b">
        <f>Table1[[#This Row],[cumPctAllTimeExp]]&lt;0.95</f>
        <v>1</v>
      </c>
    </row>
    <row r="24" spans="1:17" x14ac:dyDescent="0.25">
      <c r="A24">
        <v>697</v>
      </c>
      <c r="B24" t="s">
        <v>2518</v>
      </c>
      <c r="C24" t="s">
        <v>2509</v>
      </c>
      <c r="D24" t="s">
        <v>2538</v>
      </c>
      <c r="E24" t="s">
        <v>699</v>
      </c>
      <c r="F24" s="4">
        <v>0</v>
      </c>
      <c r="G24" s="4">
        <v>157634.37</v>
      </c>
      <c r="H24" s="4">
        <v>2343499.71</v>
      </c>
      <c r="I24" s="4">
        <v>977350.93</v>
      </c>
      <c r="J24" s="4">
        <v>0</v>
      </c>
      <c r="K24" s="4">
        <v>0</v>
      </c>
      <c r="L24" s="4">
        <v>0</v>
      </c>
      <c r="M24" s="4">
        <v>0</v>
      </c>
      <c r="N24" s="4">
        <f>SUM(Table1[[#This Row],[2025]:[2018]])</f>
        <v>3478485.0100000002</v>
      </c>
      <c r="O24" s="2">
        <f>Table1[[#This Row],[ttl]]/SUM(Table1[ttl])</f>
        <v>7.0141179900369372E-3</v>
      </c>
      <c r="P24" s="3">
        <f>SUM($O$2:Table1[[#This Row],[pctAllTimeExp]])</f>
        <v>0.70757366451272807</v>
      </c>
      <c r="Q24" t="b">
        <f>Table1[[#This Row],[cumPctAllTimeExp]]&lt;0.95</f>
        <v>1</v>
      </c>
    </row>
    <row r="25" spans="1:17" x14ac:dyDescent="0.25">
      <c r="A25">
        <v>1311</v>
      </c>
      <c r="B25" t="s">
        <v>2518</v>
      </c>
      <c r="C25" t="s">
        <v>2509</v>
      </c>
      <c r="D25" t="s">
        <v>2539</v>
      </c>
      <c r="E25" t="s">
        <v>1313</v>
      </c>
      <c r="F25" s="4">
        <v>0</v>
      </c>
      <c r="G25" s="4">
        <v>0</v>
      </c>
      <c r="H25" s="4">
        <v>0</v>
      </c>
      <c r="I25" s="4">
        <v>535.5</v>
      </c>
      <c r="J25" s="4">
        <v>767038.85</v>
      </c>
      <c r="K25" s="4">
        <v>2189706.31</v>
      </c>
      <c r="L25" s="4">
        <v>504570.9</v>
      </c>
      <c r="M25" s="4">
        <v>0</v>
      </c>
      <c r="N25" s="4">
        <f>SUM(Table1[[#This Row],[2025]:[2018]])</f>
        <v>3461851.56</v>
      </c>
      <c r="O25" s="2">
        <f>Table1[[#This Row],[ttl]]/SUM(Table1[ttl])</f>
        <v>6.9805778193747147E-3</v>
      </c>
      <c r="P25" s="3">
        <f>SUM($O$2:Table1[[#This Row],[pctAllTimeExp]])</f>
        <v>0.71455424233210274</v>
      </c>
      <c r="Q25" t="b">
        <f>Table1[[#This Row],[cumPctAllTimeExp]]&lt;0.95</f>
        <v>1</v>
      </c>
    </row>
    <row r="26" spans="1:17" x14ac:dyDescent="0.25">
      <c r="A26">
        <v>792</v>
      </c>
      <c r="B26" t="s">
        <v>2518</v>
      </c>
      <c r="C26" t="s">
        <v>2509</v>
      </c>
      <c r="D26" t="s">
        <v>2540</v>
      </c>
      <c r="E26" t="s">
        <v>794</v>
      </c>
      <c r="F26" s="4">
        <v>0</v>
      </c>
      <c r="G26" s="4">
        <v>2724.65</v>
      </c>
      <c r="H26" s="4">
        <v>668489.1</v>
      </c>
      <c r="I26" s="4">
        <v>0</v>
      </c>
      <c r="J26" s="4">
        <v>189475.42</v>
      </c>
      <c r="K26" s="4">
        <v>892183.23</v>
      </c>
      <c r="L26" s="4">
        <v>595426.6</v>
      </c>
      <c r="M26" s="4">
        <v>816015.8</v>
      </c>
      <c r="N26" s="4">
        <f>SUM(Table1[[#This Row],[2025]:[2018]])</f>
        <v>3164314.8</v>
      </c>
      <c r="O26" s="2">
        <f>Table1[[#This Row],[ttl]]/SUM(Table1[ttl])</f>
        <v>6.3806160730933061E-3</v>
      </c>
      <c r="P26" s="3">
        <f>SUM($O$2:Table1[[#This Row],[pctAllTimeExp]])</f>
        <v>0.720934858405196</v>
      </c>
      <c r="Q26" t="b">
        <f>Table1[[#This Row],[cumPctAllTimeExp]]&lt;0.95</f>
        <v>1</v>
      </c>
    </row>
    <row r="27" spans="1:17" x14ac:dyDescent="0.25">
      <c r="A27">
        <v>20</v>
      </c>
      <c r="B27" t="s">
        <v>2512</v>
      </c>
      <c r="C27" t="s">
        <v>2767</v>
      </c>
      <c r="D27" t="s">
        <v>2541</v>
      </c>
      <c r="E27" t="s">
        <v>22</v>
      </c>
      <c r="F27" s="4">
        <v>573382.65</v>
      </c>
      <c r="G27" s="4">
        <v>689607.24</v>
      </c>
      <c r="H27" s="4">
        <v>554001.11</v>
      </c>
      <c r="I27" s="4">
        <v>338883.52</v>
      </c>
      <c r="J27" s="4">
        <v>346628.74</v>
      </c>
      <c r="K27" s="4">
        <v>338939.04</v>
      </c>
      <c r="L27" s="4">
        <v>7690.98</v>
      </c>
      <c r="M27" s="4">
        <v>122207.03999999999</v>
      </c>
      <c r="N27" s="4">
        <f>SUM(Table1[[#This Row],[2025]:[2018]])</f>
        <v>2971340.32</v>
      </c>
      <c r="O27" s="2">
        <f>Table1[[#This Row],[ttl]]/SUM(Table1[ttl])</f>
        <v>5.9914967387006525E-3</v>
      </c>
      <c r="P27" s="3">
        <f>SUM($O$2:Table1[[#This Row],[pctAllTimeExp]])</f>
        <v>0.7269263551438967</v>
      </c>
      <c r="Q27" t="b">
        <f>Table1[[#This Row],[cumPctAllTimeExp]]&lt;0.95</f>
        <v>1</v>
      </c>
    </row>
    <row r="28" spans="1:17" x14ac:dyDescent="0.25">
      <c r="A28">
        <v>1403</v>
      </c>
      <c r="B28" t="s">
        <v>2518</v>
      </c>
      <c r="C28" t="s">
        <v>2509</v>
      </c>
      <c r="D28" t="s">
        <v>2542</v>
      </c>
      <c r="E28" t="s">
        <v>1405</v>
      </c>
      <c r="F28" s="4">
        <v>0</v>
      </c>
      <c r="G28" s="4">
        <v>0</v>
      </c>
      <c r="H28" s="4">
        <v>0</v>
      </c>
      <c r="I28" s="4">
        <v>0</v>
      </c>
      <c r="J28" s="4">
        <v>2357954.75</v>
      </c>
      <c r="K28" s="4">
        <v>418857.25</v>
      </c>
      <c r="L28" s="4">
        <v>0</v>
      </c>
      <c r="M28" s="4">
        <v>0</v>
      </c>
      <c r="N28" s="4">
        <f>SUM(Table1[[#This Row],[2025]:[2018]])</f>
        <v>2776812</v>
      </c>
      <c r="O28" s="2">
        <f>Table1[[#This Row],[ttl]]/SUM(Table1[ttl])</f>
        <v>5.5992441962975275E-3</v>
      </c>
      <c r="P28" s="3">
        <f>SUM($O$2:Table1[[#This Row],[pctAllTimeExp]])</f>
        <v>0.73252559934019423</v>
      </c>
      <c r="Q28" t="b">
        <f>Table1[[#This Row],[cumPctAllTimeExp]]&lt;0.95</f>
        <v>1</v>
      </c>
    </row>
    <row r="29" spans="1:17" x14ac:dyDescent="0.25">
      <c r="A29">
        <v>21</v>
      </c>
      <c r="B29" t="s">
        <v>2543</v>
      </c>
      <c r="C29" t="s">
        <v>2543</v>
      </c>
      <c r="D29" t="s">
        <v>2544</v>
      </c>
      <c r="E29" t="s">
        <v>23</v>
      </c>
      <c r="F29" s="4">
        <v>569663.57999999996</v>
      </c>
      <c r="G29" s="4">
        <v>330977.78999999998</v>
      </c>
      <c r="H29" s="4">
        <v>160662.03</v>
      </c>
      <c r="I29" s="4">
        <v>926097.62</v>
      </c>
      <c r="J29" s="4">
        <v>145322.03</v>
      </c>
      <c r="K29" s="4">
        <v>282590.46999999997</v>
      </c>
      <c r="L29" s="4">
        <v>118363.01</v>
      </c>
      <c r="M29" s="4">
        <v>10543.1</v>
      </c>
      <c r="N29" s="4">
        <f>SUM(Table1[[#This Row],[2025]:[2018]])</f>
        <v>2544219.6299999994</v>
      </c>
      <c r="O29" s="2">
        <f>Table1[[#This Row],[ttl]]/SUM(Table1[ttl])</f>
        <v>5.1302382002756178E-3</v>
      </c>
      <c r="P29" s="3">
        <f>SUM($O$2:Table1[[#This Row],[pctAllTimeExp]])</f>
        <v>0.73765583754046982</v>
      </c>
      <c r="Q29" t="b">
        <f>Table1[[#This Row],[cumPctAllTimeExp]]&lt;0.95</f>
        <v>1</v>
      </c>
    </row>
    <row r="30" spans="1:17" x14ac:dyDescent="0.25">
      <c r="A30">
        <v>1197</v>
      </c>
      <c r="B30" t="s">
        <v>2530</v>
      </c>
      <c r="C30" t="s">
        <v>2530</v>
      </c>
      <c r="D30" t="s">
        <v>2545</v>
      </c>
      <c r="E30" t="s">
        <v>1199</v>
      </c>
      <c r="F30" s="4">
        <v>0</v>
      </c>
      <c r="G30" s="4">
        <v>0</v>
      </c>
      <c r="H30" s="4">
        <v>0</v>
      </c>
      <c r="I30" s="4">
        <v>241274.2</v>
      </c>
      <c r="J30" s="4">
        <v>314054.14</v>
      </c>
      <c r="K30" s="4">
        <v>436316.32</v>
      </c>
      <c r="L30" s="4">
        <v>918411.46</v>
      </c>
      <c r="M30" s="4">
        <v>625625.59</v>
      </c>
      <c r="N30" s="4">
        <f>SUM(Table1[[#This Row],[2025]:[2018]])</f>
        <v>2535681.71</v>
      </c>
      <c r="O30" s="2">
        <f>Table1[[#This Row],[ttl]]/SUM(Table1[ttl])</f>
        <v>5.1130220909356809E-3</v>
      </c>
      <c r="P30" s="3">
        <f>SUM($O$2:Table1[[#This Row],[pctAllTimeExp]])</f>
        <v>0.74276885963140549</v>
      </c>
      <c r="Q30" t="b">
        <f>Table1[[#This Row],[cumPctAllTimeExp]]&lt;0.95</f>
        <v>1</v>
      </c>
    </row>
    <row r="31" spans="1:17" x14ac:dyDescent="0.25">
      <c r="A31">
        <v>956</v>
      </c>
      <c r="B31" t="s">
        <v>2518</v>
      </c>
      <c r="C31" t="s">
        <v>2509</v>
      </c>
      <c r="D31" t="s">
        <v>2546</v>
      </c>
      <c r="E31" t="s">
        <v>958</v>
      </c>
      <c r="F31" s="4">
        <v>0</v>
      </c>
      <c r="G31" s="4">
        <v>0</v>
      </c>
      <c r="H31" s="4">
        <v>820702.2</v>
      </c>
      <c r="I31" s="4">
        <v>0</v>
      </c>
      <c r="J31" s="4">
        <v>0</v>
      </c>
      <c r="K31" s="4">
        <v>116121.85</v>
      </c>
      <c r="L31" s="4">
        <v>1524892.07</v>
      </c>
      <c r="M31" s="4">
        <v>0</v>
      </c>
      <c r="N31" s="4">
        <f>SUM(Table1[[#This Row],[2025]:[2018]])</f>
        <v>2461716.12</v>
      </c>
      <c r="O31" s="2">
        <f>Table1[[#This Row],[ttl]]/SUM(Table1[ttl])</f>
        <v>4.9638757315374855E-3</v>
      </c>
      <c r="P31" s="3">
        <f>SUM($O$2:Table1[[#This Row],[pctAllTimeExp]])</f>
        <v>0.74773273536294294</v>
      </c>
      <c r="Q31" t="b">
        <f>Table1[[#This Row],[cumPctAllTimeExp]]&lt;0.95</f>
        <v>1</v>
      </c>
    </row>
    <row r="32" spans="1:17" x14ac:dyDescent="0.25">
      <c r="A32">
        <v>108</v>
      </c>
      <c r="B32" t="s">
        <v>2512</v>
      </c>
      <c r="C32" t="s">
        <v>2767</v>
      </c>
      <c r="D32" t="s">
        <v>2547</v>
      </c>
      <c r="E32" t="s">
        <v>110</v>
      </c>
      <c r="F32" s="4">
        <v>41773.99</v>
      </c>
      <c r="G32" s="4">
        <v>407493.22</v>
      </c>
      <c r="H32" s="4">
        <v>538108.27</v>
      </c>
      <c r="I32" s="4">
        <v>235212.49</v>
      </c>
      <c r="J32" s="4">
        <v>386660.38</v>
      </c>
      <c r="K32" s="4">
        <v>270817.15999999997</v>
      </c>
      <c r="L32" s="4">
        <v>149327.5</v>
      </c>
      <c r="M32" s="4">
        <v>20941.150000000001</v>
      </c>
      <c r="N32" s="4">
        <f>SUM(Table1[[#This Row],[2025]:[2018]])</f>
        <v>2050334.16</v>
      </c>
      <c r="O32" s="2">
        <f>Table1[[#This Row],[ttl]]/SUM(Table1[ttl])</f>
        <v>4.1343532244352754E-3</v>
      </c>
      <c r="P32" s="3">
        <f>SUM($O$2:Table1[[#This Row],[pctAllTimeExp]])</f>
        <v>0.75186708858737816</v>
      </c>
      <c r="Q32" t="b">
        <f>Table1[[#This Row],[cumPctAllTimeExp]]&lt;0.95</f>
        <v>1</v>
      </c>
    </row>
    <row r="33" spans="1:17" x14ac:dyDescent="0.25">
      <c r="A33">
        <v>29</v>
      </c>
      <c r="B33" t="s">
        <v>2548</v>
      </c>
      <c r="C33" t="s">
        <v>2768</v>
      </c>
      <c r="D33" t="s">
        <v>2549</v>
      </c>
      <c r="E33" t="s">
        <v>31</v>
      </c>
      <c r="F33" s="4">
        <v>338491.78</v>
      </c>
      <c r="G33" s="4">
        <v>342771</v>
      </c>
      <c r="H33" s="4">
        <v>438609</v>
      </c>
      <c r="I33" s="4">
        <v>195412.94</v>
      </c>
      <c r="J33" s="4">
        <v>20703.439999999999</v>
      </c>
      <c r="K33" s="4">
        <v>129620.71</v>
      </c>
      <c r="L33" s="4">
        <v>345381.4</v>
      </c>
      <c r="M33" s="4">
        <v>50543.13</v>
      </c>
      <c r="N33" s="4">
        <f>SUM(Table1[[#This Row],[2025]:[2018]])</f>
        <v>1861533.4</v>
      </c>
      <c r="O33" s="2">
        <f>Table1[[#This Row],[ttl]]/SUM(Table1[ttl])</f>
        <v>3.7536499000162785E-3</v>
      </c>
      <c r="P33" s="3">
        <f>SUM($O$2:Table1[[#This Row],[pctAllTimeExp]])</f>
        <v>0.75562073848739442</v>
      </c>
      <c r="Q33" t="b">
        <f>Table1[[#This Row],[cumPctAllTimeExp]]&lt;0.95</f>
        <v>1</v>
      </c>
    </row>
    <row r="34" spans="1:17" x14ac:dyDescent="0.25">
      <c r="A34">
        <v>22</v>
      </c>
      <c r="B34" t="s">
        <v>2530</v>
      </c>
      <c r="C34" t="s">
        <v>2530</v>
      </c>
      <c r="D34" t="s">
        <v>2550</v>
      </c>
      <c r="E34" t="s">
        <v>24</v>
      </c>
      <c r="F34" s="4">
        <v>467457.53</v>
      </c>
      <c r="G34" s="4">
        <v>302521.93</v>
      </c>
      <c r="H34" s="4">
        <v>232568.93</v>
      </c>
      <c r="I34" s="4">
        <v>187485.91</v>
      </c>
      <c r="J34" s="4">
        <v>45476.81</v>
      </c>
      <c r="K34" s="4">
        <v>44223.93</v>
      </c>
      <c r="L34" s="4">
        <v>182323.07</v>
      </c>
      <c r="M34" s="4">
        <v>347515.38</v>
      </c>
      <c r="N34" s="4">
        <f>SUM(Table1[[#This Row],[2025]:[2018]])</f>
        <v>1809573.4899999998</v>
      </c>
      <c r="O34" s="2">
        <f>Table1[[#This Row],[ttl]]/SUM(Table1[ttl])</f>
        <v>3.6488764315540123E-3</v>
      </c>
      <c r="P34" s="3">
        <f>SUM($O$2:Table1[[#This Row],[pctAllTimeExp]])</f>
        <v>0.7592696149189484</v>
      </c>
      <c r="Q34" t="b">
        <f>Table1[[#This Row],[cumPctAllTimeExp]]&lt;0.95</f>
        <v>1</v>
      </c>
    </row>
    <row r="35" spans="1:17" x14ac:dyDescent="0.25">
      <c r="A35">
        <v>1650</v>
      </c>
      <c r="B35" t="s">
        <v>2507</v>
      </c>
      <c r="C35" t="s">
        <v>2507</v>
      </c>
      <c r="D35" t="s">
        <v>2551</v>
      </c>
      <c r="E35" t="s">
        <v>1652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1750000</v>
      </c>
      <c r="L35" s="4">
        <v>0</v>
      </c>
      <c r="M35" s="4">
        <v>0</v>
      </c>
      <c r="N35" s="4">
        <f>SUM(Table1[[#This Row],[2025]:[2018]])</f>
        <v>1750000</v>
      </c>
      <c r="O35" s="2">
        <f>Table1[[#This Row],[ttl]]/SUM(Table1[ttl])</f>
        <v>3.5287507197176737E-3</v>
      </c>
      <c r="P35" s="3">
        <f>SUM($O$2:Table1[[#This Row],[pctAllTimeExp]])</f>
        <v>0.7627983656386661</v>
      </c>
      <c r="Q35" t="b">
        <f>Table1[[#This Row],[cumPctAllTimeExp]]&lt;0.95</f>
        <v>1</v>
      </c>
    </row>
    <row r="36" spans="1:17" x14ac:dyDescent="0.25">
      <c r="A36">
        <v>44</v>
      </c>
      <c r="B36" t="s">
        <v>2552</v>
      </c>
      <c r="C36" t="s">
        <v>2552</v>
      </c>
      <c r="D36" t="s">
        <v>2553</v>
      </c>
      <c r="E36" t="s">
        <v>46</v>
      </c>
      <c r="F36" s="4">
        <v>162943</v>
      </c>
      <c r="G36" s="4">
        <v>133834</v>
      </c>
      <c r="H36" s="4">
        <v>253533.12</v>
      </c>
      <c r="I36" s="4">
        <v>293554</v>
      </c>
      <c r="J36" s="4">
        <v>127765</v>
      </c>
      <c r="K36" s="4">
        <v>231487.75</v>
      </c>
      <c r="L36" s="4">
        <v>275429.38</v>
      </c>
      <c r="M36" s="4">
        <v>242282.61</v>
      </c>
      <c r="N36" s="4">
        <f>SUM(Table1[[#This Row],[2025]:[2018]])</f>
        <v>1720828.8599999999</v>
      </c>
      <c r="O36" s="2">
        <f>Table1[[#This Row],[ttl]]/SUM(Table1[ttl])</f>
        <v>3.4699291875633963E-3</v>
      </c>
      <c r="P36" s="3">
        <f>SUM($O$2:Table1[[#This Row],[pctAllTimeExp]])</f>
        <v>0.76626829482622949</v>
      </c>
      <c r="Q36" t="b">
        <f>Table1[[#This Row],[cumPctAllTimeExp]]&lt;0.95</f>
        <v>1</v>
      </c>
    </row>
    <row r="37" spans="1:17" x14ac:dyDescent="0.25">
      <c r="A37">
        <v>1226</v>
      </c>
      <c r="B37" t="s">
        <v>2512</v>
      </c>
      <c r="C37" t="s">
        <v>2767</v>
      </c>
      <c r="D37" t="s">
        <v>2554</v>
      </c>
      <c r="E37" t="s">
        <v>1228</v>
      </c>
      <c r="F37" s="4">
        <v>0</v>
      </c>
      <c r="G37" s="4">
        <v>0</v>
      </c>
      <c r="H37" s="4">
        <v>0</v>
      </c>
      <c r="I37" s="4">
        <v>6721</v>
      </c>
      <c r="J37" s="4">
        <v>0</v>
      </c>
      <c r="K37" s="4">
        <v>104094</v>
      </c>
      <c r="L37" s="4">
        <v>1522556.58</v>
      </c>
      <c r="M37" s="4">
        <v>0</v>
      </c>
      <c r="N37" s="4">
        <f>SUM(Table1[[#This Row],[2025]:[2018]])</f>
        <v>1633371.58</v>
      </c>
      <c r="O37" s="2">
        <f>Table1[[#This Row],[ttl]]/SUM(Table1[ttl])</f>
        <v>3.2935777934236538E-3</v>
      </c>
      <c r="P37" s="3">
        <f>SUM($O$2:Table1[[#This Row],[pctAllTimeExp]])</f>
        <v>0.76956187261965314</v>
      </c>
      <c r="Q37" t="b">
        <f>Table1[[#This Row],[cumPctAllTimeExp]]&lt;0.95</f>
        <v>1</v>
      </c>
    </row>
    <row r="38" spans="1:17" x14ac:dyDescent="0.25">
      <c r="A38">
        <v>10</v>
      </c>
      <c r="B38" t="s">
        <v>2518</v>
      </c>
      <c r="C38" t="s">
        <v>2509</v>
      </c>
      <c r="D38" t="s">
        <v>2555</v>
      </c>
      <c r="E38" t="s">
        <v>12</v>
      </c>
      <c r="F38" s="4">
        <v>1539626.37</v>
      </c>
      <c r="G38" s="4">
        <v>35245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f>SUM(Table1[[#This Row],[2025]:[2018]])</f>
        <v>1574871.37</v>
      </c>
      <c r="O38" s="2">
        <f>Table1[[#This Row],[ttl]]/SUM(Table1[ttl])</f>
        <v>3.1756162744858625E-3</v>
      </c>
      <c r="P38" s="3">
        <f>SUM($O$2:Table1[[#This Row],[pctAllTimeExp]])</f>
        <v>0.77273748889413896</v>
      </c>
      <c r="Q38" t="b">
        <f>Table1[[#This Row],[cumPctAllTimeExp]]&lt;0.95</f>
        <v>1</v>
      </c>
    </row>
    <row r="39" spans="1:17" x14ac:dyDescent="0.25">
      <c r="A39">
        <v>31</v>
      </c>
      <c r="B39" t="s">
        <v>2758</v>
      </c>
      <c r="C39" t="s">
        <v>2543</v>
      </c>
      <c r="D39" t="s">
        <v>2556</v>
      </c>
      <c r="E39" t="s">
        <v>33</v>
      </c>
      <c r="F39" s="4">
        <v>286239.99</v>
      </c>
      <c r="G39" s="4">
        <v>202649.51</v>
      </c>
      <c r="H39" s="4">
        <v>182007.26</v>
      </c>
      <c r="I39" s="4">
        <v>154353.23000000001</v>
      </c>
      <c r="J39" s="4">
        <v>152146.25</v>
      </c>
      <c r="K39" s="4">
        <v>142765.73000000001</v>
      </c>
      <c r="L39" s="4">
        <v>206567.29</v>
      </c>
      <c r="M39" s="4">
        <v>210487.98</v>
      </c>
      <c r="N39" s="4">
        <f>SUM(Table1[[#This Row],[2025]:[2018]])</f>
        <v>1537217.24</v>
      </c>
      <c r="O39" s="2">
        <f>Table1[[#This Row],[ttl]]/SUM(Table1[ttl])</f>
        <v>3.0996893954356661E-3</v>
      </c>
      <c r="P39" s="3">
        <f>SUM($O$2:Table1[[#This Row],[pctAllTimeExp]])</f>
        <v>0.77583717828957466</v>
      </c>
      <c r="Q39" t="b">
        <f>Table1[[#This Row],[cumPctAllTimeExp]]&lt;0.95</f>
        <v>1</v>
      </c>
    </row>
    <row r="40" spans="1:17" x14ac:dyDescent="0.25">
      <c r="A40">
        <v>228</v>
      </c>
      <c r="B40" t="s">
        <v>2518</v>
      </c>
      <c r="C40" t="s">
        <v>2509</v>
      </c>
      <c r="D40" t="s">
        <v>2557</v>
      </c>
      <c r="E40" t="s">
        <v>230</v>
      </c>
      <c r="F40" s="4">
        <v>9488.43</v>
      </c>
      <c r="G40" s="4">
        <v>38510.49</v>
      </c>
      <c r="H40" s="4">
        <v>54489</v>
      </c>
      <c r="I40" s="4">
        <v>26625</v>
      </c>
      <c r="J40" s="4">
        <v>20775.3</v>
      </c>
      <c r="K40" s="4">
        <v>816629.7</v>
      </c>
      <c r="L40" s="4">
        <v>379893</v>
      </c>
      <c r="M40" s="4">
        <v>28714</v>
      </c>
      <c r="N40" s="4">
        <f>SUM(Table1[[#This Row],[2025]:[2018]])</f>
        <v>1375124.92</v>
      </c>
      <c r="O40" s="2">
        <f>Table1[[#This Row],[ttl]]/SUM(Table1[ttl])</f>
        <v>2.7728417435152618E-3</v>
      </c>
      <c r="P40" s="3">
        <f>SUM($O$2:Table1[[#This Row],[pctAllTimeExp]])</f>
        <v>0.77861002003308988</v>
      </c>
      <c r="Q40" t="b">
        <f>Table1[[#This Row],[cumPctAllTimeExp]]&lt;0.95</f>
        <v>1</v>
      </c>
    </row>
    <row r="41" spans="1:17" x14ac:dyDescent="0.25">
      <c r="A41">
        <v>957</v>
      </c>
      <c r="B41" t="s">
        <v>2552</v>
      </c>
      <c r="C41" t="s">
        <v>2552</v>
      </c>
      <c r="D41" t="s">
        <v>2558</v>
      </c>
      <c r="E41" t="s">
        <v>959</v>
      </c>
      <c r="F41" s="4">
        <v>0</v>
      </c>
      <c r="G41" s="4">
        <v>0</v>
      </c>
      <c r="H41" s="4">
        <v>355765</v>
      </c>
      <c r="I41" s="4">
        <v>285203.90000000002</v>
      </c>
      <c r="J41" s="4">
        <v>155676.76999999999</v>
      </c>
      <c r="K41" s="4">
        <v>141676.79999999999</v>
      </c>
      <c r="L41" s="4">
        <v>219871.6</v>
      </c>
      <c r="M41" s="4">
        <v>181767</v>
      </c>
      <c r="N41" s="4">
        <f>SUM(Table1[[#This Row],[2025]:[2018]])</f>
        <v>1339961.07</v>
      </c>
      <c r="O41" s="2">
        <f>Table1[[#This Row],[ttl]]/SUM(Table1[ttl])</f>
        <v>2.7019363372320936E-3</v>
      </c>
      <c r="P41" s="3">
        <f>SUM($O$2:Table1[[#This Row],[pctAllTimeExp]])</f>
        <v>0.78131195637032202</v>
      </c>
      <c r="Q41" t="b">
        <f>Table1[[#This Row],[cumPctAllTimeExp]]&lt;0.95</f>
        <v>1</v>
      </c>
    </row>
    <row r="42" spans="1:17" x14ac:dyDescent="0.25">
      <c r="A42">
        <v>690</v>
      </c>
      <c r="B42" t="s">
        <v>2512</v>
      </c>
      <c r="C42" t="s">
        <v>2767</v>
      </c>
      <c r="D42" t="s">
        <v>2559</v>
      </c>
      <c r="E42" t="s">
        <v>692</v>
      </c>
      <c r="F42" s="4">
        <v>0</v>
      </c>
      <c r="G42" s="4">
        <v>471244.5</v>
      </c>
      <c r="H42" s="4">
        <v>69621.25</v>
      </c>
      <c r="I42" s="4">
        <v>0</v>
      </c>
      <c r="J42" s="4">
        <v>395847.5</v>
      </c>
      <c r="K42" s="4">
        <v>670</v>
      </c>
      <c r="L42" s="4">
        <v>215250</v>
      </c>
      <c r="M42" s="4">
        <v>182000</v>
      </c>
      <c r="N42" s="4">
        <f>SUM(Table1[[#This Row],[2025]:[2018]])</f>
        <v>1334633.25</v>
      </c>
      <c r="O42" s="2">
        <f>Table1[[#This Row],[ttl]]/SUM(Table1[ttl])</f>
        <v>2.6911931665695075E-3</v>
      </c>
      <c r="P42" s="3">
        <f>SUM($O$2:Table1[[#This Row],[pctAllTimeExp]])</f>
        <v>0.78400314953689154</v>
      </c>
      <c r="Q42" t="b">
        <f>Table1[[#This Row],[cumPctAllTimeExp]]&lt;0.95</f>
        <v>1</v>
      </c>
    </row>
    <row r="43" spans="1:17" x14ac:dyDescent="0.25">
      <c r="A43">
        <v>100</v>
      </c>
      <c r="B43" t="s">
        <v>2543</v>
      </c>
      <c r="C43" t="s">
        <v>2543</v>
      </c>
      <c r="D43" t="s">
        <v>2560</v>
      </c>
      <c r="E43" t="s">
        <v>102</v>
      </c>
      <c r="F43" s="4">
        <v>46551.29</v>
      </c>
      <c r="G43" s="4">
        <v>312197.32</v>
      </c>
      <c r="H43" s="4">
        <v>148030.22</v>
      </c>
      <c r="I43" s="4">
        <v>148511.82999999999</v>
      </c>
      <c r="J43" s="4">
        <v>31802.99</v>
      </c>
      <c r="K43" s="4">
        <v>341372.7</v>
      </c>
      <c r="L43" s="4">
        <v>271444.02</v>
      </c>
      <c r="M43" s="4">
        <v>32296.6</v>
      </c>
      <c r="N43" s="4">
        <f>SUM(Table1[[#This Row],[2025]:[2018]])</f>
        <v>1332206.97</v>
      </c>
      <c r="O43" s="2">
        <f>Table1[[#This Row],[ttl]]/SUM(Table1[ttl])</f>
        <v>2.6863007452573723E-3</v>
      </c>
      <c r="P43" s="3">
        <f>SUM($O$2:Table1[[#This Row],[pctAllTimeExp]])</f>
        <v>0.78668945028214887</v>
      </c>
      <c r="Q43" t="b">
        <f>Table1[[#This Row],[cumPctAllTimeExp]]&lt;0.95</f>
        <v>1</v>
      </c>
    </row>
    <row r="44" spans="1:17" x14ac:dyDescent="0.25">
      <c r="A44">
        <v>42</v>
      </c>
      <c r="B44" t="s">
        <v>2512</v>
      </c>
      <c r="C44" t="s">
        <v>2766</v>
      </c>
      <c r="D44" t="s">
        <v>2561</v>
      </c>
      <c r="E44" t="s">
        <v>44</v>
      </c>
      <c r="F44" s="4">
        <v>175752.41</v>
      </c>
      <c r="G44" s="4">
        <v>184448.85</v>
      </c>
      <c r="H44" s="4">
        <v>197589.65</v>
      </c>
      <c r="I44" s="4">
        <v>196010.72</v>
      </c>
      <c r="J44" s="4">
        <v>174946.62</v>
      </c>
      <c r="K44" s="4">
        <v>125981.86</v>
      </c>
      <c r="L44" s="4">
        <v>133565.09</v>
      </c>
      <c r="M44" s="4">
        <v>133499.6</v>
      </c>
      <c r="N44" s="4">
        <f>SUM(Table1[[#This Row],[2025]:[2018]])</f>
        <v>1321794.8000000003</v>
      </c>
      <c r="O44" s="2">
        <f>Table1[[#This Row],[ttl]]/SUM(Table1[ttl])</f>
        <v>2.6653053438966167E-3</v>
      </c>
      <c r="P44" s="3">
        <f>SUM($O$2:Table1[[#This Row],[pctAllTimeExp]])</f>
        <v>0.78935475562604551</v>
      </c>
      <c r="Q44" t="b">
        <f>Table1[[#This Row],[cumPctAllTimeExp]]&lt;0.95</f>
        <v>1</v>
      </c>
    </row>
    <row r="45" spans="1:17" x14ac:dyDescent="0.25">
      <c r="A45">
        <v>39</v>
      </c>
      <c r="B45" t="s">
        <v>2562</v>
      </c>
      <c r="C45" t="s">
        <v>2758</v>
      </c>
      <c r="D45" t="s">
        <v>2563</v>
      </c>
      <c r="E45" t="s">
        <v>41</v>
      </c>
      <c r="F45" s="4">
        <v>225999.71</v>
      </c>
      <c r="G45" s="4">
        <v>165449.93</v>
      </c>
      <c r="H45" s="4">
        <v>189064.11</v>
      </c>
      <c r="I45" s="4">
        <v>194591</v>
      </c>
      <c r="J45" s="4">
        <v>172505.15</v>
      </c>
      <c r="K45" s="4">
        <v>139027.82</v>
      </c>
      <c r="L45" s="4">
        <v>119175.2</v>
      </c>
      <c r="M45" s="4">
        <v>111340.81</v>
      </c>
      <c r="N45" s="4">
        <f>SUM(Table1[[#This Row],[2025]:[2018]])</f>
        <v>1317153.73</v>
      </c>
      <c r="O45" s="2">
        <f>Table1[[#This Row],[ttl]]/SUM(Table1[ttl])</f>
        <v>2.655946955837896E-3</v>
      </c>
      <c r="P45" s="3">
        <f>SUM($O$2:Table1[[#This Row],[pctAllTimeExp]])</f>
        <v>0.79201070258188344</v>
      </c>
      <c r="Q45" t="b">
        <f>Table1[[#This Row],[cumPctAllTimeExp]]&lt;0.95</f>
        <v>1</v>
      </c>
    </row>
    <row r="46" spans="1:17" x14ac:dyDescent="0.25">
      <c r="A46">
        <v>955</v>
      </c>
      <c r="B46" t="s">
        <v>2518</v>
      </c>
      <c r="C46" t="s">
        <v>2509</v>
      </c>
      <c r="D46" t="s">
        <v>2564</v>
      </c>
      <c r="E46" t="s">
        <v>957</v>
      </c>
      <c r="F46" s="4">
        <v>0</v>
      </c>
      <c r="G46" s="4">
        <v>0</v>
      </c>
      <c r="H46" s="4">
        <v>874381.95</v>
      </c>
      <c r="I46" s="4">
        <v>217549.05</v>
      </c>
      <c r="J46" s="4">
        <v>73364.83</v>
      </c>
      <c r="K46" s="4">
        <v>121442.52</v>
      </c>
      <c r="L46" s="4">
        <v>0</v>
      </c>
      <c r="M46" s="4">
        <v>0</v>
      </c>
      <c r="N46" s="4">
        <f>SUM(Table1[[#This Row],[2025]:[2018]])</f>
        <v>1286738.3500000001</v>
      </c>
      <c r="O46" s="2">
        <f>Table1[[#This Row],[ttl]]/SUM(Table1[ttl])</f>
        <v>2.5946165020861896E-3</v>
      </c>
      <c r="P46" s="3">
        <f>SUM($O$2:Table1[[#This Row],[pctAllTimeExp]])</f>
        <v>0.79460531908396959</v>
      </c>
      <c r="Q46" t="b">
        <f>Table1[[#This Row],[cumPctAllTimeExp]]&lt;0.95</f>
        <v>1</v>
      </c>
    </row>
    <row r="47" spans="1:17" x14ac:dyDescent="0.25">
      <c r="A47">
        <v>11</v>
      </c>
      <c r="B47" t="s">
        <v>2565</v>
      </c>
      <c r="C47" t="s">
        <v>2565</v>
      </c>
      <c r="D47" t="s">
        <v>2566</v>
      </c>
      <c r="E47" t="s">
        <v>13</v>
      </c>
      <c r="F47" s="4">
        <v>1279071.93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f>SUM(Table1[[#This Row],[2025]:[2018]])</f>
        <v>1279071.93</v>
      </c>
      <c r="O47" s="2">
        <f>Table1[[#This Row],[ttl]]/SUM(Table1[ttl])</f>
        <v>2.5791577106046705E-3</v>
      </c>
      <c r="P47" s="3">
        <f>SUM($O$2:Table1[[#This Row],[pctAllTimeExp]])</f>
        <v>0.79718447679457427</v>
      </c>
      <c r="Q47" t="b">
        <f>Table1[[#This Row],[cumPctAllTimeExp]]&lt;0.95</f>
        <v>1</v>
      </c>
    </row>
    <row r="48" spans="1:17" x14ac:dyDescent="0.25">
      <c r="A48">
        <v>36</v>
      </c>
      <c r="B48" t="s">
        <v>2548</v>
      </c>
      <c r="C48" t="s">
        <v>2562</v>
      </c>
      <c r="D48" t="s">
        <v>2567</v>
      </c>
      <c r="E48" t="s">
        <v>38</v>
      </c>
      <c r="F48" s="4">
        <v>239542.54</v>
      </c>
      <c r="G48" s="4">
        <v>202119.9</v>
      </c>
      <c r="H48" s="4">
        <v>147386.23000000001</v>
      </c>
      <c r="I48" s="4">
        <v>222559.64</v>
      </c>
      <c r="J48" s="4">
        <v>298017.51</v>
      </c>
      <c r="K48" s="4">
        <v>50951.57</v>
      </c>
      <c r="L48" s="4">
        <v>48693.4</v>
      </c>
      <c r="M48" s="4">
        <v>44641.120000000003</v>
      </c>
      <c r="N48" s="4">
        <f>SUM(Table1[[#This Row],[2025]:[2018]])</f>
        <v>1253911.9100000001</v>
      </c>
      <c r="O48" s="2">
        <f>Table1[[#This Row],[ttl]]/SUM(Table1[ttl])</f>
        <v>2.5284243170714646E-3</v>
      </c>
      <c r="P48" s="3">
        <f>SUM($O$2:Table1[[#This Row],[pctAllTimeExp]])</f>
        <v>0.79971290111164572</v>
      </c>
      <c r="Q48" t="b">
        <f>Table1[[#This Row],[cumPctAllTimeExp]]&lt;0.95</f>
        <v>1</v>
      </c>
    </row>
    <row r="49" spans="1:18" x14ac:dyDescent="0.25">
      <c r="A49">
        <v>12</v>
      </c>
      <c r="B49" t="s">
        <v>2518</v>
      </c>
      <c r="C49" t="s">
        <v>2509</v>
      </c>
      <c r="D49" t="s">
        <v>2568</v>
      </c>
      <c r="E49" t="s">
        <v>14</v>
      </c>
      <c r="F49" s="4">
        <v>1224189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f>SUM(Table1[[#This Row],[2025]:[2018]])</f>
        <v>1224189</v>
      </c>
      <c r="O49" s="2">
        <f>Table1[[#This Row],[ttl]]/SUM(Table1[ttl])</f>
        <v>2.4684901798974054E-3</v>
      </c>
      <c r="P49" s="3">
        <f>SUM($O$2:Table1[[#This Row],[pctAllTimeExp]])</f>
        <v>0.80218139129154309</v>
      </c>
      <c r="Q49" t="b">
        <f>Table1[[#This Row],[cumPctAllTimeExp]]&lt;0.95</f>
        <v>1</v>
      </c>
    </row>
    <row r="50" spans="1:18" x14ac:dyDescent="0.25">
      <c r="A50">
        <v>45</v>
      </c>
      <c r="B50" t="s">
        <v>2758</v>
      </c>
      <c r="C50" t="s">
        <v>2758</v>
      </c>
      <c r="D50" t="s">
        <v>2569</v>
      </c>
      <c r="E50" t="s">
        <v>47</v>
      </c>
      <c r="F50" s="4">
        <v>157322.56</v>
      </c>
      <c r="G50" s="4">
        <v>176899.35</v>
      </c>
      <c r="H50" s="4">
        <v>204533.83</v>
      </c>
      <c r="I50" s="4">
        <v>148340.14000000001</v>
      </c>
      <c r="J50" s="4">
        <v>131214.10999999999</v>
      </c>
      <c r="K50" s="4">
        <v>151493.07</v>
      </c>
      <c r="L50" s="4">
        <v>115151.85</v>
      </c>
      <c r="M50" s="4">
        <v>131500</v>
      </c>
      <c r="N50" s="4">
        <f>SUM(Table1[[#This Row],[2025]:[2018]])</f>
        <v>1216454.9100000001</v>
      </c>
      <c r="O50" s="2">
        <f>Table1[[#This Row],[ttl]]/SUM(Table1[ttl])</f>
        <v>2.4528949366666277E-3</v>
      </c>
      <c r="P50" s="3">
        <f>SUM($O$2:Table1[[#This Row],[pctAllTimeExp]])</f>
        <v>0.80463428622820976</v>
      </c>
      <c r="Q50" t="b">
        <f>Table1[[#This Row],[cumPctAllTimeExp]]&lt;0.95</f>
        <v>1</v>
      </c>
    </row>
    <row r="51" spans="1:18" x14ac:dyDescent="0.25">
      <c r="A51">
        <v>46</v>
      </c>
      <c r="B51" t="s">
        <v>2552</v>
      </c>
      <c r="C51" t="s">
        <v>2552</v>
      </c>
      <c r="D51" t="s">
        <v>2570</v>
      </c>
      <c r="E51" t="s">
        <v>48</v>
      </c>
      <c r="F51" s="4">
        <v>154715</v>
      </c>
      <c r="G51" s="4">
        <v>24635</v>
      </c>
      <c r="H51" s="4">
        <v>134387</v>
      </c>
      <c r="I51" s="4">
        <v>35870</v>
      </c>
      <c r="J51" s="4">
        <v>69643.899999999994</v>
      </c>
      <c r="K51" s="4">
        <v>338491</v>
      </c>
      <c r="L51" s="4">
        <v>261948.38</v>
      </c>
      <c r="M51" s="4">
        <v>192433.5</v>
      </c>
      <c r="N51" s="4">
        <f>SUM(Table1[[#This Row],[2025]:[2018]])</f>
        <v>1212123.78</v>
      </c>
      <c r="O51" s="2">
        <f>Table1[[#This Row],[ttl]]/SUM(Table1[ttl])</f>
        <v>2.444161520606804E-3</v>
      </c>
      <c r="P51" s="3">
        <f>SUM($O$2:Table1[[#This Row],[pctAllTimeExp]])</f>
        <v>0.80707844774881654</v>
      </c>
      <c r="Q51" t="b">
        <f>Table1[[#This Row],[cumPctAllTimeExp]]&lt;0.95</f>
        <v>1</v>
      </c>
    </row>
    <row r="52" spans="1:18" x14ac:dyDescent="0.25">
      <c r="A52">
        <v>706</v>
      </c>
      <c r="B52" t="s">
        <v>2518</v>
      </c>
      <c r="C52" t="s">
        <v>2509</v>
      </c>
      <c r="D52" t="s">
        <v>2571</v>
      </c>
      <c r="E52" t="s">
        <v>708</v>
      </c>
      <c r="F52" s="4">
        <v>0</v>
      </c>
      <c r="G52" s="4">
        <v>46594</v>
      </c>
      <c r="H52" s="4">
        <v>40420</v>
      </c>
      <c r="I52" s="4">
        <v>19345.849999999999</v>
      </c>
      <c r="J52" s="4">
        <v>894386.3</v>
      </c>
      <c r="K52" s="4">
        <v>0</v>
      </c>
      <c r="L52" s="4">
        <v>20500.599999999999</v>
      </c>
      <c r="M52" s="4">
        <v>178350</v>
      </c>
      <c r="N52" s="4">
        <f>SUM(Table1[[#This Row],[2025]:[2018]])</f>
        <v>1199596.75</v>
      </c>
      <c r="O52" s="2">
        <f>Table1[[#This Row],[ttl]]/SUM(Table1[ttl])</f>
        <v>2.418901654247704E-3</v>
      </c>
      <c r="P52" s="3">
        <f>SUM($O$2:Table1[[#This Row],[pctAllTimeExp]])</f>
        <v>0.80949734940306428</v>
      </c>
      <c r="Q52" t="b">
        <f>Table1[[#This Row],[cumPctAllTimeExp]]&lt;0.95</f>
        <v>1</v>
      </c>
    </row>
    <row r="53" spans="1:18" x14ac:dyDescent="0.25">
      <c r="A53">
        <v>47</v>
      </c>
      <c r="B53" t="s">
        <v>2758</v>
      </c>
      <c r="C53" t="s">
        <v>2758</v>
      </c>
      <c r="D53" t="s">
        <v>2572</v>
      </c>
      <c r="E53" t="s">
        <v>49</v>
      </c>
      <c r="F53" s="4">
        <v>149685.46</v>
      </c>
      <c r="G53" s="4">
        <v>204572.04</v>
      </c>
      <c r="H53" s="4">
        <v>173584.53</v>
      </c>
      <c r="I53" s="4">
        <v>157939.57999999999</v>
      </c>
      <c r="J53" s="4">
        <v>111237.92</v>
      </c>
      <c r="K53" s="4">
        <v>101508.54</v>
      </c>
      <c r="L53" s="4">
        <v>151785.72</v>
      </c>
      <c r="M53" s="4">
        <v>128809.46</v>
      </c>
      <c r="N53" s="4">
        <f>SUM(Table1[[#This Row],[2025]:[2018]])</f>
        <v>1179123.25</v>
      </c>
      <c r="O53" s="2">
        <f>Table1[[#This Row],[ttl]]/SUM(Table1[ttl])</f>
        <v>2.3776182954704812E-3</v>
      </c>
      <c r="P53" s="3">
        <f>SUM($O$2:Table1[[#This Row],[pctAllTimeExp]])</f>
        <v>0.81187496769853473</v>
      </c>
      <c r="Q53" t="b">
        <f>Table1[[#This Row],[cumPctAllTimeExp]]&lt;0.95</f>
        <v>1</v>
      </c>
    </row>
    <row r="54" spans="1:18" x14ac:dyDescent="0.25">
      <c r="A54">
        <v>28</v>
      </c>
      <c r="B54" t="s">
        <v>2530</v>
      </c>
      <c r="C54" t="s">
        <v>2530</v>
      </c>
      <c r="D54" t="s">
        <v>2573</v>
      </c>
      <c r="E54" t="s">
        <v>30</v>
      </c>
      <c r="F54" s="4">
        <v>339601.53</v>
      </c>
      <c r="G54" s="4">
        <v>523247.09</v>
      </c>
      <c r="H54" s="4">
        <v>248141.18</v>
      </c>
      <c r="I54" s="4">
        <v>41578.17</v>
      </c>
      <c r="J54" s="4">
        <v>0</v>
      </c>
      <c r="K54" s="4">
        <v>0</v>
      </c>
      <c r="L54" s="4">
        <v>0</v>
      </c>
      <c r="M54" s="4">
        <v>0</v>
      </c>
      <c r="N54" s="4">
        <f>SUM(Table1[[#This Row],[2025]:[2018]])</f>
        <v>1152567.97</v>
      </c>
      <c r="O54" s="2">
        <f>Table1[[#This Row],[ttl]]/SUM(Table1[ttl])</f>
        <v>2.3240714592348789E-3</v>
      </c>
      <c r="P54" s="3">
        <f>SUM($O$2:Table1[[#This Row],[pctAllTimeExp]])</f>
        <v>0.81419903915776959</v>
      </c>
      <c r="Q54" t="b">
        <f>Table1[[#This Row],[cumPctAllTimeExp]]&lt;0.95</f>
        <v>1</v>
      </c>
    </row>
    <row r="55" spans="1:18" x14ac:dyDescent="0.25">
      <c r="A55">
        <v>958</v>
      </c>
      <c r="B55" t="s">
        <v>2552</v>
      </c>
      <c r="C55" t="s">
        <v>2552</v>
      </c>
      <c r="D55" t="s">
        <v>2574</v>
      </c>
      <c r="E55" t="s">
        <v>960</v>
      </c>
      <c r="F55" s="4">
        <v>0</v>
      </c>
      <c r="G55" s="4">
        <v>0</v>
      </c>
      <c r="H55" s="4">
        <v>188150</v>
      </c>
      <c r="I55" s="4">
        <v>274070</v>
      </c>
      <c r="J55" s="4">
        <v>186400</v>
      </c>
      <c r="K55" s="4">
        <v>224715</v>
      </c>
      <c r="L55" s="4">
        <v>183050</v>
      </c>
      <c r="M55" s="4">
        <v>95215</v>
      </c>
      <c r="N55" s="4">
        <f>SUM(Table1[[#This Row],[2025]:[2018]])</f>
        <v>1151600</v>
      </c>
      <c r="O55" s="2">
        <f>Table1[[#This Row],[ttl]]/SUM(Table1[ttl])</f>
        <v>2.322119616472499E-3</v>
      </c>
      <c r="P55" s="3">
        <f>SUM($O$2:Table1[[#This Row],[pctAllTimeExp]])</f>
        <v>0.81652115877424214</v>
      </c>
      <c r="Q55" t="b">
        <f>Table1[[#This Row],[cumPctAllTimeExp]]&lt;0.95</f>
        <v>1</v>
      </c>
    </row>
    <row r="56" spans="1:18" x14ac:dyDescent="0.25">
      <c r="A56">
        <v>283</v>
      </c>
      <c r="B56" t="s">
        <v>2548</v>
      </c>
      <c r="C56" t="s">
        <v>2565</v>
      </c>
      <c r="D56" t="s">
        <v>2575</v>
      </c>
      <c r="E56" t="s">
        <v>285</v>
      </c>
      <c r="F56" s="4">
        <v>6011.36</v>
      </c>
      <c r="G56" s="4">
        <v>343211.18</v>
      </c>
      <c r="H56" s="4">
        <v>280974.83</v>
      </c>
      <c r="I56" s="4">
        <v>264780.75</v>
      </c>
      <c r="J56" s="4">
        <v>241932.31</v>
      </c>
      <c r="K56" s="4">
        <v>0</v>
      </c>
      <c r="L56" s="4">
        <v>0</v>
      </c>
      <c r="M56" s="4">
        <v>0</v>
      </c>
      <c r="N56" s="4">
        <f>SUM(Table1[[#This Row],[2025]:[2018]])</f>
        <v>1136910.43</v>
      </c>
      <c r="O56" s="2">
        <f>Table1[[#This Row],[ttl]]/SUM(Table1[ttl])</f>
        <v>2.2924991417811597E-3</v>
      </c>
      <c r="P56" s="3">
        <f>SUM($O$2:Table1[[#This Row],[pctAllTimeExp]])</f>
        <v>0.81881365791602334</v>
      </c>
      <c r="Q56" t="b">
        <f>Table1[[#This Row],[cumPctAllTimeExp]]&lt;0.95</f>
        <v>1</v>
      </c>
    </row>
    <row r="57" spans="1:18" x14ac:dyDescent="0.25">
      <c r="A57">
        <v>58</v>
      </c>
      <c r="B57" t="s">
        <v>2518</v>
      </c>
      <c r="C57" t="s">
        <v>2509</v>
      </c>
      <c r="D57" t="s">
        <v>2576</v>
      </c>
      <c r="E57" t="s">
        <v>60</v>
      </c>
      <c r="F57" s="4">
        <v>118107.39</v>
      </c>
      <c r="G57" s="4">
        <v>199646.45</v>
      </c>
      <c r="H57" s="4">
        <v>422113.14</v>
      </c>
      <c r="I57" s="4">
        <v>80772.39</v>
      </c>
      <c r="J57" s="4">
        <v>77561.06</v>
      </c>
      <c r="K57" s="4">
        <v>153680.76</v>
      </c>
      <c r="L57" s="4">
        <v>0</v>
      </c>
      <c r="M57" s="4">
        <v>0</v>
      </c>
      <c r="N57" s="4">
        <f>SUM(Table1[[#This Row],[2025]:[2018]])</f>
        <v>1051881.19</v>
      </c>
      <c r="O57" s="2">
        <f>Table1[[#This Row],[ttl]]/SUM(Table1[ttl])</f>
        <v>2.1210437178685614E-3</v>
      </c>
      <c r="P57" s="3">
        <f>SUM($O$2:Table1[[#This Row],[pctAllTimeExp]])</f>
        <v>0.82093470163389193</v>
      </c>
      <c r="Q57" t="b">
        <f>Table1[[#This Row],[cumPctAllTimeExp]]&lt;0.95</f>
        <v>1</v>
      </c>
    </row>
    <row r="58" spans="1:18" x14ac:dyDescent="0.25">
      <c r="A58">
        <v>38</v>
      </c>
      <c r="B58" t="s">
        <v>2510</v>
      </c>
      <c r="C58" t="s">
        <v>2763</v>
      </c>
      <c r="D58" t="s">
        <v>2577</v>
      </c>
      <c r="E58" t="s">
        <v>40</v>
      </c>
      <c r="F58" s="4">
        <v>233544.62</v>
      </c>
      <c r="G58" s="4">
        <v>69039.05</v>
      </c>
      <c r="H58" s="4">
        <v>66295.679999999993</v>
      </c>
      <c r="I58" s="4">
        <v>143408.98000000001</v>
      </c>
      <c r="J58" s="4">
        <v>59948.71</v>
      </c>
      <c r="K58" s="4">
        <v>145565.53</v>
      </c>
      <c r="L58" s="4">
        <v>213011.7</v>
      </c>
      <c r="M58" s="4">
        <v>95288.86</v>
      </c>
      <c r="N58" s="4">
        <f>SUM(Table1[[#This Row],[2025]:[2018]])</f>
        <v>1026103.13</v>
      </c>
      <c r="O58" s="2">
        <f>Table1[[#This Row],[ttl]]/SUM(Table1[ttl])</f>
        <v>2.0690640905668902E-3</v>
      </c>
      <c r="P58" s="3">
        <f>SUM($O$2:Table1[[#This Row],[pctAllTimeExp]])</f>
        <v>0.82300376572445877</v>
      </c>
      <c r="Q58" t="b">
        <f>Table1[[#This Row],[cumPctAllTimeExp]]&lt;0.95</f>
        <v>1</v>
      </c>
    </row>
    <row r="59" spans="1:18" x14ac:dyDescent="0.25">
      <c r="A59">
        <v>82</v>
      </c>
      <c r="B59" t="s">
        <v>2530</v>
      </c>
      <c r="C59" t="s">
        <v>2530</v>
      </c>
      <c r="D59" t="s">
        <v>2578</v>
      </c>
      <c r="E59" t="s">
        <v>84</v>
      </c>
      <c r="F59" s="4">
        <v>65137.05</v>
      </c>
      <c r="G59" s="4">
        <v>212360.87</v>
      </c>
      <c r="H59" s="4">
        <v>161771.19</v>
      </c>
      <c r="I59" s="4">
        <v>64973.69</v>
      </c>
      <c r="J59" s="4">
        <v>83700.23</v>
      </c>
      <c r="K59" s="4">
        <v>218752</v>
      </c>
      <c r="L59" s="4">
        <v>147257.32</v>
      </c>
      <c r="M59" s="4">
        <v>52544.99</v>
      </c>
      <c r="N59" s="4">
        <f>SUM(Table1[[#This Row],[2025]:[2018]])</f>
        <v>1006497.3400000001</v>
      </c>
      <c r="O59" s="2">
        <f>Table1[[#This Row],[ttl]]/SUM(Table1[ttl])</f>
        <v>2.0295304073822424E-3</v>
      </c>
      <c r="P59" s="3">
        <f>SUM($O$2:Table1[[#This Row],[pctAllTimeExp]])</f>
        <v>0.82503329613184107</v>
      </c>
      <c r="Q59" t="b">
        <f>Table1[[#This Row],[cumPctAllTimeExp]]&lt;0.95</f>
        <v>1</v>
      </c>
    </row>
    <row r="60" spans="1:18" x14ac:dyDescent="0.25">
      <c r="A60">
        <v>51</v>
      </c>
      <c r="B60" t="s">
        <v>2758</v>
      </c>
      <c r="C60" t="s">
        <v>2758</v>
      </c>
      <c r="D60" t="s">
        <v>2579</v>
      </c>
      <c r="E60" t="s">
        <v>53</v>
      </c>
      <c r="F60" s="4">
        <v>131767.56</v>
      </c>
      <c r="G60" s="4">
        <v>129426.77</v>
      </c>
      <c r="H60" s="4">
        <v>134025.13</v>
      </c>
      <c r="I60" s="4">
        <v>131100.38</v>
      </c>
      <c r="J60" s="4">
        <v>124485.17</v>
      </c>
      <c r="K60" s="4">
        <v>118438.19</v>
      </c>
      <c r="L60" s="4">
        <v>115594.49</v>
      </c>
      <c r="M60" s="4">
        <v>116082.09</v>
      </c>
      <c r="N60" s="4">
        <f>SUM(Table1[[#This Row],[2025]:[2018]])</f>
        <v>1000919.7800000001</v>
      </c>
      <c r="O60" s="2">
        <f>Table1[[#This Row],[ttl]]/SUM(Table1[ttl])</f>
        <v>2.0182836537455178E-3</v>
      </c>
      <c r="P60" s="3">
        <f>SUM($O$2:Table1[[#This Row],[pctAllTimeExp]])</f>
        <v>0.82705157978558663</v>
      </c>
      <c r="Q60" t="b">
        <f>Table1[[#This Row],[cumPctAllTimeExp]]&lt;0.95</f>
        <v>1</v>
      </c>
    </row>
    <row r="61" spans="1:18" x14ac:dyDescent="0.25">
      <c r="A61">
        <v>969</v>
      </c>
      <c r="B61" t="s">
        <v>2552</v>
      </c>
      <c r="C61" t="s">
        <v>2552</v>
      </c>
      <c r="D61" t="s">
        <v>2580</v>
      </c>
      <c r="E61" t="s">
        <v>971</v>
      </c>
      <c r="F61" s="4">
        <v>0</v>
      </c>
      <c r="G61" s="4">
        <v>0</v>
      </c>
      <c r="H61" s="4">
        <v>49879.5</v>
      </c>
      <c r="I61" s="4">
        <v>217198</v>
      </c>
      <c r="J61" s="4">
        <v>260744.76</v>
      </c>
      <c r="K61" s="4">
        <v>357141</v>
      </c>
      <c r="L61" s="4">
        <v>103324.45</v>
      </c>
      <c r="M61" s="4">
        <v>0</v>
      </c>
      <c r="N61" s="4">
        <f>SUM(Table1[[#This Row],[2025]:[2018]])</f>
        <v>988287.71</v>
      </c>
      <c r="O61" s="2">
        <f>Table1[[#This Row],[ttl]]/SUM(Table1[ttl])</f>
        <v>1.992811981686075E-3</v>
      </c>
      <c r="P61" s="3">
        <f>SUM($O$2:Table1[[#This Row],[pctAllTimeExp]])</f>
        <v>0.82904439176727274</v>
      </c>
      <c r="Q61" t="b">
        <f>Table1[[#This Row],[cumPctAllTimeExp]]&lt;0.95</f>
        <v>1</v>
      </c>
      <c r="R61" t="s">
        <v>2581</v>
      </c>
    </row>
    <row r="62" spans="1:18" x14ac:dyDescent="0.25">
      <c r="A62">
        <v>43</v>
      </c>
      <c r="B62" t="s">
        <v>2565</v>
      </c>
      <c r="C62" t="s">
        <v>2565</v>
      </c>
      <c r="D62" t="s">
        <v>2582</v>
      </c>
      <c r="E62" t="s">
        <v>45</v>
      </c>
      <c r="F62" s="4">
        <v>163311</v>
      </c>
      <c r="G62" s="4">
        <v>23200</v>
      </c>
      <c r="H62" s="4">
        <v>106536</v>
      </c>
      <c r="I62" s="4">
        <v>100570.34</v>
      </c>
      <c r="J62" s="4">
        <v>138906.5</v>
      </c>
      <c r="K62" s="4">
        <v>117956.25</v>
      </c>
      <c r="L62" s="4">
        <v>214236.25</v>
      </c>
      <c r="M62" s="4">
        <v>112868.5</v>
      </c>
      <c r="N62" s="4">
        <f>SUM(Table1[[#This Row],[2025]:[2018]])</f>
        <v>977584.84</v>
      </c>
      <c r="O62" s="2">
        <f>Table1[[#This Row],[ttl]]/SUM(Table1[ttl])</f>
        <v>1.9712304044200496E-3</v>
      </c>
      <c r="P62" s="3">
        <f>SUM($O$2:Table1[[#This Row],[pctAllTimeExp]])</f>
        <v>0.83101562217169278</v>
      </c>
      <c r="Q62" t="b">
        <f>Table1[[#This Row],[cumPctAllTimeExp]]&lt;0.95</f>
        <v>1</v>
      </c>
    </row>
    <row r="63" spans="1:18" x14ac:dyDescent="0.25">
      <c r="A63">
        <v>23</v>
      </c>
      <c r="B63" t="s">
        <v>2518</v>
      </c>
      <c r="C63" t="s">
        <v>2509</v>
      </c>
      <c r="D63" t="s">
        <v>2583</v>
      </c>
      <c r="E63" t="s">
        <v>25</v>
      </c>
      <c r="F63" s="4">
        <v>443810.69</v>
      </c>
      <c r="G63" s="4">
        <v>237998</v>
      </c>
      <c r="H63" s="4">
        <v>104774.88</v>
      </c>
      <c r="I63" s="4">
        <v>34336.980000000003</v>
      </c>
      <c r="J63" s="4">
        <v>49840</v>
      </c>
      <c r="K63" s="4">
        <v>49900</v>
      </c>
      <c r="L63" s="4">
        <v>5086.78</v>
      </c>
      <c r="M63" s="4">
        <v>48372.7</v>
      </c>
      <c r="N63" s="4">
        <f>SUM(Table1[[#This Row],[2025]:[2018]])</f>
        <v>974120.02999999991</v>
      </c>
      <c r="O63" s="2">
        <f>Table1[[#This Row],[ttl]]/SUM(Table1[ttl])</f>
        <v>1.964243861116515E-3</v>
      </c>
      <c r="P63" s="3">
        <f>SUM($O$2:Table1[[#This Row],[pctAllTimeExp]])</f>
        <v>0.83297986603280927</v>
      </c>
      <c r="Q63" t="b">
        <f>Table1[[#This Row],[cumPctAllTimeExp]]&lt;0.95</f>
        <v>1</v>
      </c>
    </row>
    <row r="64" spans="1:18" x14ac:dyDescent="0.25">
      <c r="A64">
        <v>700</v>
      </c>
      <c r="B64" t="s">
        <v>2543</v>
      </c>
      <c r="C64" t="s">
        <v>2543</v>
      </c>
      <c r="D64" t="s">
        <v>2584</v>
      </c>
      <c r="E64" t="s">
        <v>702</v>
      </c>
      <c r="F64" s="4">
        <v>0</v>
      </c>
      <c r="G64" s="4">
        <v>83336.5</v>
      </c>
      <c r="H64" s="4">
        <v>45336.47</v>
      </c>
      <c r="I64" s="4">
        <v>466004.25</v>
      </c>
      <c r="J64" s="4">
        <v>58904.02</v>
      </c>
      <c r="K64" s="4">
        <v>53000</v>
      </c>
      <c r="L64" s="4">
        <v>78000</v>
      </c>
      <c r="M64" s="4">
        <v>148971.43</v>
      </c>
      <c r="N64" s="4">
        <f>SUM(Table1[[#This Row],[2025]:[2018]])</f>
        <v>933552.66999999993</v>
      </c>
      <c r="O64" s="2">
        <f>Table1[[#This Row],[ttl]]/SUM(Table1[ttl])</f>
        <v>1.8824426606610604E-3</v>
      </c>
      <c r="P64" s="3">
        <f>SUM($O$2:Table1[[#This Row],[pctAllTimeExp]])</f>
        <v>0.83486230869347033</v>
      </c>
      <c r="Q64" t="b">
        <f>Table1[[#This Row],[cumPctAllTimeExp]]&lt;0.95</f>
        <v>1</v>
      </c>
    </row>
    <row r="65" spans="1:17" x14ac:dyDescent="0.25">
      <c r="A65">
        <v>24</v>
      </c>
      <c r="B65" t="s">
        <v>2512</v>
      </c>
      <c r="C65" t="s">
        <v>2759</v>
      </c>
      <c r="D65" t="s">
        <v>2585</v>
      </c>
      <c r="E65" t="s">
        <v>26</v>
      </c>
      <c r="F65" s="4">
        <v>431772.54</v>
      </c>
      <c r="G65" s="4">
        <v>537698.93000000005</v>
      </c>
      <c r="H65" s="4">
        <v>179752.75</v>
      </c>
      <c r="I65" s="4">
        <v>91774.86</v>
      </c>
      <c r="J65" s="4">
        <v>103272.91</v>
      </c>
      <c r="K65" s="4">
        <v>-401631.49</v>
      </c>
      <c r="L65" s="4">
        <v>-64445.26</v>
      </c>
      <c r="M65" s="4">
        <v>39355.15</v>
      </c>
      <c r="N65" s="4">
        <f>SUM(Table1[[#This Row],[2025]:[2018]])</f>
        <v>917550.39</v>
      </c>
      <c r="O65" s="2">
        <f>Table1[[#This Row],[ttl]]/SUM(Table1[ttl])</f>
        <v>1.850175199479847E-3</v>
      </c>
      <c r="P65" s="3">
        <f>SUM($O$2:Table1[[#This Row],[pctAllTimeExp]])</f>
        <v>0.83671248389295017</v>
      </c>
      <c r="Q65" t="b">
        <f>Table1[[#This Row],[cumPctAllTimeExp]]&lt;0.95</f>
        <v>1</v>
      </c>
    </row>
    <row r="66" spans="1:17" x14ac:dyDescent="0.25">
      <c r="A66">
        <v>49</v>
      </c>
      <c r="B66" t="s">
        <v>2562</v>
      </c>
      <c r="C66" t="s">
        <v>2552</v>
      </c>
      <c r="D66" t="s">
        <v>2586</v>
      </c>
      <c r="E66" t="s">
        <v>51</v>
      </c>
      <c r="F66" s="4">
        <v>134672.37</v>
      </c>
      <c r="G66" s="4">
        <v>126706.71</v>
      </c>
      <c r="H66" s="4">
        <v>117635</v>
      </c>
      <c r="I66" s="4">
        <v>124779.23</v>
      </c>
      <c r="J66" s="4">
        <v>162178.98000000001</v>
      </c>
      <c r="K66" s="4">
        <v>65679.78</v>
      </c>
      <c r="L66" s="4">
        <v>66925.119999999995</v>
      </c>
      <c r="M66" s="4">
        <v>108506.33</v>
      </c>
      <c r="N66" s="4">
        <f>SUM(Table1[[#This Row],[2025]:[2018]])</f>
        <v>907083.52</v>
      </c>
      <c r="O66" s="2">
        <f>Table1[[#This Row],[ttl]]/SUM(Table1[ttl])</f>
        <v>1.8290694994537377E-3</v>
      </c>
      <c r="P66" s="3">
        <f>SUM($O$2:Table1[[#This Row],[pctAllTimeExp]])</f>
        <v>0.83854155339240388</v>
      </c>
      <c r="Q66" t="b">
        <f>Table1[[#This Row],[cumPctAllTimeExp]]&lt;0.95</f>
        <v>1</v>
      </c>
    </row>
    <row r="67" spans="1:17" x14ac:dyDescent="0.25">
      <c r="A67">
        <v>86</v>
      </c>
      <c r="B67" t="s">
        <v>2528</v>
      </c>
      <c r="C67" t="s">
        <v>2528</v>
      </c>
      <c r="D67" t="s">
        <v>2587</v>
      </c>
      <c r="E67" t="s">
        <v>88</v>
      </c>
      <c r="F67" s="4">
        <v>61655.05</v>
      </c>
      <c r="G67" s="4">
        <v>2244.85</v>
      </c>
      <c r="H67" s="4">
        <v>66608.070000000007</v>
      </c>
      <c r="I67" s="4">
        <v>57641.57</v>
      </c>
      <c r="J67" s="4">
        <v>45526.53</v>
      </c>
      <c r="K67" s="4">
        <v>111056.41</v>
      </c>
      <c r="L67" s="4">
        <v>363233.69</v>
      </c>
      <c r="M67" s="4">
        <v>164927.51</v>
      </c>
      <c r="N67" s="4">
        <f>SUM(Table1[[#This Row],[2025]:[2018]])</f>
        <v>872893.67999999993</v>
      </c>
      <c r="O67" s="2">
        <f>Table1[[#This Row],[ttl]]/SUM(Table1[ttl])</f>
        <v>1.7601281151640048E-3</v>
      </c>
      <c r="P67" s="3">
        <f>SUM($O$2:Table1[[#This Row],[pctAllTimeExp]])</f>
        <v>0.8403016815075679</v>
      </c>
      <c r="Q67" t="b">
        <f>Table1[[#This Row],[cumPctAllTimeExp]]&lt;0.95</f>
        <v>1</v>
      </c>
    </row>
    <row r="68" spans="1:17" x14ac:dyDescent="0.25">
      <c r="A68">
        <v>127</v>
      </c>
      <c r="B68" t="s">
        <v>2552</v>
      </c>
      <c r="C68" t="s">
        <v>2552</v>
      </c>
      <c r="D68" t="s">
        <v>2588</v>
      </c>
      <c r="E68" t="s">
        <v>129</v>
      </c>
      <c r="F68" s="4">
        <v>31381.13</v>
      </c>
      <c r="G68" s="4">
        <v>73800.23</v>
      </c>
      <c r="H68" s="4">
        <v>329206.5</v>
      </c>
      <c r="I68" s="4">
        <v>113763.9</v>
      </c>
      <c r="J68" s="4">
        <v>112493.88</v>
      </c>
      <c r="K68" s="4">
        <v>22988.9</v>
      </c>
      <c r="L68" s="4">
        <v>30521.65</v>
      </c>
      <c r="M68" s="4">
        <v>76028.240000000005</v>
      </c>
      <c r="N68" s="4">
        <f>SUM(Table1[[#This Row],[2025]:[2018]])</f>
        <v>790184.43</v>
      </c>
      <c r="O68" s="2">
        <f>Table1[[#This Row],[ttl]]/SUM(Table1[ttl])</f>
        <v>1.5933507863269713E-3</v>
      </c>
      <c r="P68" s="3">
        <f>SUM($O$2:Table1[[#This Row],[pctAllTimeExp]])</f>
        <v>0.84189503229389484</v>
      </c>
      <c r="Q68" t="b">
        <f>Table1[[#This Row],[cumPctAllTimeExp]]&lt;0.95</f>
        <v>1</v>
      </c>
    </row>
    <row r="69" spans="1:17" x14ac:dyDescent="0.25">
      <c r="A69">
        <v>972</v>
      </c>
      <c r="B69" t="s">
        <v>2528</v>
      </c>
      <c r="C69" s="5" t="s">
        <v>2765</v>
      </c>
      <c r="D69" t="s">
        <v>2589</v>
      </c>
      <c r="E69" t="s">
        <v>974</v>
      </c>
      <c r="F69" s="4">
        <v>0</v>
      </c>
      <c r="G69" s="4">
        <v>0</v>
      </c>
      <c r="H69" s="4">
        <v>37938.5</v>
      </c>
      <c r="I69" s="4">
        <v>53711.5</v>
      </c>
      <c r="J69" s="4">
        <v>132288</v>
      </c>
      <c r="K69" s="4">
        <v>66245</v>
      </c>
      <c r="L69" s="4">
        <v>48511.25</v>
      </c>
      <c r="M69" s="4">
        <v>441975</v>
      </c>
      <c r="N69" s="4">
        <f>SUM(Table1[[#This Row],[2025]:[2018]])</f>
        <v>780669.25</v>
      </c>
      <c r="O69" s="2">
        <f>Table1[[#This Row],[ttl]]/SUM(Table1[ttl])</f>
        <v>1.5741641015994037E-3</v>
      </c>
      <c r="P69" s="3">
        <f>SUM($O$2:Table1[[#This Row],[pctAllTimeExp]])</f>
        <v>0.84346919639549423</v>
      </c>
      <c r="Q69" t="b">
        <f>Table1[[#This Row],[cumPctAllTimeExp]]&lt;0.95</f>
        <v>1</v>
      </c>
    </row>
    <row r="70" spans="1:17" x14ac:dyDescent="0.25">
      <c r="A70">
        <v>694</v>
      </c>
      <c r="B70" t="s">
        <v>2512</v>
      </c>
      <c r="C70" t="s">
        <v>2767</v>
      </c>
      <c r="D70" t="s">
        <v>2590</v>
      </c>
      <c r="E70" t="s">
        <v>696</v>
      </c>
      <c r="F70" s="4">
        <v>0</v>
      </c>
      <c r="G70" s="4">
        <v>269282</v>
      </c>
      <c r="H70" s="4">
        <v>40045</v>
      </c>
      <c r="I70" s="4">
        <v>0</v>
      </c>
      <c r="J70" s="4">
        <v>226198</v>
      </c>
      <c r="K70" s="4">
        <v>0</v>
      </c>
      <c r="L70" s="4">
        <v>123000</v>
      </c>
      <c r="M70" s="4">
        <v>104000</v>
      </c>
      <c r="N70" s="4">
        <f>SUM(Table1[[#This Row],[2025]:[2018]])</f>
        <v>762525</v>
      </c>
      <c r="O70" s="2">
        <f>Table1[[#This Row],[ttl]]/SUM(Table1[ttl])</f>
        <v>1.5375775100301252E-3</v>
      </c>
      <c r="P70" s="3">
        <f>SUM($O$2:Table1[[#This Row],[pctAllTimeExp]])</f>
        <v>0.84500677390552437</v>
      </c>
      <c r="Q70" t="b">
        <f>Table1[[#This Row],[cumPctAllTimeExp]]&lt;0.95</f>
        <v>1</v>
      </c>
    </row>
    <row r="71" spans="1:17" x14ac:dyDescent="0.25">
      <c r="A71">
        <v>98</v>
      </c>
      <c r="B71" t="s">
        <v>2512</v>
      </c>
      <c r="C71" t="s">
        <v>2766</v>
      </c>
      <c r="D71" t="s">
        <v>2591</v>
      </c>
      <c r="E71" t="s">
        <v>100</v>
      </c>
      <c r="F71" s="4">
        <v>46940.18</v>
      </c>
      <c r="G71" s="4">
        <v>7260.15</v>
      </c>
      <c r="H71" s="4">
        <v>1087</v>
      </c>
      <c r="I71" s="4">
        <v>76629</v>
      </c>
      <c r="J71" s="4">
        <v>71970.240000000005</v>
      </c>
      <c r="K71" s="4">
        <v>0</v>
      </c>
      <c r="L71" s="4">
        <v>354143.82</v>
      </c>
      <c r="M71" s="4">
        <v>203651.7</v>
      </c>
      <c r="N71" s="4">
        <f>SUM(Table1[[#This Row],[2025]:[2018]])</f>
        <v>761682.09000000008</v>
      </c>
      <c r="O71" s="2">
        <f>Table1[[#This Row],[ttl]]/SUM(Table1[ttl])</f>
        <v>1.5358778418763212E-3</v>
      </c>
      <c r="P71" s="3">
        <f>SUM($O$2:Table1[[#This Row],[pctAllTimeExp]])</f>
        <v>0.84654265174740073</v>
      </c>
      <c r="Q71" t="b">
        <f>Table1[[#This Row],[cumPctAllTimeExp]]&lt;0.95</f>
        <v>1</v>
      </c>
    </row>
    <row r="72" spans="1:17" x14ac:dyDescent="0.25">
      <c r="A72">
        <v>80</v>
      </c>
      <c r="B72" t="s">
        <v>2552</v>
      </c>
      <c r="C72" t="s">
        <v>2552</v>
      </c>
      <c r="D72" t="s">
        <v>2592</v>
      </c>
      <c r="E72" t="s">
        <v>82</v>
      </c>
      <c r="F72" s="4">
        <v>68811.11</v>
      </c>
      <c r="G72" s="4">
        <v>141974.29</v>
      </c>
      <c r="H72" s="4">
        <v>57533.53</v>
      </c>
      <c r="I72" s="4">
        <v>117306.64</v>
      </c>
      <c r="J72" s="4">
        <v>115398.51</v>
      </c>
      <c r="K72" s="4">
        <v>44371.9</v>
      </c>
      <c r="L72" s="4">
        <v>93585.03</v>
      </c>
      <c r="M72" s="4">
        <v>95379.66</v>
      </c>
      <c r="N72" s="4">
        <f>SUM(Table1[[#This Row],[2025]:[2018]])</f>
        <v>734360.67000000016</v>
      </c>
      <c r="O72" s="2">
        <f>Table1[[#This Row],[ttl]]/SUM(Table1[ttl])</f>
        <v>1.4807861387399163E-3</v>
      </c>
      <c r="P72" s="3">
        <f>SUM($O$2:Table1[[#This Row],[pctAllTimeExp]])</f>
        <v>0.84802343788614065</v>
      </c>
      <c r="Q72" t="b">
        <f>Table1[[#This Row],[cumPctAllTimeExp]]&lt;0.95</f>
        <v>1</v>
      </c>
    </row>
    <row r="73" spans="1:17" x14ac:dyDescent="0.25">
      <c r="A73">
        <v>966</v>
      </c>
      <c r="B73" t="s">
        <v>2562</v>
      </c>
      <c r="C73" t="s">
        <v>2562</v>
      </c>
      <c r="D73" t="s">
        <v>2593</v>
      </c>
      <c r="E73" t="s">
        <v>968</v>
      </c>
      <c r="F73" s="4">
        <v>0</v>
      </c>
      <c r="G73" s="4">
        <v>0</v>
      </c>
      <c r="H73" s="4">
        <v>70000</v>
      </c>
      <c r="I73" s="4">
        <v>75000</v>
      </c>
      <c r="J73" s="4">
        <v>180000</v>
      </c>
      <c r="K73" s="4">
        <v>131000</v>
      </c>
      <c r="L73" s="4">
        <v>125000</v>
      </c>
      <c r="M73" s="4">
        <v>149331.07999999999</v>
      </c>
      <c r="N73" s="4">
        <f>SUM(Table1[[#This Row],[2025]:[2018]])</f>
        <v>730331.08</v>
      </c>
      <c r="O73" s="2">
        <f>Table1[[#This Row],[ttl]]/SUM(Table1[ttl])</f>
        <v>1.4726607566755347E-3</v>
      </c>
      <c r="P73" s="3">
        <f>SUM($O$2:Table1[[#This Row],[pctAllTimeExp]])</f>
        <v>0.84949609864281617</v>
      </c>
      <c r="Q73" t="b">
        <f>Table1[[#This Row],[cumPctAllTimeExp]]&lt;0.95</f>
        <v>1</v>
      </c>
    </row>
    <row r="74" spans="1:17" x14ac:dyDescent="0.25">
      <c r="A74">
        <v>212</v>
      </c>
      <c r="B74" t="s">
        <v>2552</v>
      </c>
      <c r="C74" t="s">
        <v>2552</v>
      </c>
      <c r="D74" t="s">
        <v>2594</v>
      </c>
      <c r="E74" t="s">
        <v>214</v>
      </c>
      <c r="F74" s="4">
        <v>12300</v>
      </c>
      <c r="G74" s="4">
        <v>92510</v>
      </c>
      <c r="H74" s="4">
        <v>26133</v>
      </c>
      <c r="I74" s="4">
        <v>111869</v>
      </c>
      <c r="J74" s="4">
        <v>110035</v>
      </c>
      <c r="K74" s="4">
        <v>158085</v>
      </c>
      <c r="L74" s="4">
        <v>42160</v>
      </c>
      <c r="M74" s="4">
        <v>134665</v>
      </c>
      <c r="N74" s="4">
        <f>SUM(Table1[[#This Row],[2025]:[2018]])</f>
        <v>687757</v>
      </c>
      <c r="O74" s="2">
        <f>Table1[[#This Row],[ttl]]/SUM(Table1[ttl])</f>
        <v>1.3868131478519247E-3</v>
      </c>
      <c r="P74" s="3">
        <f>SUM($O$2:Table1[[#This Row],[pctAllTimeExp]])</f>
        <v>0.85088291179066811</v>
      </c>
      <c r="Q74" t="b">
        <f>Table1[[#This Row],[cumPctAllTimeExp]]&lt;0.95</f>
        <v>1</v>
      </c>
    </row>
    <row r="75" spans="1:17" x14ac:dyDescent="0.25">
      <c r="A75">
        <v>2243</v>
      </c>
      <c r="B75" t="s">
        <v>2562</v>
      </c>
      <c r="C75" s="5" t="s">
        <v>2765</v>
      </c>
      <c r="D75" t="s">
        <v>2595</v>
      </c>
      <c r="E75" t="s">
        <v>2245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670757.03</v>
      </c>
      <c r="N75" s="4">
        <f>SUM(Table1[[#This Row],[2025]:[2018]])</f>
        <v>670757.03</v>
      </c>
      <c r="O75" s="2">
        <f>Table1[[#This Row],[ttl]]/SUM(Table1[ttl])</f>
        <v>1.3525339156389652E-3</v>
      </c>
      <c r="P75" s="3">
        <f>SUM($O$2:Table1[[#This Row],[pctAllTimeExp]])</f>
        <v>0.85223544570630705</v>
      </c>
      <c r="Q75" t="b">
        <f>Table1[[#This Row],[cumPctAllTimeExp]]&lt;0.95</f>
        <v>1</v>
      </c>
    </row>
    <row r="76" spans="1:17" x14ac:dyDescent="0.25">
      <c r="A76">
        <v>27</v>
      </c>
      <c r="B76" t="s">
        <v>2530</v>
      </c>
      <c r="C76" t="s">
        <v>2530</v>
      </c>
      <c r="D76" t="s">
        <v>2596</v>
      </c>
      <c r="E76" t="s">
        <v>29</v>
      </c>
      <c r="F76" s="4">
        <v>344109.16</v>
      </c>
      <c r="G76" s="4">
        <v>280199.55</v>
      </c>
      <c r="H76" s="4">
        <v>5500.5</v>
      </c>
      <c r="I76" s="4">
        <v>22023.5</v>
      </c>
      <c r="J76" s="4">
        <v>949</v>
      </c>
      <c r="K76" s="4">
        <v>16432</v>
      </c>
      <c r="L76" s="4">
        <v>0</v>
      </c>
      <c r="M76" s="4">
        <v>0</v>
      </c>
      <c r="N76" s="4">
        <f>SUM(Table1[[#This Row],[2025]:[2018]])</f>
        <v>669213.71</v>
      </c>
      <c r="O76" s="2">
        <f>Table1[[#This Row],[ttl]]/SUM(Table1[ttl])</f>
        <v>1.3494219204613911E-3</v>
      </c>
      <c r="P76" s="3">
        <f>SUM($O$2:Table1[[#This Row],[pctAllTimeExp]])</f>
        <v>0.85358486762676844</v>
      </c>
      <c r="Q76" t="b">
        <f>Table1[[#This Row],[cumPctAllTimeExp]]&lt;0.95</f>
        <v>1</v>
      </c>
    </row>
    <row r="77" spans="1:17" x14ac:dyDescent="0.25">
      <c r="A77">
        <v>33</v>
      </c>
      <c r="B77" t="s">
        <v>2518</v>
      </c>
      <c r="C77" t="s">
        <v>2509</v>
      </c>
      <c r="D77" t="s">
        <v>2597</v>
      </c>
      <c r="E77" t="s">
        <v>35</v>
      </c>
      <c r="F77" s="4">
        <v>261700</v>
      </c>
      <c r="G77" s="4">
        <v>120340</v>
      </c>
      <c r="H77" s="4">
        <v>183690</v>
      </c>
      <c r="I77" s="4">
        <v>103215</v>
      </c>
      <c r="J77" s="4">
        <v>0</v>
      </c>
      <c r="K77" s="4">
        <v>0</v>
      </c>
      <c r="L77" s="4">
        <v>0</v>
      </c>
      <c r="M77" s="4">
        <v>0</v>
      </c>
      <c r="N77" s="4">
        <f>SUM(Table1[[#This Row],[2025]:[2018]])</f>
        <v>668945</v>
      </c>
      <c r="O77" s="2">
        <f>Table1[[#This Row],[ttl]]/SUM(Table1[ttl])</f>
        <v>1.348880085829451E-3</v>
      </c>
      <c r="P77" s="3">
        <f>SUM($O$2:Table1[[#This Row],[pctAllTimeExp]])</f>
        <v>0.85493374771259789</v>
      </c>
      <c r="Q77" t="b">
        <f>Table1[[#This Row],[cumPctAllTimeExp]]&lt;0.95</f>
        <v>1</v>
      </c>
    </row>
    <row r="78" spans="1:17" x14ac:dyDescent="0.25">
      <c r="A78">
        <v>702</v>
      </c>
      <c r="B78" t="s">
        <v>2512</v>
      </c>
      <c r="C78" t="s">
        <v>2759</v>
      </c>
      <c r="D78" t="s">
        <v>2598</v>
      </c>
      <c r="E78" t="s">
        <v>704</v>
      </c>
      <c r="F78" s="4">
        <v>0</v>
      </c>
      <c r="G78" s="4">
        <v>60000</v>
      </c>
      <c r="H78" s="4">
        <v>54150</v>
      </c>
      <c r="I78" s="4">
        <v>69550</v>
      </c>
      <c r="J78" s="4">
        <v>118000</v>
      </c>
      <c r="K78" s="4">
        <v>79301</v>
      </c>
      <c r="L78" s="4">
        <v>99750</v>
      </c>
      <c r="M78" s="4">
        <v>186672.99</v>
      </c>
      <c r="N78" s="4">
        <f>SUM(Table1[[#This Row],[2025]:[2018]])</f>
        <v>667423.99</v>
      </c>
      <c r="O78" s="2">
        <f>Table1[[#This Row],[ttl]]/SUM(Table1[ttl])</f>
        <v>1.3458130771824808E-3</v>
      </c>
      <c r="P78" s="3">
        <f>SUM($O$2:Table1[[#This Row],[pctAllTimeExp]])</f>
        <v>0.8562795607897804</v>
      </c>
      <c r="Q78" t="b">
        <f>Table1[[#This Row],[cumPctAllTimeExp]]&lt;0.95</f>
        <v>1</v>
      </c>
    </row>
    <row r="79" spans="1:17" x14ac:dyDescent="0.25">
      <c r="A79">
        <v>971</v>
      </c>
      <c r="B79" t="s">
        <v>2552</v>
      </c>
      <c r="C79" t="s">
        <v>2509</v>
      </c>
      <c r="D79" t="s">
        <v>2599</v>
      </c>
      <c r="E79" t="s">
        <v>973</v>
      </c>
      <c r="F79" s="4">
        <v>0</v>
      </c>
      <c r="G79" s="4">
        <v>0</v>
      </c>
      <c r="H79" s="4">
        <v>38495</v>
      </c>
      <c r="I79" s="4">
        <v>44950</v>
      </c>
      <c r="J79" s="4">
        <v>1200</v>
      </c>
      <c r="K79" s="4">
        <v>14225.35</v>
      </c>
      <c r="L79" s="4">
        <v>72766.55</v>
      </c>
      <c r="M79" s="4">
        <v>492436.75</v>
      </c>
      <c r="N79" s="4">
        <f>SUM(Table1[[#This Row],[2025]:[2018]])</f>
        <v>664073.65</v>
      </c>
      <c r="O79" s="2">
        <f>Table1[[#This Row],[ttl]]/SUM(Table1[ttl])</f>
        <v>1.3390573545045957E-3</v>
      </c>
      <c r="P79" s="3">
        <f>SUM($O$2:Table1[[#This Row],[pctAllTimeExp]])</f>
        <v>0.85761861814428497</v>
      </c>
      <c r="Q79" t="b">
        <f>Table1[[#This Row],[cumPctAllTimeExp]]&lt;0.95</f>
        <v>1</v>
      </c>
    </row>
    <row r="80" spans="1:17" x14ac:dyDescent="0.25">
      <c r="A80">
        <v>339</v>
      </c>
      <c r="B80" t="s">
        <v>2562</v>
      </c>
      <c r="C80" t="s">
        <v>2562</v>
      </c>
      <c r="D80" t="s">
        <v>2600</v>
      </c>
      <c r="E80" t="s">
        <v>341</v>
      </c>
      <c r="F80" s="4">
        <v>3410</v>
      </c>
      <c r="G80" s="4">
        <v>69913</v>
      </c>
      <c r="H80" s="4">
        <v>119548</v>
      </c>
      <c r="I80" s="4">
        <v>127006</v>
      </c>
      <c r="J80" s="4">
        <v>182673</v>
      </c>
      <c r="K80" s="4">
        <v>161234</v>
      </c>
      <c r="L80" s="4">
        <v>0</v>
      </c>
      <c r="M80" s="4">
        <v>0</v>
      </c>
      <c r="N80" s="4">
        <f>SUM(Table1[[#This Row],[2025]:[2018]])</f>
        <v>663784</v>
      </c>
      <c r="O80" s="2">
        <f>Table1[[#This Row],[ttl]]/SUM(Table1[ttl])</f>
        <v>1.3384732958497578E-3</v>
      </c>
      <c r="P80" s="3">
        <f>SUM($O$2:Table1[[#This Row],[pctAllTimeExp]])</f>
        <v>0.85895709144013477</v>
      </c>
      <c r="Q80" t="b">
        <f>Table1[[#This Row],[cumPctAllTimeExp]]&lt;0.95</f>
        <v>1</v>
      </c>
    </row>
    <row r="81" spans="1:17" x14ac:dyDescent="0.25">
      <c r="A81">
        <v>198</v>
      </c>
      <c r="B81" t="s">
        <v>2548</v>
      </c>
      <c r="C81" t="s">
        <v>2768</v>
      </c>
      <c r="D81" t="s">
        <v>2601</v>
      </c>
      <c r="E81" t="s">
        <v>200</v>
      </c>
      <c r="F81" s="4">
        <v>14357.74</v>
      </c>
      <c r="G81" s="4">
        <v>202761.92</v>
      </c>
      <c r="H81" s="4">
        <v>15516.79</v>
      </c>
      <c r="I81" s="4">
        <v>86855.47</v>
      </c>
      <c r="J81" s="4">
        <v>27278.61</v>
      </c>
      <c r="K81" s="4">
        <v>39301.410000000003</v>
      </c>
      <c r="L81" s="4">
        <v>73046.52</v>
      </c>
      <c r="M81" s="4">
        <v>195953.33</v>
      </c>
      <c r="N81" s="4">
        <f>SUM(Table1[[#This Row],[2025]:[2018]])</f>
        <v>655071.79</v>
      </c>
      <c r="O81" s="2">
        <f>Table1[[#This Row],[ttl]]/SUM(Table1[ttl])</f>
        <v>1.3209057431024256E-3</v>
      </c>
      <c r="P81" s="3">
        <f>SUM($O$2:Table1[[#This Row],[pctAllTimeExp]])</f>
        <v>0.86027799718323716</v>
      </c>
      <c r="Q81" t="b">
        <f>Table1[[#This Row],[cumPctAllTimeExp]]&lt;0.95</f>
        <v>1</v>
      </c>
    </row>
    <row r="82" spans="1:17" x14ac:dyDescent="0.25">
      <c r="A82">
        <v>1652</v>
      </c>
      <c r="B82" t="s">
        <v>2512</v>
      </c>
      <c r="C82" t="s">
        <v>2759</v>
      </c>
      <c r="D82" t="s">
        <v>2602</v>
      </c>
      <c r="E82" t="s">
        <v>1654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223150.68</v>
      </c>
      <c r="L82" s="4">
        <v>178310.51</v>
      </c>
      <c r="M82" s="4">
        <v>249720.95</v>
      </c>
      <c r="N82" s="4">
        <f>SUM(Table1[[#This Row],[2025]:[2018]])</f>
        <v>651182.14</v>
      </c>
      <c r="O82" s="2">
        <f>Table1[[#This Row],[ttl]]/SUM(Table1[ttl])</f>
        <v>1.3130625401098829E-3</v>
      </c>
      <c r="P82" s="3">
        <f>SUM($O$2:Table1[[#This Row],[pctAllTimeExp]])</f>
        <v>0.86159105972334704</v>
      </c>
      <c r="Q82" t="b">
        <f>Table1[[#This Row],[cumPctAllTimeExp]]&lt;0.95</f>
        <v>1</v>
      </c>
    </row>
    <row r="83" spans="1:17" x14ac:dyDescent="0.25">
      <c r="A83">
        <v>1651</v>
      </c>
      <c r="B83" t="s">
        <v>2518</v>
      </c>
      <c r="C83" t="s">
        <v>2509</v>
      </c>
      <c r="D83" t="s">
        <v>2539</v>
      </c>
      <c r="E83" t="s">
        <v>1653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312025.2</v>
      </c>
      <c r="L83" s="4">
        <v>317075.8</v>
      </c>
      <c r="M83" s="4">
        <v>0</v>
      </c>
      <c r="N83" s="4">
        <f>SUM(Table1[[#This Row],[2025]:[2018]])</f>
        <v>629101</v>
      </c>
      <c r="O83" s="2">
        <f>Table1[[#This Row],[ttl]]/SUM(Table1[ttl])</f>
        <v>1.2685374894429191E-3</v>
      </c>
      <c r="P83" s="3">
        <f>SUM($O$2:Table1[[#This Row],[pctAllTimeExp]])</f>
        <v>0.86285959721278993</v>
      </c>
      <c r="Q83" t="b">
        <f>Table1[[#This Row],[cumPctAllTimeExp]]&lt;0.95</f>
        <v>1</v>
      </c>
    </row>
    <row r="84" spans="1:17" x14ac:dyDescent="0.25">
      <c r="A84">
        <v>109</v>
      </c>
      <c r="B84" t="s">
        <v>2562</v>
      </c>
      <c r="C84" t="s">
        <v>2758</v>
      </c>
      <c r="D84" t="s">
        <v>2603</v>
      </c>
      <c r="E84" t="s">
        <v>111</v>
      </c>
      <c r="F84" s="4">
        <v>41540.449999999997</v>
      </c>
      <c r="G84" s="4">
        <v>167158.32999999999</v>
      </c>
      <c r="H84" s="4">
        <v>234487.19</v>
      </c>
      <c r="I84" s="4">
        <v>20767.36</v>
      </c>
      <c r="J84" s="4">
        <v>40038.370000000003</v>
      </c>
      <c r="K84" s="4">
        <v>39161.25</v>
      </c>
      <c r="L84" s="4">
        <v>39994.5</v>
      </c>
      <c r="M84" s="4">
        <v>45408.85</v>
      </c>
      <c r="N84" s="4">
        <f>SUM(Table1[[#This Row],[2025]:[2018]])</f>
        <v>628556.29999999993</v>
      </c>
      <c r="O84" s="2">
        <f>Table1[[#This Row],[ttl]]/SUM(Table1[ttl])</f>
        <v>1.2674391405760445E-3</v>
      </c>
      <c r="P84" s="3">
        <f>SUM($O$2:Table1[[#This Row],[pctAllTimeExp]])</f>
        <v>0.86412703635336596</v>
      </c>
      <c r="Q84" t="b">
        <f>Table1[[#This Row],[cumPctAllTimeExp]]&lt;0.95</f>
        <v>1</v>
      </c>
    </row>
    <row r="85" spans="1:17" x14ac:dyDescent="0.25">
      <c r="A85">
        <v>67</v>
      </c>
      <c r="B85" t="s">
        <v>2512</v>
      </c>
      <c r="C85" t="s">
        <v>2552</v>
      </c>
      <c r="D85" t="s">
        <v>2604</v>
      </c>
      <c r="E85" t="s">
        <v>69</v>
      </c>
      <c r="F85" s="4">
        <v>88185</v>
      </c>
      <c r="G85" s="4">
        <v>108367.5</v>
      </c>
      <c r="H85" s="4">
        <v>93632.5</v>
      </c>
      <c r="I85" s="4">
        <v>88037.5</v>
      </c>
      <c r="J85" s="4">
        <v>111615</v>
      </c>
      <c r="K85" s="4">
        <v>56117</v>
      </c>
      <c r="L85" s="4">
        <v>41023</v>
      </c>
      <c r="M85" s="4">
        <v>39246</v>
      </c>
      <c r="N85" s="4">
        <f>SUM(Table1[[#This Row],[2025]:[2018]])</f>
        <v>626223.5</v>
      </c>
      <c r="O85" s="2">
        <f>Table1[[#This Row],[ttl]]/SUM(Table1[ttl])</f>
        <v>1.2627352150452117E-3</v>
      </c>
      <c r="P85" s="3">
        <f>SUM($O$2:Table1[[#This Row],[pctAllTimeExp]])</f>
        <v>0.86538977156841113</v>
      </c>
      <c r="Q85" t="b">
        <f>Table1[[#This Row],[cumPctAllTimeExp]]&lt;0.95</f>
        <v>1</v>
      </c>
    </row>
    <row r="86" spans="1:17" x14ac:dyDescent="0.25">
      <c r="A86">
        <v>74</v>
      </c>
      <c r="B86" t="s">
        <v>2562</v>
      </c>
      <c r="C86" t="s">
        <v>2552</v>
      </c>
      <c r="D86" t="s">
        <v>2605</v>
      </c>
      <c r="E86" t="s">
        <v>76</v>
      </c>
      <c r="F86" s="4">
        <v>75219.520000000004</v>
      </c>
      <c r="G86" s="4">
        <v>85038.12</v>
      </c>
      <c r="H86" s="4">
        <v>83097.62</v>
      </c>
      <c r="I86" s="4">
        <v>75586.91</v>
      </c>
      <c r="J86" s="4">
        <v>75537.13</v>
      </c>
      <c r="K86" s="4">
        <v>66613.72</v>
      </c>
      <c r="L86" s="4">
        <v>76094.509999999995</v>
      </c>
      <c r="M86" s="4">
        <v>83182.62</v>
      </c>
      <c r="N86" s="4">
        <f>SUM(Table1[[#This Row],[2025]:[2018]])</f>
        <v>620370.15</v>
      </c>
      <c r="O86" s="2">
        <f>Table1[[#This Row],[ttl]]/SUM(Table1[ttl])</f>
        <v>1.2509323504593492E-3</v>
      </c>
      <c r="P86" s="3">
        <f>SUM($O$2:Table1[[#This Row],[pctAllTimeExp]])</f>
        <v>0.86664070391887049</v>
      </c>
      <c r="Q86" t="b">
        <f>Table1[[#This Row],[cumPctAllTimeExp]]&lt;0.95</f>
        <v>1</v>
      </c>
    </row>
    <row r="87" spans="1:17" x14ac:dyDescent="0.25">
      <c r="A87">
        <v>210</v>
      </c>
      <c r="B87" t="s">
        <v>2518</v>
      </c>
      <c r="C87" t="s">
        <v>2552</v>
      </c>
      <c r="D87" t="s">
        <v>2606</v>
      </c>
      <c r="E87" t="s">
        <v>212</v>
      </c>
      <c r="F87" s="4">
        <v>12585</v>
      </c>
      <c r="G87" s="4">
        <v>129014</v>
      </c>
      <c r="H87" s="4">
        <v>170179</v>
      </c>
      <c r="I87" s="4">
        <v>127975</v>
      </c>
      <c r="J87" s="4">
        <v>40626</v>
      </c>
      <c r="K87" s="4">
        <v>54675</v>
      </c>
      <c r="L87" s="4">
        <v>36168</v>
      </c>
      <c r="M87" s="4">
        <v>33752</v>
      </c>
      <c r="N87" s="4">
        <f>SUM(Table1[[#This Row],[2025]:[2018]])</f>
        <v>604974</v>
      </c>
      <c r="O87" s="2">
        <f>Table1[[#This Row],[ttl]]/SUM(Table1[ttl])</f>
        <v>1.2198871073774171E-3</v>
      </c>
      <c r="P87" s="3">
        <f>SUM($O$2:Table1[[#This Row],[pctAllTimeExp]])</f>
        <v>0.86786059102624791</v>
      </c>
      <c r="Q87" t="b">
        <f>Table1[[#This Row],[cumPctAllTimeExp]]&lt;0.95</f>
        <v>1</v>
      </c>
    </row>
    <row r="88" spans="1:17" x14ac:dyDescent="0.25">
      <c r="A88">
        <v>18</v>
      </c>
      <c r="B88" t="s">
        <v>2518</v>
      </c>
      <c r="C88" t="s">
        <v>2509</v>
      </c>
      <c r="D88" t="s">
        <v>2607</v>
      </c>
      <c r="E88" t="s">
        <v>20</v>
      </c>
      <c r="F88" s="4">
        <v>604674.05000000005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f>SUM(Table1[[#This Row],[2025]:[2018]])</f>
        <v>604674.05000000005</v>
      </c>
      <c r="O88" s="2">
        <f>Table1[[#This Row],[ttl]]/SUM(Table1[ttl])</f>
        <v>1.2192822795040576E-3</v>
      </c>
      <c r="P88" s="3">
        <f>SUM($O$2:Table1[[#This Row],[pctAllTimeExp]])</f>
        <v>0.86907987330575198</v>
      </c>
      <c r="Q88" t="b">
        <f>Table1[[#This Row],[cumPctAllTimeExp]]&lt;0.95</f>
        <v>1</v>
      </c>
    </row>
    <row r="89" spans="1:17" x14ac:dyDescent="0.25">
      <c r="A89">
        <v>126</v>
      </c>
      <c r="B89" t="s">
        <v>2552</v>
      </c>
      <c r="C89" t="s">
        <v>2552</v>
      </c>
      <c r="D89" t="s">
        <v>2608</v>
      </c>
      <c r="E89" t="s">
        <v>128</v>
      </c>
      <c r="F89" s="4">
        <v>33499</v>
      </c>
      <c r="G89" s="4">
        <v>0</v>
      </c>
      <c r="H89" s="4">
        <v>0</v>
      </c>
      <c r="I89" s="4">
        <v>49500</v>
      </c>
      <c r="J89" s="4">
        <v>837.86</v>
      </c>
      <c r="K89" s="4">
        <v>124455.31</v>
      </c>
      <c r="L89" s="4">
        <v>44650.84</v>
      </c>
      <c r="M89" s="4">
        <v>346607.44</v>
      </c>
      <c r="N89" s="4">
        <f>SUM(Table1[[#This Row],[2025]:[2018]])</f>
        <v>599550.44999999995</v>
      </c>
      <c r="O89" s="2">
        <f>Table1[[#This Row],[ttl]]/SUM(Table1[ttl])</f>
        <v>1.2089509039683172E-3</v>
      </c>
      <c r="P89" s="3">
        <f>SUM($O$2:Table1[[#This Row],[pctAllTimeExp]])</f>
        <v>0.87028882420972031</v>
      </c>
      <c r="Q89" t="b">
        <f>Table1[[#This Row],[cumPctAllTimeExp]]&lt;0.95</f>
        <v>1</v>
      </c>
    </row>
    <row r="90" spans="1:17" x14ac:dyDescent="0.25">
      <c r="A90">
        <v>64</v>
      </c>
      <c r="B90" t="s">
        <v>2758</v>
      </c>
      <c r="C90" t="s">
        <v>2758</v>
      </c>
      <c r="D90" t="s">
        <v>2609</v>
      </c>
      <c r="E90" t="s">
        <v>66</v>
      </c>
      <c r="F90" s="4">
        <v>96552.61</v>
      </c>
      <c r="G90" s="4">
        <v>94386.09</v>
      </c>
      <c r="H90" s="4">
        <v>92454.43</v>
      </c>
      <c r="I90" s="4">
        <v>85496.19</v>
      </c>
      <c r="J90" s="4">
        <v>58309.34</v>
      </c>
      <c r="K90" s="4">
        <v>62747.39</v>
      </c>
      <c r="L90" s="4">
        <v>47552.85</v>
      </c>
      <c r="M90" s="4">
        <v>54095.09</v>
      </c>
      <c r="N90" s="4">
        <f>SUM(Table1[[#This Row],[2025]:[2018]])</f>
        <v>591593.99</v>
      </c>
      <c r="O90" s="2">
        <f>Table1[[#This Row],[ttl]]/SUM(Table1[ttl])</f>
        <v>1.1929072674246573E-3</v>
      </c>
      <c r="P90" s="3">
        <f>SUM($O$2:Table1[[#This Row],[pctAllTimeExp]])</f>
        <v>0.87148173147714492</v>
      </c>
      <c r="Q90" t="b">
        <f>Table1[[#This Row],[cumPctAllTimeExp]]&lt;0.95</f>
        <v>1</v>
      </c>
    </row>
    <row r="91" spans="1:17" x14ac:dyDescent="0.25">
      <c r="A91">
        <v>1661</v>
      </c>
      <c r="B91" t="s">
        <v>2518</v>
      </c>
      <c r="C91" t="s">
        <v>2758</v>
      </c>
      <c r="D91" t="s">
        <v>2610</v>
      </c>
      <c r="E91" t="s">
        <v>1663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35050</v>
      </c>
      <c r="L91" s="4">
        <v>255600</v>
      </c>
      <c r="M91" s="4">
        <v>272977</v>
      </c>
      <c r="N91" s="4">
        <f>SUM(Table1[[#This Row],[2025]:[2018]])</f>
        <v>563627</v>
      </c>
      <c r="O91" s="2">
        <f>Table1[[#This Row],[ttl]]/SUM(Table1[ttl])</f>
        <v>1.1365138182298934E-3</v>
      </c>
      <c r="P91" s="3">
        <f>SUM($O$2:Table1[[#This Row],[pctAllTimeExp]])</f>
        <v>0.87261824529537479</v>
      </c>
      <c r="Q91" t="b">
        <f>Table1[[#This Row],[cumPctAllTimeExp]]&lt;0.95</f>
        <v>1</v>
      </c>
    </row>
    <row r="92" spans="1:17" x14ac:dyDescent="0.25">
      <c r="A92">
        <v>1036</v>
      </c>
      <c r="B92" t="s">
        <v>2518</v>
      </c>
      <c r="C92" t="s">
        <v>2509</v>
      </c>
      <c r="D92" t="s">
        <v>2611</v>
      </c>
      <c r="E92" t="s">
        <v>1038</v>
      </c>
      <c r="F92" s="4">
        <v>0</v>
      </c>
      <c r="G92" s="4">
        <v>0</v>
      </c>
      <c r="H92" s="4">
        <v>5687.5</v>
      </c>
      <c r="I92" s="4">
        <v>24000</v>
      </c>
      <c r="J92" s="4">
        <v>0</v>
      </c>
      <c r="K92" s="4">
        <v>0</v>
      </c>
      <c r="L92" s="4">
        <v>48133.15</v>
      </c>
      <c r="M92" s="4">
        <v>452643.2</v>
      </c>
      <c r="N92" s="4">
        <f>SUM(Table1[[#This Row],[2025]:[2018]])</f>
        <v>530463.85</v>
      </c>
      <c r="O92" s="2">
        <f>Table1[[#This Row],[ttl]]/SUM(Table1[ttl])</f>
        <v>1.0696426814124046E-3</v>
      </c>
      <c r="P92" s="3">
        <f>SUM($O$2:Table1[[#This Row],[pctAllTimeExp]])</f>
        <v>0.8736878879767872</v>
      </c>
      <c r="Q92" t="b">
        <f>Table1[[#This Row],[cumPctAllTimeExp]]&lt;0.95</f>
        <v>1</v>
      </c>
    </row>
    <row r="93" spans="1:17" x14ac:dyDescent="0.25">
      <c r="A93">
        <v>65</v>
      </c>
      <c r="B93" t="s">
        <v>2552</v>
      </c>
      <c r="C93" t="s">
        <v>2552</v>
      </c>
      <c r="D93" t="s">
        <v>2612</v>
      </c>
      <c r="E93" t="s">
        <v>67</v>
      </c>
      <c r="F93" s="4">
        <v>94043.1</v>
      </c>
      <c r="G93" s="4">
        <v>137622.95000000001</v>
      </c>
      <c r="H93" s="4">
        <v>5352.25</v>
      </c>
      <c r="I93" s="4">
        <v>66259</v>
      </c>
      <c r="J93" s="4">
        <v>45747</v>
      </c>
      <c r="K93" s="4">
        <v>164167</v>
      </c>
      <c r="L93" s="4">
        <v>6256</v>
      </c>
      <c r="M93" s="4">
        <v>9265</v>
      </c>
      <c r="N93" s="4">
        <f>SUM(Table1[[#This Row],[2025]:[2018]])</f>
        <v>528712.30000000005</v>
      </c>
      <c r="O93" s="2">
        <f>Table1[[#This Row],[ttl]]/SUM(Table1[ttl])</f>
        <v>1.0661108052277639E-3</v>
      </c>
      <c r="P93" s="3">
        <f>SUM($O$2:Table1[[#This Row],[pctAllTimeExp]])</f>
        <v>0.87475399878201499</v>
      </c>
      <c r="Q93" t="b">
        <f>Table1[[#This Row],[cumPctAllTimeExp]]&lt;0.95</f>
        <v>1</v>
      </c>
    </row>
    <row r="94" spans="1:17" x14ac:dyDescent="0.25">
      <c r="A94">
        <v>192</v>
      </c>
      <c r="B94" t="s">
        <v>2528</v>
      </c>
      <c r="C94" t="s">
        <v>2528</v>
      </c>
      <c r="D94" t="s">
        <v>2613</v>
      </c>
      <c r="E94" t="s">
        <v>194</v>
      </c>
      <c r="F94" s="4">
        <v>15589.8</v>
      </c>
      <c r="G94" s="4">
        <v>70753.16</v>
      </c>
      <c r="H94" s="4">
        <v>322397.25</v>
      </c>
      <c r="I94" s="4">
        <v>17320.599999999999</v>
      </c>
      <c r="J94" s="4">
        <v>65048.57</v>
      </c>
      <c r="K94" s="4">
        <v>1187.04</v>
      </c>
      <c r="L94" s="4">
        <v>28142.99</v>
      </c>
      <c r="M94" s="4">
        <v>6854.97</v>
      </c>
      <c r="N94" s="4">
        <f>SUM(Table1[[#This Row],[2025]:[2018]])</f>
        <v>527294.38</v>
      </c>
      <c r="O94" s="2">
        <f>Table1[[#This Row],[ttl]]/SUM(Table1[ttl])</f>
        <v>1.0632516702446197E-3</v>
      </c>
      <c r="P94" s="3">
        <f>SUM($O$2:Table1[[#This Row],[pctAllTimeExp]])</f>
        <v>0.87581725045225955</v>
      </c>
      <c r="Q94" t="b">
        <f>Table1[[#This Row],[cumPctAllTimeExp]]&lt;0.95</f>
        <v>1</v>
      </c>
    </row>
    <row r="95" spans="1:17" x14ac:dyDescent="0.25">
      <c r="A95">
        <v>1409</v>
      </c>
      <c r="B95" t="s">
        <v>2528</v>
      </c>
      <c r="C95" t="s">
        <v>2763</v>
      </c>
      <c r="D95" t="s">
        <v>2614</v>
      </c>
      <c r="E95" t="s">
        <v>1411</v>
      </c>
      <c r="F95" s="4">
        <v>0</v>
      </c>
      <c r="G95" s="4">
        <v>0</v>
      </c>
      <c r="H95" s="4">
        <v>0</v>
      </c>
      <c r="I95" s="4">
        <v>0</v>
      </c>
      <c r="J95" s="4">
        <v>40000</v>
      </c>
      <c r="K95" s="4">
        <v>135000</v>
      </c>
      <c r="L95" s="4">
        <v>150000</v>
      </c>
      <c r="M95" s="4">
        <v>200000</v>
      </c>
      <c r="N95" s="4">
        <f>SUM(Table1[[#This Row],[2025]:[2018]])</f>
        <v>525000</v>
      </c>
      <c r="O95" s="2">
        <f>Table1[[#This Row],[ttl]]/SUM(Table1[ttl])</f>
        <v>1.058625215915302E-3</v>
      </c>
      <c r="P95" s="3">
        <f>SUM($O$2:Table1[[#This Row],[pctAllTimeExp]])</f>
        <v>0.87687587566817482</v>
      </c>
      <c r="Q95" t="b">
        <f>Table1[[#This Row],[cumPctAllTimeExp]]&lt;0.95</f>
        <v>1</v>
      </c>
    </row>
    <row r="96" spans="1:17" x14ac:dyDescent="0.25">
      <c r="A96">
        <v>1211</v>
      </c>
      <c r="B96" t="s">
        <v>2552</v>
      </c>
      <c r="C96" t="s">
        <v>2552</v>
      </c>
      <c r="D96" t="s">
        <v>2615</v>
      </c>
      <c r="E96" t="s">
        <v>1213</v>
      </c>
      <c r="F96" s="4">
        <v>0</v>
      </c>
      <c r="G96" s="4">
        <v>0</v>
      </c>
      <c r="H96" s="4">
        <v>0</v>
      </c>
      <c r="I96" s="4">
        <v>15881</v>
      </c>
      <c r="J96" s="4">
        <v>50050.28</v>
      </c>
      <c r="K96" s="4">
        <v>197978.6</v>
      </c>
      <c r="L96" s="4">
        <v>177648.53</v>
      </c>
      <c r="M96" s="4">
        <v>82065.490000000005</v>
      </c>
      <c r="N96" s="4">
        <f>SUM(Table1[[#This Row],[2025]:[2018]])</f>
        <v>523623.9</v>
      </c>
      <c r="O96" s="2">
        <f>Table1[[#This Row],[ttl]]/SUM(Table1[ttl])</f>
        <v>1.0558504079922143E-3</v>
      </c>
      <c r="P96" s="3">
        <f>SUM($O$2:Table1[[#This Row],[pctAllTimeExp]])</f>
        <v>0.87793172607616698</v>
      </c>
      <c r="Q96" t="b">
        <f>Table1[[#This Row],[cumPctAllTimeExp]]&lt;0.95</f>
        <v>1</v>
      </c>
    </row>
    <row r="97" spans="1:17" x14ac:dyDescent="0.25">
      <c r="A97">
        <v>206</v>
      </c>
      <c r="B97" t="s">
        <v>2552</v>
      </c>
      <c r="C97" t="s">
        <v>2552</v>
      </c>
      <c r="D97" t="s">
        <v>2616</v>
      </c>
      <c r="E97" t="s">
        <v>208</v>
      </c>
      <c r="F97" s="4">
        <v>13465</v>
      </c>
      <c r="G97" s="4">
        <v>20305</v>
      </c>
      <c r="H97" s="4">
        <v>98180</v>
      </c>
      <c r="I97" s="4">
        <v>77460</v>
      </c>
      <c r="J97" s="4">
        <v>22540</v>
      </c>
      <c r="K97" s="4">
        <v>41022</v>
      </c>
      <c r="L97" s="4">
        <v>201425</v>
      </c>
      <c r="M97" s="4">
        <v>39785</v>
      </c>
      <c r="N97" s="4">
        <f>SUM(Table1[[#This Row],[2025]:[2018]])</f>
        <v>514182</v>
      </c>
      <c r="O97" s="2">
        <f>Table1[[#This Row],[ttl]]/SUM(Table1[ttl])</f>
        <v>1.0368114871804987E-3</v>
      </c>
      <c r="P97" s="3">
        <f>SUM($O$2:Table1[[#This Row],[pctAllTimeExp]])</f>
        <v>0.87896853756334747</v>
      </c>
      <c r="Q97" t="b">
        <f>Table1[[#This Row],[cumPctAllTimeExp]]&lt;0.95</f>
        <v>1</v>
      </c>
    </row>
    <row r="98" spans="1:17" x14ac:dyDescent="0.25">
      <c r="A98">
        <v>299</v>
      </c>
      <c r="B98" t="s">
        <v>2548</v>
      </c>
      <c r="C98" t="s">
        <v>2768</v>
      </c>
      <c r="D98" t="s">
        <v>2617</v>
      </c>
      <c r="E98" t="s">
        <v>301</v>
      </c>
      <c r="F98" s="4">
        <v>5058.8900000000003</v>
      </c>
      <c r="G98" s="4">
        <v>0</v>
      </c>
      <c r="H98" s="4">
        <v>5634.36</v>
      </c>
      <c r="I98" s="4">
        <v>69966.039999999994</v>
      </c>
      <c r="J98" s="4">
        <v>29985.439999999999</v>
      </c>
      <c r="K98" s="4">
        <v>386893</v>
      </c>
      <c r="L98" s="4">
        <v>0</v>
      </c>
      <c r="M98" s="4">
        <v>0</v>
      </c>
      <c r="N98" s="4">
        <f>SUM(Table1[[#This Row],[2025]:[2018]])</f>
        <v>497537.73</v>
      </c>
      <c r="O98" s="2">
        <f>Table1[[#This Row],[ttl]]/SUM(Table1[ttl])</f>
        <v>1.0032494987566843E-3</v>
      </c>
      <c r="P98" s="3">
        <f>SUM($O$2:Table1[[#This Row],[pctAllTimeExp]])</f>
        <v>0.8799717870621041</v>
      </c>
      <c r="Q98" t="b">
        <f>Table1[[#This Row],[cumPctAllTimeExp]]&lt;0.95</f>
        <v>1</v>
      </c>
    </row>
    <row r="99" spans="1:17" x14ac:dyDescent="0.25">
      <c r="A99">
        <v>1978</v>
      </c>
      <c r="B99" t="s">
        <v>2552</v>
      </c>
      <c r="C99" t="s">
        <v>2509</v>
      </c>
      <c r="D99" t="s">
        <v>2618</v>
      </c>
      <c r="E99" t="s">
        <v>1980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28892.84</v>
      </c>
      <c r="M99" s="4">
        <v>459779.6</v>
      </c>
      <c r="N99" s="4">
        <f>SUM(Table1[[#This Row],[2025]:[2018]])</f>
        <v>488672.44</v>
      </c>
      <c r="O99" s="2">
        <f>Table1[[#This Row],[ttl]]/SUM(Table1[ttl])</f>
        <v>9.8537327106068095E-4</v>
      </c>
      <c r="P99" s="3">
        <f>SUM($O$2:Table1[[#This Row],[pctAllTimeExp]])</f>
        <v>0.88095716033316473</v>
      </c>
      <c r="Q99" t="b">
        <f>Table1[[#This Row],[cumPctAllTimeExp]]&lt;0.95</f>
        <v>1</v>
      </c>
    </row>
    <row r="100" spans="1:17" x14ac:dyDescent="0.25">
      <c r="A100">
        <v>2244</v>
      </c>
      <c r="B100" t="s">
        <v>2562</v>
      </c>
      <c r="C100" t="s">
        <v>2562</v>
      </c>
      <c r="D100" t="s">
        <v>2619</v>
      </c>
      <c r="E100" t="s">
        <v>2246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487304.59</v>
      </c>
      <c r="N100" s="4">
        <f>SUM(Table1[[#This Row],[2025]:[2018]])</f>
        <v>487304.59</v>
      </c>
      <c r="O100" s="2">
        <f>Table1[[#This Row],[ttl]]/SUM(Table1[ttl])</f>
        <v>9.8261509867670054E-4</v>
      </c>
      <c r="P100" s="3">
        <f>SUM($O$2:Table1[[#This Row],[pctAllTimeExp]])</f>
        <v>0.88193977543184143</v>
      </c>
      <c r="Q100" t="b">
        <f>Table1[[#This Row],[cumPctAllTimeExp]]&lt;0.95</f>
        <v>1</v>
      </c>
    </row>
    <row r="101" spans="1:17" x14ac:dyDescent="0.25">
      <c r="A101">
        <v>35</v>
      </c>
      <c r="B101" t="s">
        <v>2552</v>
      </c>
      <c r="C101" t="s">
        <v>2509</v>
      </c>
      <c r="D101" t="s">
        <v>2620</v>
      </c>
      <c r="E101" t="s">
        <v>37</v>
      </c>
      <c r="F101" s="4">
        <v>260689.5</v>
      </c>
      <c r="G101" s="4">
        <v>172129</v>
      </c>
      <c r="H101" s="4">
        <v>27739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f>SUM(Table1[[#This Row],[2025]:[2018]])</f>
        <v>460557.5</v>
      </c>
      <c r="O101" s="2">
        <f>Table1[[#This Row],[ttl]]/SUM(Table1[ttl])</f>
        <v>9.2868149119792716E-4</v>
      </c>
      <c r="P101" s="3">
        <f>SUM($O$2:Table1[[#This Row],[pctAllTimeExp]])</f>
        <v>0.88286845692303939</v>
      </c>
      <c r="Q101" t="b">
        <f>Table1[[#This Row],[cumPctAllTimeExp]]&lt;0.95</f>
        <v>1</v>
      </c>
    </row>
    <row r="102" spans="1:17" x14ac:dyDescent="0.25">
      <c r="A102">
        <v>704</v>
      </c>
      <c r="B102" t="s">
        <v>2562</v>
      </c>
      <c r="C102" t="s">
        <v>2562</v>
      </c>
      <c r="D102" t="s">
        <v>2621</v>
      </c>
      <c r="E102" t="s">
        <v>706</v>
      </c>
      <c r="F102" s="4">
        <v>0</v>
      </c>
      <c r="G102" s="4">
        <v>53700</v>
      </c>
      <c r="H102" s="4">
        <v>70885.490000000005</v>
      </c>
      <c r="I102" s="4">
        <v>20590.87</v>
      </c>
      <c r="J102" s="4">
        <v>171723.56</v>
      </c>
      <c r="K102" s="4">
        <v>133584.07</v>
      </c>
      <c r="L102" s="4">
        <v>9292.36</v>
      </c>
      <c r="M102" s="4">
        <v>0</v>
      </c>
      <c r="N102" s="4">
        <f>SUM(Table1[[#This Row],[2025]:[2018]])</f>
        <v>459776.35000000003</v>
      </c>
      <c r="O102" s="2">
        <f>Table1[[#This Row],[ttl]]/SUM(Table1[ttl])</f>
        <v>9.2710635769809437E-4</v>
      </c>
      <c r="P102" s="3">
        <f>SUM($O$2:Table1[[#This Row],[pctAllTimeExp]])</f>
        <v>0.8837955632807375</v>
      </c>
      <c r="Q102" t="b">
        <f>Table1[[#This Row],[cumPctAllTimeExp]]&lt;0.95</f>
        <v>1</v>
      </c>
    </row>
    <row r="103" spans="1:17" x14ac:dyDescent="0.25">
      <c r="A103">
        <v>89</v>
      </c>
      <c r="B103" t="s">
        <v>2562</v>
      </c>
      <c r="C103" t="s">
        <v>2764</v>
      </c>
      <c r="D103" t="s">
        <v>2622</v>
      </c>
      <c r="E103" t="s">
        <v>91</v>
      </c>
      <c r="F103" s="4">
        <v>57867.69</v>
      </c>
      <c r="G103" s="4">
        <v>53830.74</v>
      </c>
      <c r="H103" s="4">
        <v>110213.36</v>
      </c>
      <c r="I103" s="4">
        <v>77248.66</v>
      </c>
      <c r="J103" s="4">
        <v>50303.55</v>
      </c>
      <c r="K103" s="4">
        <v>45303.56</v>
      </c>
      <c r="L103" s="4">
        <v>40066.480000000003</v>
      </c>
      <c r="M103" s="4">
        <v>20228.22</v>
      </c>
      <c r="N103" s="4">
        <f>SUM(Table1[[#This Row],[2025]:[2018]])</f>
        <v>455062.25999999989</v>
      </c>
      <c r="O103" s="2">
        <f>Table1[[#This Row],[ttl]]/SUM(Table1[ttl])</f>
        <v>9.1760072999505754E-4</v>
      </c>
      <c r="P103" s="3">
        <f>SUM($O$2:Table1[[#This Row],[pctAllTimeExp]])</f>
        <v>0.88471316401073252</v>
      </c>
      <c r="Q103" t="b">
        <f>Table1[[#This Row],[cumPctAllTimeExp]]&lt;0.95</f>
        <v>1</v>
      </c>
    </row>
    <row r="104" spans="1:17" x14ac:dyDescent="0.25">
      <c r="A104">
        <v>71</v>
      </c>
      <c r="B104" t="s">
        <v>2552</v>
      </c>
      <c r="C104" t="s">
        <v>2552</v>
      </c>
      <c r="D104" t="s">
        <v>2623</v>
      </c>
      <c r="E104" t="s">
        <v>73</v>
      </c>
      <c r="F104" s="4">
        <v>82394.13</v>
      </c>
      <c r="G104" s="4">
        <v>237650.15</v>
      </c>
      <c r="H104" s="4">
        <v>133780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f>SUM(Table1[[#This Row],[2025]:[2018]])</f>
        <v>453824.28</v>
      </c>
      <c r="O104" s="2">
        <f>Table1[[#This Row],[ttl]]/SUM(Table1[ttl])</f>
        <v>9.1510443124306006E-4</v>
      </c>
      <c r="P104" s="3">
        <f>SUM($O$2:Table1[[#This Row],[pctAllTimeExp]])</f>
        <v>0.88562826844197562</v>
      </c>
      <c r="Q104" t="b">
        <f>Table1[[#This Row],[cumPctAllTimeExp]]&lt;0.95</f>
        <v>1</v>
      </c>
    </row>
    <row r="105" spans="1:17" x14ac:dyDescent="0.25">
      <c r="A105">
        <v>362</v>
      </c>
      <c r="B105" t="s">
        <v>2518</v>
      </c>
      <c r="C105" t="s">
        <v>2509</v>
      </c>
      <c r="D105" t="s">
        <v>2624</v>
      </c>
      <c r="E105" t="s">
        <v>364</v>
      </c>
      <c r="F105" s="4">
        <v>2820</v>
      </c>
      <c r="G105" s="4">
        <v>12423</v>
      </c>
      <c r="H105" s="4">
        <v>6686</v>
      </c>
      <c r="I105" s="4">
        <v>2320</v>
      </c>
      <c r="J105" s="4">
        <v>102497.2</v>
      </c>
      <c r="K105" s="4">
        <v>313929.3</v>
      </c>
      <c r="L105" s="4">
        <v>7964.5</v>
      </c>
      <c r="M105" s="4">
        <v>2440</v>
      </c>
      <c r="N105" s="4">
        <f>SUM(Table1[[#This Row],[2025]:[2018]])</f>
        <v>451080</v>
      </c>
      <c r="O105" s="2">
        <f>Table1[[#This Row],[ttl]]/SUM(Table1[ttl])</f>
        <v>9.0957078551442755E-4</v>
      </c>
      <c r="P105" s="3">
        <f>SUM($O$2:Table1[[#This Row],[pctAllTimeExp]])</f>
        <v>0.88653783922749008</v>
      </c>
      <c r="Q105" t="b">
        <f>Table1[[#This Row],[cumPctAllTimeExp]]&lt;0.95</f>
        <v>1</v>
      </c>
    </row>
    <row r="106" spans="1:17" x14ac:dyDescent="0.25">
      <c r="A106">
        <v>99</v>
      </c>
      <c r="B106" t="s">
        <v>2530</v>
      </c>
      <c r="C106" t="s">
        <v>2530</v>
      </c>
      <c r="D106" t="s">
        <v>2625</v>
      </c>
      <c r="E106" t="s">
        <v>101</v>
      </c>
      <c r="F106" s="4">
        <v>46795</v>
      </c>
      <c r="G106" s="4">
        <v>52100</v>
      </c>
      <c r="H106" s="4">
        <v>36400</v>
      </c>
      <c r="I106" s="4">
        <v>75300</v>
      </c>
      <c r="J106" s="4">
        <v>21840</v>
      </c>
      <c r="K106" s="4">
        <v>53000</v>
      </c>
      <c r="L106" s="4">
        <v>140250</v>
      </c>
      <c r="M106" s="4">
        <v>4750</v>
      </c>
      <c r="N106" s="4">
        <f>SUM(Table1[[#This Row],[2025]:[2018]])</f>
        <v>430435</v>
      </c>
      <c r="O106" s="2">
        <f>Table1[[#This Row],[ttl]]/SUM(Table1[ttl])</f>
        <v>8.6794160916667251E-4</v>
      </c>
      <c r="P106" s="3">
        <f>SUM($O$2:Table1[[#This Row],[pctAllTimeExp]])</f>
        <v>0.88740578083665678</v>
      </c>
      <c r="Q106" t="b">
        <f>Table1[[#This Row],[cumPctAllTimeExp]]&lt;0.95</f>
        <v>1</v>
      </c>
    </row>
    <row r="107" spans="1:17" x14ac:dyDescent="0.25">
      <c r="A107">
        <v>85</v>
      </c>
      <c r="B107" t="s">
        <v>2543</v>
      </c>
      <c r="C107" t="s">
        <v>2543</v>
      </c>
      <c r="D107" t="s">
        <v>2626</v>
      </c>
      <c r="E107" t="s">
        <v>87</v>
      </c>
      <c r="F107" s="4">
        <v>61800</v>
      </c>
      <c r="G107" s="4">
        <v>60000</v>
      </c>
      <c r="H107" s="4">
        <v>58250</v>
      </c>
      <c r="I107" s="4">
        <v>52000</v>
      </c>
      <c r="J107" s="4">
        <v>52000</v>
      </c>
      <c r="K107" s="4">
        <v>52000</v>
      </c>
      <c r="L107" s="4">
        <v>45000</v>
      </c>
      <c r="M107" s="4">
        <v>45000</v>
      </c>
      <c r="N107" s="4">
        <f>SUM(Table1[[#This Row],[2025]:[2018]])</f>
        <v>426050</v>
      </c>
      <c r="O107" s="2">
        <f>Table1[[#This Row],[ttl]]/SUM(Table1[ttl])</f>
        <v>8.5909956807755136E-4</v>
      </c>
      <c r="P107" s="3">
        <f>SUM($O$2:Table1[[#This Row],[pctAllTimeExp]])</f>
        <v>0.88826488040473428</v>
      </c>
      <c r="Q107" t="b">
        <f>Table1[[#This Row],[cumPctAllTimeExp]]&lt;0.95</f>
        <v>1</v>
      </c>
    </row>
    <row r="108" spans="1:17" x14ac:dyDescent="0.25">
      <c r="A108">
        <v>104</v>
      </c>
      <c r="B108" t="s">
        <v>2548</v>
      </c>
      <c r="C108" t="s">
        <v>2509</v>
      </c>
      <c r="D108" t="s">
        <v>2627</v>
      </c>
      <c r="E108" t="s">
        <v>106</v>
      </c>
      <c r="F108" s="4">
        <v>43496.98</v>
      </c>
      <c r="G108" s="4">
        <v>41980.4</v>
      </c>
      <c r="H108" s="4">
        <v>31719.71</v>
      </c>
      <c r="I108" s="4">
        <v>35720</v>
      </c>
      <c r="J108" s="4">
        <v>42957.25</v>
      </c>
      <c r="K108" s="4">
        <v>99612.98</v>
      </c>
      <c r="L108" s="4">
        <v>97486.22</v>
      </c>
      <c r="M108" s="4">
        <v>29130.07</v>
      </c>
      <c r="N108" s="4">
        <f>SUM(Table1[[#This Row],[2025]:[2018]])</f>
        <v>422103.61000000004</v>
      </c>
      <c r="O108" s="2">
        <f>Table1[[#This Row],[ttl]]/SUM(Table1[ttl])</f>
        <v>8.5114195290453048E-4</v>
      </c>
      <c r="P108" s="3">
        <f>SUM($O$2:Table1[[#This Row],[pctAllTimeExp]])</f>
        <v>0.88911602235763876</v>
      </c>
      <c r="Q108" t="b">
        <f>Table1[[#This Row],[cumPctAllTimeExp]]&lt;0.95</f>
        <v>1</v>
      </c>
    </row>
    <row r="109" spans="1:17" x14ac:dyDescent="0.25">
      <c r="A109">
        <v>691</v>
      </c>
      <c r="B109" t="s">
        <v>2543</v>
      </c>
      <c r="C109" t="s">
        <v>2543</v>
      </c>
      <c r="D109" t="s">
        <v>2628</v>
      </c>
      <c r="E109" t="s">
        <v>693</v>
      </c>
      <c r="F109" s="4">
        <v>0</v>
      </c>
      <c r="G109" s="4">
        <v>310000</v>
      </c>
      <c r="H109" s="4">
        <v>0</v>
      </c>
      <c r="I109" s="4">
        <v>0</v>
      </c>
      <c r="J109" s="4">
        <v>0</v>
      </c>
      <c r="K109" s="4">
        <v>99705.279999999999</v>
      </c>
      <c r="L109" s="4">
        <v>0</v>
      </c>
      <c r="M109" s="4">
        <v>100</v>
      </c>
      <c r="N109" s="4">
        <f>SUM(Table1[[#This Row],[2025]:[2018]])</f>
        <v>409805.28</v>
      </c>
      <c r="O109" s="2">
        <f>Table1[[#This Row],[ttl]]/SUM(Table1[ttl])</f>
        <v>8.2634324385377311E-4</v>
      </c>
      <c r="P109" s="3">
        <f>SUM($O$2:Table1[[#This Row],[pctAllTimeExp]])</f>
        <v>0.88994236560149254</v>
      </c>
      <c r="Q109" t="b">
        <f>Table1[[#This Row],[cumPctAllTimeExp]]&lt;0.95</f>
        <v>1</v>
      </c>
    </row>
    <row r="110" spans="1:17" x14ac:dyDescent="0.25">
      <c r="A110">
        <v>55</v>
      </c>
      <c r="B110" t="s">
        <v>2512</v>
      </c>
      <c r="C110" t="s">
        <v>2767</v>
      </c>
      <c r="D110" t="s">
        <v>2629</v>
      </c>
      <c r="E110" t="s">
        <v>57</v>
      </c>
      <c r="F110" s="4">
        <v>120900</v>
      </c>
      <c r="G110" s="4">
        <v>78000</v>
      </c>
      <c r="H110" s="4">
        <v>59600</v>
      </c>
      <c r="I110" s="4">
        <v>49553.52</v>
      </c>
      <c r="J110" s="4">
        <v>33154</v>
      </c>
      <c r="K110" s="4">
        <v>33638</v>
      </c>
      <c r="L110" s="4">
        <v>32430</v>
      </c>
      <c r="M110" s="4">
        <v>0</v>
      </c>
      <c r="N110" s="4">
        <f>SUM(Table1[[#This Row],[2025]:[2018]])</f>
        <v>407275.52000000002</v>
      </c>
      <c r="O110" s="2">
        <f>Table1[[#This Row],[ttl]]/SUM(Table1[ttl])</f>
        <v>8.2124216247050853E-4</v>
      </c>
      <c r="P110" s="3">
        <f>SUM($O$2:Table1[[#This Row],[pctAllTimeExp]])</f>
        <v>0.89076360776396302</v>
      </c>
      <c r="Q110" t="b">
        <f>Table1[[#This Row],[cumPctAllTimeExp]]&lt;0.95</f>
        <v>1</v>
      </c>
    </row>
    <row r="111" spans="1:17" x14ac:dyDescent="0.25">
      <c r="A111">
        <v>1037</v>
      </c>
      <c r="B111" t="s">
        <v>2552</v>
      </c>
      <c r="C111" t="s">
        <v>2509</v>
      </c>
      <c r="D111" t="s">
        <v>2630</v>
      </c>
      <c r="E111" t="s">
        <v>1039</v>
      </c>
      <c r="F111" s="4">
        <v>0</v>
      </c>
      <c r="G111" s="4">
        <v>0</v>
      </c>
      <c r="H111" s="4">
        <v>5258.89</v>
      </c>
      <c r="I111" s="4">
        <v>15618.18</v>
      </c>
      <c r="J111" s="4">
        <v>36720.65</v>
      </c>
      <c r="K111" s="4">
        <v>89959</v>
      </c>
      <c r="L111" s="4">
        <v>248322</v>
      </c>
      <c r="M111" s="4">
        <v>0</v>
      </c>
      <c r="N111" s="4">
        <f>SUM(Table1[[#This Row],[2025]:[2018]])</f>
        <v>395878.72</v>
      </c>
      <c r="O111" s="2">
        <f>Table1[[#This Row],[ttl]]/SUM(Table1[ttl])</f>
        <v>7.9826132464052072E-4</v>
      </c>
      <c r="P111" s="3">
        <f>SUM($O$2:Table1[[#This Row],[pctAllTimeExp]])</f>
        <v>0.89156186908860358</v>
      </c>
      <c r="Q111" t="b">
        <f>Table1[[#This Row],[cumPctAllTimeExp]]&lt;0.95</f>
        <v>1</v>
      </c>
    </row>
    <row r="112" spans="1:17" x14ac:dyDescent="0.25">
      <c r="A112">
        <v>34</v>
      </c>
      <c r="B112" t="s">
        <v>2528</v>
      </c>
      <c r="C112" t="s">
        <v>2528</v>
      </c>
      <c r="D112" t="s">
        <v>2631</v>
      </c>
      <c r="E112" t="s">
        <v>36</v>
      </c>
      <c r="F112" s="4">
        <v>260862</v>
      </c>
      <c r="G112" s="4">
        <v>71419.25</v>
      </c>
      <c r="H112" s="4">
        <v>24000</v>
      </c>
      <c r="I112" s="4">
        <v>39219.85</v>
      </c>
      <c r="J112" s="4">
        <v>0</v>
      </c>
      <c r="K112" s="4">
        <v>0</v>
      </c>
      <c r="L112" s="4">
        <v>0</v>
      </c>
      <c r="M112" s="4">
        <v>0</v>
      </c>
      <c r="N112" s="4">
        <f>SUM(Table1[[#This Row],[2025]:[2018]])</f>
        <v>395501.1</v>
      </c>
      <c r="O112" s="2">
        <f>Table1[[#This Row],[ttl]]/SUM(Table1[ttl])</f>
        <v>7.9749988072807512E-4</v>
      </c>
      <c r="P112" s="3">
        <f>SUM($O$2:Table1[[#This Row],[pctAllTimeExp]])</f>
        <v>0.89235936896933166</v>
      </c>
      <c r="Q112" t="b">
        <f>Table1[[#This Row],[cumPctAllTimeExp]]&lt;0.95</f>
        <v>1</v>
      </c>
    </row>
    <row r="113" spans="1:17" x14ac:dyDescent="0.25">
      <c r="A113">
        <v>26</v>
      </c>
      <c r="B113" t="s">
        <v>2562</v>
      </c>
      <c r="C113" t="s">
        <v>2509</v>
      </c>
      <c r="D113" t="s">
        <v>2632</v>
      </c>
      <c r="E113" t="s">
        <v>28</v>
      </c>
      <c r="F113" s="4">
        <v>344942.5</v>
      </c>
      <c r="G113" s="4">
        <v>0</v>
      </c>
      <c r="H113" s="4">
        <v>4368.96</v>
      </c>
      <c r="I113" s="4">
        <v>0</v>
      </c>
      <c r="J113" s="4">
        <v>325.92</v>
      </c>
      <c r="K113" s="4">
        <v>0</v>
      </c>
      <c r="L113" s="4">
        <v>0</v>
      </c>
      <c r="M113" s="4">
        <v>45204.5</v>
      </c>
      <c r="N113" s="4">
        <f>SUM(Table1[[#This Row],[2025]:[2018]])</f>
        <v>394841.88</v>
      </c>
      <c r="O113" s="2">
        <f>Table1[[#This Row],[ttl]]/SUM(Table1[ttl])</f>
        <v>7.9617061041410253E-4</v>
      </c>
      <c r="P113" s="3">
        <f>SUM($O$2:Table1[[#This Row],[pctAllTimeExp]])</f>
        <v>0.89315553957974581</v>
      </c>
      <c r="Q113" t="b">
        <f>Table1[[#This Row],[cumPctAllTimeExp]]&lt;0.95</f>
        <v>1</v>
      </c>
    </row>
    <row r="114" spans="1:17" x14ac:dyDescent="0.25">
      <c r="A114">
        <v>150</v>
      </c>
      <c r="B114" t="s">
        <v>2548</v>
      </c>
      <c r="C114" t="s">
        <v>2509</v>
      </c>
      <c r="D114" t="s">
        <v>2633</v>
      </c>
      <c r="E114" t="s">
        <v>152</v>
      </c>
      <c r="F114" s="4">
        <v>24000</v>
      </c>
      <c r="G114" s="4">
        <v>49989.84</v>
      </c>
      <c r="H114" s="4">
        <v>5000</v>
      </c>
      <c r="I114" s="4">
        <v>0</v>
      </c>
      <c r="J114" s="4">
        <v>0</v>
      </c>
      <c r="K114" s="4">
        <v>315395</v>
      </c>
      <c r="L114" s="4">
        <v>0</v>
      </c>
      <c r="M114" s="4">
        <v>0</v>
      </c>
      <c r="N114" s="4">
        <f>SUM(Table1[[#This Row],[2025]:[2018]])</f>
        <v>394384.83999999997</v>
      </c>
      <c r="O114" s="2">
        <f>Table1[[#This Row],[ttl]]/SUM(Table1[ttl])</f>
        <v>7.9524902171185111E-4</v>
      </c>
      <c r="P114" s="3">
        <f>SUM($O$2:Table1[[#This Row],[pctAllTimeExp]])</f>
        <v>0.8939507886014576</v>
      </c>
      <c r="Q114" t="b">
        <f>Table1[[#This Row],[cumPctAllTimeExp]]&lt;0.95</f>
        <v>1</v>
      </c>
    </row>
    <row r="115" spans="1:17" x14ac:dyDescent="0.25">
      <c r="A115">
        <v>84</v>
      </c>
      <c r="B115" t="s">
        <v>2528</v>
      </c>
      <c r="C115" t="s">
        <v>2528</v>
      </c>
      <c r="D115" t="s">
        <v>2634</v>
      </c>
      <c r="E115" t="s">
        <v>86</v>
      </c>
      <c r="F115" s="4">
        <v>63279.96</v>
      </c>
      <c r="G115" s="4">
        <v>54000</v>
      </c>
      <c r="H115" s="4">
        <v>54395</v>
      </c>
      <c r="I115" s="4">
        <v>52815</v>
      </c>
      <c r="J115" s="4">
        <v>40450</v>
      </c>
      <c r="K115" s="4">
        <v>46210</v>
      </c>
      <c r="L115" s="4">
        <v>41600</v>
      </c>
      <c r="M115" s="4">
        <v>36762.5</v>
      </c>
      <c r="N115" s="4">
        <f>SUM(Table1[[#This Row],[2025]:[2018]])</f>
        <v>389512.45999999996</v>
      </c>
      <c r="O115" s="2">
        <f>Table1[[#This Row],[ttl]]/SUM(Table1[ttl])</f>
        <v>7.8542421346514363E-4</v>
      </c>
      <c r="P115" s="3">
        <f>SUM($O$2:Table1[[#This Row],[pctAllTimeExp]])</f>
        <v>0.89473621281492277</v>
      </c>
      <c r="Q115" t="b">
        <f>Table1[[#This Row],[cumPctAllTimeExp]]&lt;0.95</f>
        <v>1</v>
      </c>
    </row>
    <row r="116" spans="1:17" x14ac:dyDescent="0.25">
      <c r="A116">
        <v>50</v>
      </c>
      <c r="B116" t="s">
        <v>2562</v>
      </c>
      <c r="C116" t="s">
        <v>2562</v>
      </c>
      <c r="D116" t="s">
        <v>2635</v>
      </c>
      <c r="E116" t="s">
        <v>52</v>
      </c>
      <c r="F116" s="4">
        <v>132464.70000000001</v>
      </c>
      <c r="G116" s="4">
        <v>159661.22</v>
      </c>
      <c r="H116" s="4">
        <v>85889.59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f>SUM(Table1[[#This Row],[2025]:[2018]])</f>
        <v>378015.51</v>
      </c>
      <c r="O116" s="2">
        <f>Table1[[#This Row],[ttl]]/SUM(Table1[ttl])</f>
        <v>7.6224143027253915E-4</v>
      </c>
      <c r="P116" s="3">
        <f>SUM($O$2:Table1[[#This Row],[pctAllTimeExp]])</f>
        <v>0.89549845424519536</v>
      </c>
      <c r="Q116" t="b">
        <f>Table1[[#This Row],[cumPctAllTimeExp]]&lt;0.95</f>
        <v>1</v>
      </c>
    </row>
    <row r="117" spans="1:17" x14ac:dyDescent="0.25">
      <c r="A117">
        <v>37</v>
      </c>
      <c r="B117" t="s">
        <v>2543</v>
      </c>
      <c r="C117" t="s">
        <v>2543</v>
      </c>
      <c r="D117" t="s">
        <v>2636</v>
      </c>
      <c r="E117" t="s">
        <v>39</v>
      </c>
      <c r="F117" s="4">
        <v>234566.93</v>
      </c>
      <c r="G117" s="4">
        <v>13825</v>
      </c>
      <c r="H117" s="4">
        <v>82529.25</v>
      </c>
      <c r="I117" s="4">
        <v>15065.75</v>
      </c>
      <c r="J117" s="4">
        <v>0</v>
      </c>
      <c r="K117" s="4">
        <v>0</v>
      </c>
      <c r="L117" s="4">
        <v>28750</v>
      </c>
      <c r="M117" s="4">
        <v>0</v>
      </c>
      <c r="N117" s="4">
        <f>SUM(Table1[[#This Row],[2025]:[2018]])</f>
        <v>374736.93</v>
      </c>
      <c r="O117" s="2">
        <f>Table1[[#This Row],[ttl]]/SUM(Table1[ttl])</f>
        <v>7.5563040653845229E-4</v>
      </c>
      <c r="P117" s="3">
        <f>SUM($O$2:Table1[[#This Row],[pctAllTimeExp]])</f>
        <v>0.89625408465173384</v>
      </c>
      <c r="Q117" t="b">
        <f>Table1[[#This Row],[cumPctAllTimeExp]]&lt;0.95</f>
        <v>1</v>
      </c>
    </row>
    <row r="118" spans="1:17" x14ac:dyDescent="0.25">
      <c r="A118">
        <v>137</v>
      </c>
      <c r="B118" t="s">
        <v>2543</v>
      </c>
      <c r="C118" t="s">
        <v>2543</v>
      </c>
      <c r="D118" t="s">
        <v>2637</v>
      </c>
      <c r="E118" t="s">
        <v>139</v>
      </c>
      <c r="F118" s="4">
        <v>26388.12</v>
      </c>
      <c r="G118" s="4">
        <v>18356.55</v>
      </c>
      <c r="H118" s="4">
        <v>329306.42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f>SUM(Table1[[#This Row],[2025]:[2018]])</f>
        <v>374051.08999999997</v>
      </c>
      <c r="O118" s="2">
        <f>Table1[[#This Row],[ttl]]/SUM(Table1[ttl])</f>
        <v>7.5424745888496008E-4</v>
      </c>
      <c r="P118" s="3">
        <f>SUM($O$2:Table1[[#This Row],[pctAllTimeExp]])</f>
        <v>0.89700833211061881</v>
      </c>
      <c r="Q118" t="b">
        <f>Table1[[#This Row],[cumPctAllTimeExp]]&lt;0.95</f>
        <v>1</v>
      </c>
    </row>
    <row r="119" spans="1:17" x14ac:dyDescent="0.25">
      <c r="A119">
        <v>53</v>
      </c>
      <c r="B119" t="s">
        <v>2562</v>
      </c>
      <c r="C119" t="s">
        <v>2766</v>
      </c>
      <c r="D119" t="s">
        <v>2638</v>
      </c>
      <c r="E119" t="s">
        <v>55</v>
      </c>
      <c r="F119" s="4">
        <v>127931.49</v>
      </c>
      <c r="G119" s="4">
        <v>59796.160000000003</v>
      </c>
      <c r="H119" s="4">
        <v>89313.71</v>
      </c>
      <c r="I119" s="4">
        <v>72277.64</v>
      </c>
      <c r="J119" s="4">
        <v>14197.86</v>
      </c>
      <c r="K119" s="4">
        <v>0</v>
      </c>
      <c r="L119" s="4">
        <v>0</v>
      </c>
      <c r="M119" s="4">
        <v>0</v>
      </c>
      <c r="N119" s="4">
        <f>SUM(Table1[[#This Row],[2025]:[2018]])</f>
        <v>363516.86000000004</v>
      </c>
      <c r="O119" s="2">
        <f>Table1[[#This Row],[ttl]]/SUM(Table1[ttl])</f>
        <v>7.3300593220257653E-4</v>
      </c>
      <c r="P119" s="3">
        <f>SUM($O$2:Table1[[#This Row],[pctAllTimeExp]])</f>
        <v>0.89774133804282141</v>
      </c>
      <c r="Q119" t="b">
        <f>Table1[[#This Row],[cumPctAllTimeExp]]&lt;0.95</f>
        <v>1</v>
      </c>
    </row>
    <row r="120" spans="1:17" x14ac:dyDescent="0.25">
      <c r="A120">
        <v>130</v>
      </c>
      <c r="B120" t="s">
        <v>2512</v>
      </c>
      <c r="C120" t="s">
        <v>2509</v>
      </c>
      <c r="D120" t="s">
        <v>2639</v>
      </c>
      <c r="E120" t="s">
        <v>132</v>
      </c>
      <c r="F120" s="4">
        <v>29640.3</v>
      </c>
      <c r="G120" s="4">
        <v>55757.67</v>
      </c>
      <c r="H120" s="4">
        <v>106738.97</v>
      </c>
      <c r="I120" s="4">
        <v>56783.05</v>
      </c>
      <c r="J120" s="4">
        <v>32010.5</v>
      </c>
      <c r="K120" s="4">
        <v>21469.95</v>
      </c>
      <c r="L120" s="4">
        <v>30522.400000000001</v>
      </c>
      <c r="M120" s="4">
        <v>30488.31</v>
      </c>
      <c r="N120" s="4">
        <f>SUM(Table1[[#This Row],[2025]:[2018]])</f>
        <v>363411.15</v>
      </c>
      <c r="O120" s="2">
        <f>Table1[[#This Row],[ttl]]/SUM(Table1[ttl])</f>
        <v>7.3279277549481573E-4</v>
      </c>
      <c r="P120" s="3">
        <f>SUM($O$2:Table1[[#This Row],[pctAllTimeExp]])</f>
        <v>0.89847413081831617</v>
      </c>
      <c r="Q120" t="b">
        <f>Table1[[#This Row],[cumPctAllTimeExp]]&lt;0.95</f>
        <v>1</v>
      </c>
    </row>
    <row r="121" spans="1:17" x14ac:dyDescent="0.25">
      <c r="A121">
        <v>25</v>
      </c>
      <c r="B121" t="s">
        <v>2552</v>
      </c>
      <c r="C121" t="s">
        <v>2509</v>
      </c>
      <c r="D121" t="s">
        <v>2640</v>
      </c>
      <c r="E121" t="s">
        <v>27</v>
      </c>
      <c r="F121" s="4">
        <v>347764.47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f>SUM(Table1[[#This Row],[2025]:[2018]])</f>
        <v>347764.47</v>
      </c>
      <c r="O121" s="2">
        <f>Table1[[#This Row],[ttl]]/SUM(Table1[ttl])</f>
        <v>7.0124235645984865E-4</v>
      </c>
      <c r="P121" s="3">
        <f>SUM($O$2:Table1[[#This Row],[pctAllTimeExp]])</f>
        <v>0.89917537317477603</v>
      </c>
      <c r="Q121" t="b">
        <f>Table1[[#This Row],[cumPctAllTimeExp]]&lt;0.95</f>
        <v>1</v>
      </c>
    </row>
    <row r="122" spans="1:17" x14ac:dyDescent="0.25">
      <c r="A122">
        <v>101</v>
      </c>
      <c r="B122" t="s">
        <v>2552</v>
      </c>
      <c r="C122" t="s">
        <v>2509</v>
      </c>
      <c r="D122" t="s">
        <v>2641</v>
      </c>
      <c r="E122" t="s">
        <v>103</v>
      </c>
      <c r="F122" s="4">
        <v>46433</v>
      </c>
      <c r="G122" s="4">
        <v>25945.75</v>
      </c>
      <c r="H122" s="4">
        <v>109998</v>
      </c>
      <c r="I122" s="4">
        <v>36820</v>
      </c>
      <c r="J122" s="4">
        <v>73605</v>
      </c>
      <c r="K122" s="4">
        <v>38000</v>
      </c>
      <c r="L122" s="4">
        <v>4750</v>
      </c>
      <c r="M122" s="4">
        <v>0</v>
      </c>
      <c r="N122" s="4">
        <f>SUM(Table1[[#This Row],[2025]:[2018]])</f>
        <v>335551.75</v>
      </c>
      <c r="O122" s="2">
        <f>Table1[[#This Row],[ttl]]/SUM(Table1[ttl])</f>
        <v>6.7661627389429993E-4</v>
      </c>
      <c r="P122" s="3">
        <f>SUM($O$2:Table1[[#This Row],[pctAllTimeExp]])</f>
        <v>0.89985198944867029</v>
      </c>
      <c r="Q122" t="b">
        <f>Table1[[#This Row],[cumPctAllTimeExp]]&lt;0.95</f>
        <v>1</v>
      </c>
    </row>
    <row r="123" spans="1:17" x14ac:dyDescent="0.25">
      <c r="A123">
        <v>48</v>
      </c>
      <c r="B123" t="s">
        <v>2552</v>
      </c>
      <c r="C123" t="s">
        <v>2552</v>
      </c>
      <c r="D123" t="s">
        <v>2642</v>
      </c>
      <c r="E123" t="s">
        <v>50</v>
      </c>
      <c r="F123" s="4">
        <v>144190.25</v>
      </c>
      <c r="G123" s="4">
        <v>155170.03</v>
      </c>
      <c r="H123" s="4">
        <v>30407</v>
      </c>
      <c r="I123" s="4">
        <v>0</v>
      </c>
      <c r="J123" s="4">
        <v>2786</v>
      </c>
      <c r="K123" s="4">
        <v>320</v>
      </c>
      <c r="L123" s="4">
        <v>0</v>
      </c>
      <c r="M123" s="4">
        <v>2150</v>
      </c>
      <c r="N123" s="4">
        <f>SUM(Table1[[#This Row],[2025]:[2018]])</f>
        <v>335023.28000000003</v>
      </c>
      <c r="O123" s="2">
        <f>Table1[[#This Row],[ttl]]/SUM(Table1[ttl])</f>
        <v>6.755506516698147E-4</v>
      </c>
      <c r="P123" s="3">
        <f>SUM($O$2:Table1[[#This Row],[pctAllTimeExp]])</f>
        <v>0.90052754010034008</v>
      </c>
      <c r="Q123" t="b">
        <f>Table1[[#This Row],[cumPctAllTimeExp]]&lt;0.95</f>
        <v>1</v>
      </c>
    </row>
    <row r="124" spans="1:17" x14ac:dyDescent="0.25">
      <c r="A124">
        <v>73</v>
      </c>
      <c r="B124" t="s">
        <v>2548</v>
      </c>
      <c r="C124" t="s">
        <v>2758</v>
      </c>
      <c r="D124" t="s">
        <v>2643</v>
      </c>
      <c r="E124" t="s">
        <v>75</v>
      </c>
      <c r="F124" s="4">
        <v>78552.75</v>
      </c>
      <c r="G124" s="4">
        <v>40298.129999999997</v>
      </c>
      <c r="H124" s="4">
        <v>18209.919999999998</v>
      </c>
      <c r="I124" s="4">
        <v>62745.599999999999</v>
      </c>
      <c r="J124" s="4">
        <v>29574.19</v>
      </c>
      <c r="K124" s="4">
        <v>31569.35</v>
      </c>
      <c r="L124" s="4">
        <v>25999.23</v>
      </c>
      <c r="M124" s="4">
        <v>47408.79</v>
      </c>
      <c r="N124" s="4">
        <f>SUM(Table1[[#This Row],[2025]:[2018]])</f>
        <v>334357.95999999996</v>
      </c>
      <c r="O124" s="2">
        <f>Table1[[#This Row],[ttl]]/SUM(Table1[ttl])</f>
        <v>6.7420908113904746E-4</v>
      </c>
      <c r="P124" s="3">
        <f>SUM($O$2:Table1[[#This Row],[pctAllTimeExp]])</f>
        <v>0.90120174918147911</v>
      </c>
      <c r="Q124" t="b">
        <f>Table1[[#This Row],[cumPctAllTimeExp]]&lt;0.95</f>
        <v>1</v>
      </c>
    </row>
    <row r="125" spans="1:17" x14ac:dyDescent="0.25">
      <c r="A125">
        <v>693</v>
      </c>
      <c r="B125" t="s">
        <v>2518</v>
      </c>
      <c r="C125" t="s">
        <v>2509</v>
      </c>
      <c r="D125" t="s">
        <v>2644</v>
      </c>
      <c r="E125" t="s">
        <v>695</v>
      </c>
      <c r="F125" s="4">
        <v>0</v>
      </c>
      <c r="G125" s="4">
        <v>296800</v>
      </c>
      <c r="H125" s="4">
        <v>14862</v>
      </c>
      <c r="I125" s="4">
        <v>0</v>
      </c>
      <c r="J125" s="4">
        <v>22420</v>
      </c>
      <c r="K125" s="4">
        <v>0</v>
      </c>
      <c r="L125" s="4">
        <v>0</v>
      </c>
      <c r="M125" s="4">
        <v>0</v>
      </c>
      <c r="N125" s="4">
        <f>SUM(Table1[[#This Row],[2025]:[2018]])</f>
        <v>334082</v>
      </c>
      <c r="O125" s="2">
        <f>Table1[[#This Row],[ttl]]/SUM(Table1[ttl])</f>
        <v>6.7365262739698274E-4</v>
      </c>
      <c r="P125" s="3">
        <f>SUM($O$2:Table1[[#This Row],[pctAllTimeExp]])</f>
        <v>0.90187540180887604</v>
      </c>
      <c r="Q125" t="b">
        <f>Table1[[#This Row],[cumPctAllTimeExp]]&lt;0.95</f>
        <v>1</v>
      </c>
    </row>
    <row r="126" spans="1:17" x14ac:dyDescent="0.25">
      <c r="A126">
        <v>369</v>
      </c>
      <c r="B126" t="s">
        <v>2548</v>
      </c>
      <c r="C126" t="s">
        <v>2768</v>
      </c>
      <c r="D126" t="s">
        <v>2645</v>
      </c>
      <c r="E126" t="s">
        <v>371</v>
      </c>
      <c r="F126" s="4">
        <v>2599.15</v>
      </c>
      <c r="G126" s="4">
        <v>16383.91</v>
      </c>
      <c r="H126" s="4">
        <v>58232.4</v>
      </c>
      <c r="I126" s="4">
        <v>38494.29</v>
      </c>
      <c r="J126" s="4">
        <v>8526.25</v>
      </c>
      <c r="K126" s="4">
        <v>33489.08</v>
      </c>
      <c r="L126" s="4">
        <v>140026.07999999999</v>
      </c>
      <c r="M126" s="4">
        <v>32190.880000000001</v>
      </c>
      <c r="N126" s="4">
        <f>SUM(Table1[[#This Row],[2025]:[2018]])</f>
        <v>329942.04000000004</v>
      </c>
      <c r="O126" s="2">
        <f>Table1[[#This Row],[ttl]]/SUM(Table1[ttl])</f>
        <v>6.6530469206578144E-4</v>
      </c>
      <c r="P126" s="3">
        <f>SUM($O$2:Table1[[#This Row],[pctAllTimeExp]])</f>
        <v>0.90254070650094187</v>
      </c>
      <c r="Q126" t="b">
        <f>Table1[[#This Row],[cumPctAllTimeExp]]&lt;0.95</f>
        <v>1</v>
      </c>
    </row>
    <row r="127" spans="1:17" x14ac:dyDescent="0.25">
      <c r="A127">
        <v>235</v>
      </c>
      <c r="B127" t="s">
        <v>2518</v>
      </c>
      <c r="C127" t="s">
        <v>2509</v>
      </c>
      <c r="D127" t="s">
        <v>2646</v>
      </c>
      <c r="E127" t="s">
        <v>237</v>
      </c>
      <c r="F127" s="4">
        <v>8770</v>
      </c>
      <c r="G127" s="4">
        <v>197482.5</v>
      </c>
      <c r="H127" s="4">
        <v>75897.5</v>
      </c>
      <c r="I127" s="4">
        <v>46890</v>
      </c>
      <c r="J127" s="4">
        <v>0</v>
      </c>
      <c r="K127" s="4">
        <v>0</v>
      </c>
      <c r="L127" s="4">
        <v>0</v>
      </c>
      <c r="M127" s="4">
        <v>0</v>
      </c>
      <c r="N127" s="4">
        <f>SUM(Table1[[#This Row],[2025]:[2018]])</f>
        <v>329040</v>
      </c>
      <c r="O127" s="2">
        <f>Table1[[#This Row],[ttl]]/SUM(Table1[ttl])</f>
        <v>6.6348579246623045E-4</v>
      </c>
      <c r="P127" s="3">
        <f>SUM($O$2:Table1[[#This Row],[pctAllTimeExp]])</f>
        <v>0.90320419229340809</v>
      </c>
      <c r="Q127" t="b">
        <f>Table1[[#This Row],[cumPctAllTimeExp]]&lt;0.95</f>
        <v>1</v>
      </c>
    </row>
    <row r="128" spans="1:17" x14ac:dyDescent="0.25">
      <c r="A128">
        <v>62</v>
      </c>
      <c r="B128" t="s">
        <v>2518</v>
      </c>
      <c r="C128" t="s">
        <v>2509</v>
      </c>
      <c r="D128" t="s">
        <v>2647</v>
      </c>
      <c r="E128" t="s">
        <v>64</v>
      </c>
      <c r="F128" s="4">
        <v>101181.38</v>
      </c>
      <c r="G128" s="4">
        <v>61944.62</v>
      </c>
      <c r="H128" s="4">
        <v>11040.78</v>
      </c>
      <c r="I128" s="4">
        <v>152868.16</v>
      </c>
      <c r="J128" s="4">
        <v>0</v>
      </c>
      <c r="K128" s="4">
        <v>0</v>
      </c>
      <c r="L128" s="4">
        <v>0</v>
      </c>
      <c r="M128" s="4">
        <v>0</v>
      </c>
      <c r="N128" s="4">
        <f>SUM(Table1[[#This Row],[2025]:[2018]])</f>
        <v>327034.94</v>
      </c>
      <c r="O128" s="2">
        <f>Table1[[#This Row],[ttl]]/SUM(Table1[ttl])</f>
        <v>6.5944273137018641E-4</v>
      </c>
      <c r="P128" s="3">
        <f>SUM($O$2:Table1[[#This Row],[pctAllTimeExp]])</f>
        <v>0.90386363502477829</v>
      </c>
      <c r="Q128" t="b">
        <f>Table1[[#This Row],[cumPctAllTimeExp]]&lt;0.95</f>
        <v>1</v>
      </c>
    </row>
    <row r="129" spans="1:17" x14ac:dyDescent="0.25">
      <c r="A129">
        <v>30</v>
      </c>
      <c r="B129" t="s">
        <v>2512</v>
      </c>
      <c r="C129" t="s">
        <v>2766</v>
      </c>
      <c r="D129" t="s">
        <v>2648</v>
      </c>
      <c r="E129" t="s">
        <v>32</v>
      </c>
      <c r="F129" s="4">
        <v>318662.59999999998</v>
      </c>
      <c r="G129" s="4">
        <v>2910</v>
      </c>
      <c r="H129" s="4">
        <v>4797.7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f>SUM(Table1[[#This Row],[2025]:[2018]])</f>
        <v>326370.3</v>
      </c>
      <c r="O129" s="2">
        <f>Table1[[#This Row],[ttl]]/SUM(Table1[ttl])</f>
        <v>6.5810253201112746E-4</v>
      </c>
      <c r="P129" s="3">
        <f>SUM($O$2:Table1[[#This Row],[pctAllTimeExp]])</f>
        <v>0.90452173755678944</v>
      </c>
      <c r="Q129" t="b">
        <f>Table1[[#This Row],[cumPctAllTimeExp]]&lt;0.95</f>
        <v>1</v>
      </c>
    </row>
    <row r="130" spans="1:17" x14ac:dyDescent="0.25">
      <c r="A130">
        <v>1044</v>
      </c>
      <c r="B130" t="s">
        <v>2528</v>
      </c>
      <c r="C130" t="s">
        <v>2528</v>
      </c>
      <c r="D130" t="s">
        <v>2649</v>
      </c>
      <c r="E130" t="s">
        <v>1046</v>
      </c>
      <c r="F130" s="4">
        <v>0</v>
      </c>
      <c r="G130" s="4">
        <v>0</v>
      </c>
      <c r="H130" s="4">
        <v>4050</v>
      </c>
      <c r="I130" s="4">
        <v>4200</v>
      </c>
      <c r="J130" s="4">
        <v>48590</v>
      </c>
      <c r="K130" s="4">
        <v>197650</v>
      </c>
      <c r="L130" s="4">
        <v>65332.97</v>
      </c>
      <c r="M130" s="4">
        <v>5500</v>
      </c>
      <c r="N130" s="4">
        <f>SUM(Table1[[#This Row],[2025]:[2018]])</f>
        <v>325322.96999999997</v>
      </c>
      <c r="O130" s="2">
        <f>Table1[[#This Row],[ttl]]/SUM(Table1[ttl])</f>
        <v>6.5599066544468055E-4</v>
      </c>
      <c r="P130" s="3">
        <f>SUM($O$2:Table1[[#This Row],[pctAllTimeExp]])</f>
        <v>0.90517772822223408</v>
      </c>
      <c r="Q130" t="b">
        <f>Table1[[#This Row],[cumPctAllTimeExp]]&lt;0.95</f>
        <v>1</v>
      </c>
    </row>
    <row r="131" spans="1:17" x14ac:dyDescent="0.25">
      <c r="A131">
        <v>173</v>
      </c>
      <c r="B131" t="s">
        <v>2543</v>
      </c>
      <c r="C131" t="s">
        <v>2543</v>
      </c>
      <c r="D131" t="s">
        <v>2650</v>
      </c>
      <c r="E131" t="s">
        <v>175</v>
      </c>
      <c r="F131" s="4">
        <v>19050</v>
      </c>
      <c r="G131" s="4">
        <v>86250</v>
      </c>
      <c r="H131" s="4">
        <v>14026.23</v>
      </c>
      <c r="I131" s="4">
        <v>100000</v>
      </c>
      <c r="J131" s="4">
        <v>90000</v>
      </c>
      <c r="K131" s="4">
        <v>3250</v>
      </c>
      <c r="L131" s="4">
        <v>4405.5</v>
      </c>
      <c r="M131" s="4">
        <v>0</v>
      </c>
      <c r="N131" s="4">
        <f>SUM(Table1[[#This Row],[2025]:[2018]])</f>
        <v>316981.73</v>
      </c>
      <c r="O131" s="2">
        <f>Table1[[#This Row],[ttl]]/SUM(Table1[ttl])</f>
        <v>6.3917114735705897E-4</v>
      </c>
      <c r="P131" s="3">
        <f>SUM($O$2:Table1[[#This Row],[pctAllTimeExp]])</f>
        <v>0.90581689936959109</v>
      </c>
      <c r="Q131" t="b">
        <f>Table1[[#This Row],[cumPctAllTimeExp]]&lt;0.95</f>
        <v>1</v>
      </c>
    </row>
    <row r="132" spans="1:17" x14ac:dyDescent="0.25">
      <c r="A132">
        <v>75</v>
      </c>
      <c r="B132" t="s">
        <v>2512</v>
      </c>
      <c r="C132" t="s">
        <v>2767</v>
      </c>
      <c r="D132" t="s">
        <v>2651</v>
      </c>
      <c r="E132" t="s">
        <v>77</v>
      </c>
      <c r="F132" s="4">
        <v>74141.8</v>
      </c>
      <c r="G132" s="4">
        <v>52395.44</v>
      </c>
      <c r="H132" s="4">
        <v>38486.080000000002</v>
      </c>
      <c r="I132" s="4">
        <v>44974.239999999998</v>
      </c>
      <c r="J132" s="4">
        <v>15304.08</v>
      </c>
      <c r="K132" s="4">
        <v>48914.48</v>
      </c>
      <c r="L132" s="4">
        <v>36811</v>
      </c>
      <c r="M132" s="4">
        <v>0</v>
      </c>
      <c r="N132" s="4">
        <f>SUM(Table1[[#This Row],[2025]:[2018]])</f>
        <v>311027.12</v>
      </c>
      <c r="O132" s="2">
        <f>Table1[[#This Row],[ttl]]/SUM(Table1[ttl])</f>
        <v>6.2716409917240872E-4</v>
      </c>
      <c r="P132" s="3">
        <f>SUM($O$2:Table1[[#This Row],[pctAllTimeExp]])</f>
        <v>0.90644406346876349</v>
      </c>
      <c r="Q132" t="b">
        <f>Table1[[#This Row],[cumPctAllTimeExp]]&lt;0.95</f>
        <v>1</v>
      </c>
    </row>
    <row r="133" spans="1:17" x14ac:dyDescent="0.25">
      <c r="A133">
        <v>1018</v>
      </c>
      <c r="B133" t="s">
        <v>2562</v>
      </c>
      <c r="C133" t="s">
        <v>2562</v>
      </c>
      <c r="D133" t="s">
        <v>2652</v>
      </c>
      <c r="E133" t="s">
        <v>1020</v>
      </c>
      <c r="F133" s="4">
        <v>0</v>
      </c>
      <c r="G133" s="4">
        <v>0</v>
      </c>
      <c r="H133" s="4">
        <v>8232.76</v>
      </c>
      <c r="I133" s="4">
        <v>67444.600000000006</v>
      </c>
      <c r="J133" s="4">
        <v>34901.33</v>
      </c>
      <c r="K133" s="4">
        <v>62324.83</v>
      </c>
      <c r="L133" s="4">
        <v>82558.45</v>
      </c>
      <c r="M133" s="4">
        <v>53134.93</v>
      </c>
      <c r="N133" s="4">
        <f>SUM(Table1[[#This Row],[2025]:[2018]])</f>
        <v>308596.90000000002</v>
      </c>
      <c r="O133" s="2">
        <f>Table1[[#This Row],[ttl]]/SUM(Table1[ttl])</f>
        <v>6.2226373313008178E-4</v>
      </c>
      <c r="P133" s="3">
        <f>SUM($O$2:Table1[[#This Row],[pctAllTimeExp]])</f>
        <v>0.90706632720189362</v>
      </c>
      <c r="Q133" t="b">
        <f>Table1[[#This Row],[cumPctAllTimeExp]]&lt;0.95</f>
        <v>1</v>
      </c>
    </row>
    <row r="134" spans="1:17" x14ac:dyDescent="0.25">
      <c r="A134">
        <v>708</v>
      </c>
      <c r="B134" t="s">
        <v>2552</v>
      </c>
      <c r="C134" t="s">
        <v>2552</v>
      </c>
      <c r="D134" t="s">
        <v>2653</v>
      </c>
      <c r="E134" t="s">
        <v>710</v>
      </c>
      <c r="F134" s="4">
        <v>0</v>
      </c>
      <c r="G134" s="4">
        <v>44900</v>
      </c>
      <c r="H134" s="4">
        <v>0</v>
      </c>
      <c r="I134" s="4">
        <v>0</v>
      </c>
      <c r="J134" s="4">
        <v>23500</v>
      </c>
      <c r="K134" s="4">
        <v>133280.72</v>
      </c>
      <c r="L134" s="4">
        <v>42755</v>
      </c>
      <c r="M134" s="4">
        <v>59945</v>
      </c>
      <c r="N134" s="4">
        <f>SUM(Table1[[#This Row],[2025]:[2018]])</f>
        <v>304380.71999999997</v>
      </c>
      <c r="O134" s="2">
        <f>Table1[[#This Row],[ttl]]/SUM(Table1[ttl])</f>
        <v>6.1376210558181923E-4</v>
      </c>
      <c r="P134" s="3">
        <f>SUM($O$2:Table1[[#This Row],[pctAllTimeExp]])</f>
        <v>0.90768008930747546</v>
      </c>
      <c r="Q134" t="b">
        <f>Table1[[#This Row],[cumPctAllTimeExp]]&lt;0.95</f>
        <v>1</v>
      </c>
    </row>
    <row r="135" spans="1:17" x14ac:dyDescent="0.25">
      <c r="A135">
        <v>59</v>
      </c>
      <c r="B135" t="s">
        <v>2552</v>
      </c>
      <c r="C135" t="s">
        <v>2552</v>
      </c>
      <c r="D135" t="s">
        <v>2654</v>
      </c>
      <c r="E135" t="s">
        <v>61</v>
      </c>
      <c r="F135" s="4">
        <v>112052</v>
      </c>
      <c r="G135" s="4">
        <v>189000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f>SUM(Table1[[#This Row],[2025]:[2018]])</f>
        <v>301052</v>
      </c>
      <c r="O135" s="2">
        <f>Table1[[#This Row],[ttl]]/SUM(Table1[ttl])</f>
        <v>6.0704997809854001E-4</v>
      </c>
      <c r="P135" s="3">
        <f>SUM($O$2:Table1[[#This Row],[pctAllTimeExp]])</f>
        <v>0.90828713928557403</v>
      </c>
      <c r="Q135" t="b">
        <f>Table1[[#This Row],[cumPctAllTimeExp]]&lt;0.95</f>
        <v>1</v>
      </c>
    </row>
    <row r="136" spans="1:17" x14ac:dyDescent="0.25">
      <c r="A136">
        <v>692</v>
      </c>
      <c r="B136" t="s">
        <v>2518</v>
      </c>
      <c r="C136" t="s">
        <v>2552</v>
      </c>
      <c r="D136" t="s">
        <v>2655</v>
      </c>
      <c r="E136" t="s">
        <v>694</v>
      </c>
      <c r="F136" s="4">
        <v>0</v>
      </c>
      <c r="G136" s="4">
        <v>300000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f>SUM(Table1[[#This Row],[2025]:[2018]])</f>
        <v>300000</v>
      </c>
      <c r="O136" s="2">
        <f>Table1[[#This Row],[ttl]]/SUM(Table1[ttl])</f>
        <v>6.0492869480874409E-4</v>
      </c>
      <c r="P136" s="3">
        <f>SUM($O$2:Table1[[#This Row],[pctAllTimeExp]])</f>
        <v>0.9088920679803828</v>
      </c>
      <c r="Q136" t="b">
        <f>Table1[[#This Row],[cumPctAllTimeExp]]&lt;0.95</f>
        <v>1</v>
      </c>
    </row>
    <row r="137" spans="1:17" x14ac:dyDescent="0.25">
      <c r="A137">
        <v>248</v>
      </c>
      <c r="B137" t="s">
        <v>2548</v>
      </c>
      <c r="C137" t="s">
        <v>2552</v>
      </c>
      <c r="D137" t="s">
        <v>2656</v>
      </c>
      <c r="E137" t="s">
        <v>250</v>
      </c>
      <c r="F137" s="4">
        <v>7908.8</v>
      </c>
      <c r="G137" s="4">
        <v>25000.63</v>
      </c>
      <c r="H137" s="4">
        <v>5975.59</v>
      </c>
      <c r="I137" s="4">
        <v>12589.74</v>
      </c>
      <c r="J137" s="4">
        <v>25370.84</v>
      </c>
      <c r="K137" s="4">
        <v>21470.07</v>
      </c>
      <c r="L137" s="4">
        <v>44957.02</v>
      </c>
      <c r="M137" s="4">
        <v>153255.1</v>
      </c>
      <c r="N137" s="4">
        <f>SUM(Table1[[#This Row],[2025]:[2018]])</f>
        <v>296527.79000000004</v>
      </c>
      <c r="O137" s="2">
        <f>Table1[[#This Row],[ttl]]/SUM(Table1[ttl])</f>
        <v>5.9792722993073791E-4</v>
      </c>
      <c r="P137" s="3">
        <f>SUM($O$2:Table1[[#This Row],[pctAllTimeExp]])</f>
        <v>0.90948999521031348</v>
      </c>
      <c r="Q137" t="b">
        <f>Table1[[#This Row],[cumPctAllTimeExp]]&lt;0.95</f>
        <v>1</v>
      </c>
    </row>
    <row r="138" spans="1:17" x14ac:dyDescent="0.25">
      <c r="A138">
        <v>490</v>
      </c>
      <c r="B138" t="s">
        <v>2528</v>
      </c>
      <c r="C138" t="s">
        <v>2530</v>
      </c>
      <c r="D138" t="s">
        <v>2657</v>
      </c>
      <c r="E138" t="s">
        <v>492</v>
      </c>
      <c r="F138" s="4">
        <v>862.5</v>
      </c>
      <c r="G138" s="4">
        <v>18362.5</v>
      </c>
      <c r="H138" s="4">
        <v>142462.5</v>
      </c>
      <c r="I138" s="4">
        <v>19260</v>
      </c>
      <c r="J138" s="4">
        <v>25797.5</v>
      </c>
      <c r="K138" s="4">
        <v>0</v>
      </c>
      <c r="L138" s="4">
        <v>35400</v>
      </c>
      <c r="M138" s="4">
        <v>54220</v>
      </c>
      <c r="N138" s="4">
        <f>SUM(Table1[[#This Row],[2025]:[2018]])</f>
        <v>296365</v>
      </c>
      <c r="O138" s="2">
        <f>Table1[[#This Row],[ttl]]/SUM(Table1[ttl])</f>
        <v>5.9759897545664479E-4</v>
      </c>
      <c r="P138" s="3">
        <f>SUM($O$2:Table1[[#This Row],[pctAllTimeExp]])</f>
        <v>0.91008759418577012</v>
      </c>
      <c r="Q138" t="b">
        <f>Table1[[#This Row],[cumPctAllTimeExp]]&lt;0.95</f>
        <v>1</v>
      </c>
    </row>
    <row r="139" spans="1:17" x14ac:dyDescent="0.25">
      <c r="A139">
        <v>91</v>
      </c>
      <c r="B139" t="s">
        <v>2562</v>
      </c>
      <c r="C139" t="s">
        <v>2562</v>
      </c>
      <c r="D139" t="s">
        <v>2658</v>
      </c>
      <c r="E139" t="s">
        <v>93</v>
      </c>
      <c r="F139" s="4">
        <v>56175.89</v>
      </c>
      <c r="G139" s="4">
        <v>43392.61</v>
      </c>
      <c r="H139" s="4">
        <v>50339.22</v>
      </c>
      <c r="I139" s="4">
        <v>50287.31</v>
      </c>
      <c r="J139" s="4">
        <v>40124.51</v>
      </c>
      <c r="K139" s="4">
        <v>31301.19</v>
      </c>
      <c r="L139" s="4">
        <v>17316.740000000002</v>
      </c>
      <c r="M139" s="4">
        <v>5575.11</v>
      </c>
      <c r="N139" s="4">
        <f>SUM(Table1[[#This Row],[2025]:[2018]])</f>
        <v>294512.57999999996</v>
      </c>
      <c r="O139" s="2">
        <f>Table1[[#This Row],[ttl]]/SUM(Table1[ttl])</f>
        <v>5.9386370208051929E-4</v>
      </c>
      <c r="P139" s="3">
        <f>SUM($O$2:Table1[[#This Row],[pctAllTimeExp]])</f>
        <v>0.9106814578878506</v>
      </c>
      <c r="Q139" t="b">
        <f>Table1[[#This Row],[cumPctAllTimeExp]]&lt;0.95</f>
        <v>1</v>
      </c>
    </row>
    <row r="140" spans="1:17" x14ac:dyDescent="0.25">
      <c r="A140">
        <v>56</v>
      </c>
      <c r="B140" t="s">
        <v>2530</v>
      </c>
      <c r="C140" t="s">
        <v>2530</v>
      </c>
      <c r="D140" t="s">
        <v>2659</v>
      </c>
      <c r="E140" t="s">
        <v>58</v>
      </c>
      <c r="F140" s="4">
        <v>118927.63</v>
      </c>
      <c r="G140" s="4">
        <v>60815.29</v>
      </c>
      <c r="H140" s="4">
        <v>59004.21</v>
      </c>
      <c r="I140" s="4">
        <v>53938.59</v>
      </c>
      <c r="J140" s="4">
        <v>0</v>
      </c>
      <c r="K140" s="4">
        <v>0</v>
      </c>
      <c r="L140" s="4">
        <v>0</v>
      </c>
      <c r="M140" s="4">
        <v>0</v>
      </c>
      <c r="N140" s="4">
        <f>SUM(Table1[[#This Row],[2025]:[2018]])</f>
        <v>292685.71999999997</v>
      </c>
      <c r="O140" s="2">
        <f>Table1[[#This Row],[ttl]]/SUM(Table1[ttl])</f>
        <v>5.9017996862919164E-4</v>
      </c>
      <c r="P140" s="3">
        <f>SUM($O$2:Table1[[#This Row],[pctAllTimeExp]])</f>
        <v>0.9112716378564798</v>
      </c>
      <c r="Q140" t="b">
        <f>Table1[[#This Row],[cumPctAllTimeExp]]&lt;0.95</f>
        <v>1</v>
      </c>
    </row>
    <row r="141" spans="1:17" x14ac:dyDescent="0.25">
      <c r="A141">
        <v>208</v>
      </c>
      <c r="B141" t="s">
        <v>2528</v>
      </c>
      <c r="C141" t="s">
        <v>2509</v>
      </c>
      <c r="D141" t="s">
        <v>2660</v>
      </c>
      <c r="E141" t="s">
        <v>210</v>
      </c>
      <c r="F141" s="4">
        <v>12970</v>
      </c>
      <c r="G141" s="4">
        <v>31007</v>
      </c>
      <c r="H141" s="4">
        <v>49107.6</v>
      </c>
      <c r="I141" s="4">
        <v>16918.400000000001</v>
      </c>
      <c r="J141" s="4">
        <v>9500</v>
      </c>
      <c r="K141" s="4">
        <v>106525</v>
      </c>
      <c r="L141" s="4">
        <v>49776</v>
      </c>
      <c r="M141" s="4">
        <v>14637</v>
      </c>
      <c r="N141" s="4">
        <f>SUM(Table1[[#This Row],[2025]:[2018]])</f>
        <v>290441</v>
      </c>
      <c r="O141" s="2">
        <f>Table1[[#This Row],[ttl]]/SUM(Table1[ttl])</f>
        <v>5.8565365016315476E-4</v>
      </c>
      <c r="P141" s="3">
        <f>SUM($O$2:Table1[[#This Row],[pctAllTimeExp]])</f>
        <v>0.91185729150664296</v>
      </c>
      <c r="Q141" t="b">
        <f>Table1[[#This Row],[cumPctAllTimeExp]]&lt;0.95</f>
        <v>1</v>
      </c>
    </row>
    <row r="142" spans="1:17" x14ac:dyDescent="0.25">
      <c r="A142">
        <v>131</v>
      </c>
      <c r="B142" t="s">
        <v>2528</v>
      </c>
      <c r="C142" t="s">
        <v>2528</v>
      </c>
      <c r="D142" t="s">
        <v>2661</v>
      </c>
      <c r="E142" t="s">
        <v>133</v>
      </c>
      <c r="F142" s="4">
        <v>29207.79</v>
      </c>
      <c r="G142" s="4">
        <v>18050</v>
      </c>
      <c r="H142" s="4">
        <v>59636</v>
      </c>
      <c r="I142" s="4">
        <v>71125.58</v>
      </c>
      <c r="J142" s="4">
        <v>98808.54</v>
      </c>
      <c r="K142" s="4">
        <v>13345</v>
      </c>
      <c r="L142" s="4">
        <v>0</v>
      </c>
      <c r="M142" s="4">
        <v>0</v>
      </c>
      <c r="N142" s="4">
        <f>SUM(Table1[[#This Row],[2025]:[2018]])</f>
        <v>290172.90999999997</v>
      </c>
      <c r="O142" s="2">
        <f>Table1[[#This Row],[ttl]]/SUM(Table1[ttl])</f>
        <v>5.8511306571718382E-4</v>
      </c>
      <c r="P142" s="3">
        <f>SUM($O$2:Table1[[#This Row],[pctAllTimeExp]])</f>
        <v>0.91244240457236014</v>
      </c>
      <c r="Q142" t="b">
        <f>Table1[[#This Row],[cumPctAllTimeExp]]&lt;0.95</f>
        <v>1</v>
      </c>
    </row>
    <row r="143" spans="1:17" x14ac:dyDescent="0.25">
      <c r="A143">
        <v>1656</v>
      </c>
      <c r="B143" t="s">
        <v>2528</v>
      </c>
      <c r="C143" t="s">
        <v>2528</v>
      </c>
      <c r="D143" t="s">
        <v>2662</v>
      </c>
      <c r="E143" t="s">
        <v>1658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87969.21</v>
      </c>
      <c r="L143" s="4">
        <v>54434.95</v>
      </c>
      <c r="M143" s="4">
        <v>137300</v>
      </c>
      <c r="N143" s="4">
        <f>SUM(Table1[[#This Row],[2025]:[2018]])</f>
        <v>279704.16000000003</v>
      </c>
      <c r="O143" s="2">
        <f>Table1[[#This Row],[ttl]]/SUM(Table1[ttl])</f>
        <v>5.6400357480458716E-4</v>
      </c>
      <c r="P143" s="3">
        <f>SUM($O$2:Table1[[#This Row],[pctAllTimeExp]])</f>
        <v>0.91300640814716472</v>
      </c>
      <c r="Q143" t="b">
        <f>Table1[[#This Row],[cumPctAllTimeExp]]&lt;0.95</f>
        <v>1</v>
      </c>
    </row>
    <row r="144" spans="1:17" x14ac:dyDescent="0.25">
      <c r="A144">
        <v>83</v>
      </c>
      <c r="B144" t="s">
        <v>2518</v>
      </c>
      <c r="C144" t="s">
        <v>2509</v>
      </c>
      <c r="D144" t="s">
        <v>2663</v>
      </c>
      <c r="E144" t="s">
        <v>85</v>
      </c>
      <c r="F144" s="4">
        <v>64206</v>
      </c>
      <c r="G144" s="4">
        <v>211941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f>SUM(Table1[[#This Row],[2025]:[2018]])</f>
        <v>276147</v>
      </c>
      <c r="O144" s="2">
        <f>Table1[[#This Row],[ttl]]/SUM(Table1[ttl])</f>
        <v>5.5683081428450085E-4</v>
      </c>
      <c r="P144" s="3">
        <f>SUM($O$2:Table1[[#This Row],[pctAllTimeExp]])</f>
        <v>0.9135632389614492</v>
      </c>
      <c r="Q144" t="b">
        <f>Table1[[#This Row],[cumPctAllTimeExp]]&lt;0.95</f>
        <v>1</v>
      </c>
    </row>
    <row r="145" spans="1:17" x14ac:dyDescent="0.25">
      <c r="A145">
        <v>97</v>
      </c>
      <c r="B145" t="s">
        <v>2552</v>
      </c>
      <c r="C145" t="s">
        <v>2552</v>
      </c>
      <c r="D145" t="s">
        <v>2664</v>
      </c>
      <c r="E145" t="s">
        <v>99</v>
      </c>
      <c r="F145" s="4">
        <v>47270.74</v>
      </c>
      <c r="G145" s="4">
        <v>48984.72</v>
      </c>
      <c r="H145" s="4">
        <v>24296.69</v>
      </c>
      <c r="I145" s="4">
        <v>26289.09</v>
      </c>
      <c r="J145" s="4">
        <v>18475.060000000001</v>
      </c>
      <c r="K145" s="4">
        <v>83938.71</v>
      </c>
      <c r="L145" s="4">
        <v>13695.73</v>
      </c>
      <c r="M145" s="4">
        <v>9361</v>
      </c>
      <c r="N145" s="4">
        <f>SUM(Table1[[#This Row],[2025]:[2018]])</f>
        <v>272311.74</v>
      </c>
      <c r="O145" s="2">
        <f>Table1[[#This Row],[ttl]]/SUM(Table1[ttl])</f>
        <v>5.4909728486432681E-4</v>
      </c>
      <c r="P145" s="3">
        <f>SUM($O$2:Table1[[#This Row],[pctAllTimeExp]])</f>
        <v>0.91411233624631349</v>
      </c>
      <c r="Q145" t="b">
        <f>Table1[[#This Row],[cumPctAllTimeExp]]&lt;0.95</f>
        <v>1</v>
      </c>
    </row>
    <row r="146" spans="1:17" x14ac:dyDescent="0.25">
      <c r="A146">
        <v>1163</v>
      </c>
      <c r="B146" t="s">
        <v>2552</v>
      </c>
      <c r="C146" t="s">
        <v>2509</v>
      </c>
      <c r="D146" t="s">
        <v>2665</v>
      </c>
      <c r="E146" t="s">
        <v>1165</v>
      </c>
      <c r="F146" s="4">
        <v>0</v>
      </c>
      <c r="G146" s="4">
        <v>0</v>
      </c>
      <c r="H146" s="4">
        <v>165</v>
      </c>
      <c r="I146" s="4">
        <v>22251.7</v>
      </c>
      <c r="J146" s="4">
        <v>39436.5</v>
      </c>
      <c r="K146" s="4">
        <v>107761.72</v>
      </c>
      <c r="L146" s="4">
        <v>101953.21</v>
      </c>
      <c r="M146" s="4">
        <v>0</v>
      </c>
      <c r="N146" s="4">
        <f>SUM(Table1[[#This Row],[2025]:[2018]])</f>
        <v>271568.13</v>
      </c>
      <c r="O146" s="2">
        <f>Table1[[#This Row],[ttl]]/SUM(Table1[ttl])</f>
        <v>5.4759784810850447E-4</v>
      </c>
      <c r="P146" s="3">
        <f>SUM($O$2:Table1[[#This Row],[pctAllTimeExp]])</f>
        <v>0.91465993409442203</v>
      </c>
      <c r="Q146" t="b">
        <f>Table1[[#This Row],[cumPctAllTimeExp]]&lt;0.95</f>
        <v>1</v>
      </c>
    </row>
    <row r="147" spans="1:17" x14ac:dyDescent="0.25">
      <c r="A147">
        <v>95</v>
      </c>
      <c r="B147" t="s">
        <v>2543</v>
      </c>
      <c r="C147" t="s">
        <v>2543</v>
      </c>
      <c r="D147" t="s">
        <v>2666</v>
      </c>
      <c r="E147" t="s">
        <v>97</v>
      </c>
      <c r="F147" s="4">
        <v>50000</v>
      </c>
      <c r="G147" s="4">
        <v>125000</v>
      </c>
      <c r="H147" s="4">
        <v>0</v>
      </c>
      <c r="I147" s="4">
        <v>38778.910000000003</v>
      </c>
      <c r="J147" s="4">
        <v>0</v>
      </c>
      <c r="K147" s="4">
        <v>53500</v>
      </c>
      <c r="L147" s="4">
        <v>0</v>
      </c>
      <c r="M147" s="4">
        <v>0</v>
      </c>
      <c r="N147" s="4">
        <f>SUM(Table1[[#This Row],[2025]:[2018]])</f>
        <v>267278.91000000003</v>
      </c>
      <c r="O147" s="2">
        <f>Table1[[#This Row],[ttl]]/SUM(Table1[ttl])</f>
        <v>5.38948940587346E-4</v>
      </c>
      <c r="P147" s="3">
        <f>SUM($O$2:Table1[[#This Row],[pctAllTimeExp]])</f>
        <v>0.9151988830350094</v>
      </c>
      <c r="Q147" t="b">
        <f>Table1[[#This Row],[cumPctAllTimeExp]]&lt;0.95</f>
        <v>1</v>
      </c>
    </row>
    <row r="148" spans="1:17" x14ac:dyDescent="0.25">
      <c r="A148">
        <v>32</v>
      </c>
      <c r="B148" t="s">
        <v>2518</v>
      </c>
      <c r="C148" t="s">
        <v>2509</v>
      </c>
      <c r="D148" t="s">
        <v>2667</v>
      </c>
      <c r="E148" t="s">
        <v>34</v>
      </c>
      <c r="F148" s="4">
        <v>266775.63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f>SUM(Table1[[#This Row],[2025]:[2018]])</f>
        <v>266775.63</v>
      </c>
      <c r="O148" s="2">
        <f>Table1[[#This Row],[ttl]]/SUM(Table1[ttl])</f>
        <v>5.3793411220893475E-4</v>
      </c>
      <c r="P148" s="3">
        <f>SUM($O$2:Table1[[#This Row],[pctAllTimeExp]])</f>
        <v>0.91573681714721833</v>
      </c>
      <c r="Q148" t="b">
        <f>Table1[[#This Row],[cumPctAllTimeExp]]&lt;0.95</f>
        <v>1</v>
      </c>
    </row>
    <row r="149" spans="1:17" x14ac:dyDescent="0.25">
      <c r="A149">
        <v>219</v>
      </c>
      <c r="B149" t="s">
        <v>2543</v>
      </c>
      <c r="C149" t="s">
        <v>2543</v>
      </c>
      <c r="D149" t="s">
        <v>2668</v>
      </c>
      <c r="E149" t="s">
        <v>221</v>
      </c>
      <c r="F149" s="4">
        <v>11215.35</v>
      </c>
      <c r="G149" s="4">
        <v>95810.68</v>
      </c>
      <c r="H149" s="4">
        <v>22122.61</v>
      </c>
      <c r="I149" s="4">
        <v>6284.02</v>
      </c>
      <c r="J149" s="4">
        <v>4496.6000000000004</v>
      </c>
      <c r="K149" s="4">
        <v>71353.78</v>
      </c>
      <c r="L149" s="4">
        <v>47575.64</v>
      </c>
      <c r="M149" s="4">
        <v>4911.58</v>
      </c>
      <c r="N149" s="4">
        <f>SUM(Table1[[#This Row],[2025]:[2018]])</f>
        <v>263770.26</v>
      </c>
      <c r="O149" s="2">
        <f>Table1[[#This Row],[ttl]]/SUM(Table1[ttl])</f>
        <v>5.3187399703721026E-4</v>
      </c>
      <c r="P149" s="3">
        <f>SUM($O$2:Table1[[#This Row],[pctAllTimeExp]])</f>
        <v>0.91626869114425558</v>
      </c>
      <c r="Q149" t="b">
        <f>Table1[[#This Row],[cumPctAllTimeExp]]&lt;0.95</f>
        <v>1</v>
      </c>
    </row>
    <row r="150" spans="1:17" x14ac:dyDescent="0.25">
      <c r="A150">
        <v>977</v>
      </c>
      <c r="B150" t="s">
        <v>2543</v>
      </c>
      <c r="C150" t="s">
        <v>2543</v>
      </c>
      <c r="D150" t="s">
        <v>2666</v>
      </c>
      <c r="E150" t="s">
        <v>979</v>
      </c>
      <c r="F150" s="4">
        <v>0</v>
      </c>
      <c r="G150" s="4">
        <v>0</v>
      </c>
      <c r="H150" s="4">
        <v>29259.37</v>
      </c>
      <c r="I150" s="4">
        <v>80000</v>
      </c>
      <c r="J150" s="4">
        <v>0</v>
      </c>
      <c r="K150" s="4">
        <v>100000</v>
      </c>
      <c r="L150" s="4">
        <v>0</v>
      </c>
      <c r="M150" s="4">
        <v>53000</v>
      </c>
      <c r="N150" s="4">
        <f>SUM(Table1[[#This Row],[2025]:[2018]])</f>
        <v>262259.37</v>
      </c>
      <c r="O150" s="2">
        <f>Table1[[#This Row],[ttl]]/SUM(Table1[ttl])</f>
        <v>5.2882739465154489E-4</v>
      </c>
      <c r="P150" s="3">
        <f>SUM($O$2:Table1[[#This Row],[pctAllTimeExp]])</f>
        <v>0.91679751853890712</v>
      </c>
      <c r="Q150" t="b">
        <f>Table1[[#This Row],[cumPctAllTimeExp]]&lt;0.95</f>
        <v>1</v>
      </c>
    </row>
    <row r="151" spans="1:17" x14ac:dyDescent="0.25">
      <c r="A151">
        <v>149</v>
      </c>
      <c r="B151" t="s">
        <v>2552</v>
      </c>
      <c r="C151" t="s">
        <v>2552</v>
      </c>
      <c r="D151" t="s">
        <v>2669</v>
      </c>
      <c r="E151" t="s">
        <v>151</v>
      </c>
      <c r="F151" s="4">
        <v>24179.53</v>
      </c>
      <c r="G151" s="4">
        <v>91232</v>
      </c>
      <c r="H151" s="4">
        <v>1058</v>
      </c>
      <c r="I151" s="4">
        <v>7685.12</v>
      </c>
      <c r="J151" s="4">
        <v>28393.5</v>
      </c>
      <c r="K151" s="4">
        <v>41684.6</v>
      </c>
      <c r="L151" s="4">
        <v>59005.01</v>
      </c>
      <c r="M151" s="4">
        <v>6773.25</v>
      </c>
      <c r="N151" s="4">
        <f>SUM(Table1[[#This Row],[2025]:[2018]])</f>
        <v>260011.01</v>
      </c>
      <c r="O151" s="2">
        <f>Table1[[#This Row],[ttl]]/SUM(Table1[ttl])</f>
        <v>5.2429373638401095E-4</v>
      </c>
      <c r="P151" s="3">
        <f>SUM($O$2:Table1[[#This Row],[pctAllTimeExp]])</f>
        <v>0.91732181227529108</v>
      </c>
      <c r="Q151" t="b">
        <f>Table1[[#This Row],[cumPctAllTimeExp]]&lt;0.95</f>
        <v>1</v>
      </c>
    </row>
    <row r="152" spans="1:17" x14ac:dyDescent="0.25">
      <c r="A152">
        <v>1198</v>
      </c>
      <c r="B152" t="s">
        <v>2548</v>
      </c>
      <c r="C152" t="s">
        <v>2768</v>
      </c>
      <c r="D152" t="s">
        <v>2670</v>
      </c>
      <c r="E152" t="s">
        <v>1200</v>
      </c>
      <c r="F152" s="4">
        <v>0</v>
      </c>
      <c r="G152" s="4">
        <v>0</v>
      </c>
      <c r="H152" s="4">
        <v>0</v>
      </c>
      <c r="I152" s="4">
        <v>173106.26</v>
      </c>
      <c r="J152" s="4">
        <v>6702.9</v>
      </c>
      <c r="K152" s="4">
        <v>7174.01</v>
      </c>
      <c r="L152" s="4">
        <v>68676.100000000006</v>
      </c>
      <c r="M152" s="4">
        <v>3124.23</v>
      </c>
      <c r="N152" s="4">
        <f>SUM(Table1[[#This Row],[2025]:[2018]])</f>
        <v>258783.50000000003</v>
      </c>
      <c r="O152" s="2">
        <f>Table1[[#This Row],[ttl]]/SUM(Table1[ttl])</f>
        <v>5.218185496434621E-4</v>
      </c>
      <c r="P152" s="3">
        <f>SUM($O$2:Table1[[#This Row],[pctAllTimeExp]])</f>
        <v>0.91784363082493459</v>
      </c>
      <c r="Q152" t="b">
        <f>Table1[[#This Row],[cumPctAllTimeExp]]&lt;0.95</f>
        <v>1</v>
      </c>
    </row>
    <row r="153" spans="1:17" x14ac:dyDescent="0.25">
      <c r="A153">
        <v>112</v>
      </c>
      <c r="B153" t="s">
        <v>2562</v>
      </c>
      <c r="C153" t="s">
        <v>2764</v>
      </c>
      <c r="D153" t="s">
        <v>2671</v>
      </c>
      <c r="E153" t="s">
        <v>114</v>
      </c>
      <c r="F153" s="4">
        <v>39674.65</v>
      </c>
      <c r="G153" s="4">
        <v>39761.65</v>
      </c>
      <c r="H153" s="4">
        <v>30425.85</v>
      </c>
      <c r="I153" s="4">
        <v>38870.15</v>
      </c>
      <c r="J153" s="4">
        <v>35266.1</v>
      </c>
      <c r="K153" s="4">
        <v>31945.15</v>
      </c>
      <c r="L153" s="4">
        <v>34166.25</v>
      </c>
      <c r="M153" s="4">
        <v>7275.1</v>
      </c>
      <c r="N153" s="4">
        <f>SUM(Table1[[#This Row],[2025]:[2018]])</f>
        <v>257384.9</v>
      </c>
      <c r="O153" s="2">
        <f>Table1[[#This Row],[ttl]]/SUM(Table1[ttl])</f>
        <v>5.1899837206826368E-4</v>
      </c>
      <c r="P153" s="3">
        <f>SUM($O$2:Table1[[#This Row],[pctAllTimeExp]])</f>
        <v>0.91836262919700284</v>
      </c>
      <c r="Q153" t="b">
        <f>Table1[[#This Row],[cumPctAllTimeExp]]&lt;0.95</f>
        <v>1</v>
      </c>
    </row>
    <row r="154" spans="1:17" x14ac:dyDescent="0.25">
      <c r="A154">
        <v>103</v>
      </c>
      <c r="B154" t="s">
        <v>2562</v>
      </c>
      <c r="C154" t="s">
        <v>2562</v>
      </c>
      <c r="D154" t="s">
        <v>2672</v>
      </c>
      <c r="E154" t="s">
        <v>105</v>
      </c>
      <c r="F154" s="4">
        <v>44667</v>
      </c>
      <c r="G154" s="4">
        <v>46228</v>
      </c>
      <c r="H154" s="4">
        <v>35415</v>
      </c>
      <c r="I154" s="4">
        <v>32918</v>
      </c>
      <c r="J154" s="4">
        <v>0</v>
      </c>
      <c r="K154" s="4">
        <v>31364.2</v>
      </c>
      <c r="L154" s="4">
        <v>26913.200000000001</v>
      </c>
      <c r="M154" s="4">
        <v>29938.9</v>
      </c>
      <c r="N154" s="4">
        <f>SUM(Table1[[#This Row],[2025]:[2018]])</f>
        <v>247444.30000000002</v>
      </c>
      <c r="O154" s="2">
        <f>Table1[[#This Row],[ttl]]/SUM(Table1[ttl])</f>
        <v>4.9895385812287767E-4</v>
      </c>
      <c r="P154" s="3">
        <f>SUM($O$2:Table1[[#This Row],[pctAllTimeExp]])</f>
        <v>0.91886158305512577</v>
      </c>
      <c r="Q154" t="b">
        <f>Table1[[#This Row],[cumPctAllTimeExp]]&lt;0.95</f>
        <v>1</v>
      </c>
    </row>
    <row r="155" spans="1:17" x14ac:dyDescent="0.25">
      <c r="A155">
        <v>40</v>
      </c>
      <c r="B155" t="s">
        <v>2528</v>
      </c>
      <c r="C155" t="s">
        <v>2528</v>
      </c>
      <c r="D155" t="s">
        <v>2673</v>
      </c>
      <c r="E155" t="s">
        <v>42</v>
      </c>
      <c r="F155" s="4">
        <v>199093.05</v>
      </c>
      <c r="G155" s="4">
        <v>11200</v>
      </c>
      <c r="H155" s="4">
        <v>33717.61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f>SUM(Table1[[#This Row],[2025]:[2018]])</f>
        <v>244010.65999999997</v>
      </c>
      <c r="O155" s="2">
        <f>Table1[[#This Row],[ttl]]/SUM(Table1[ttl])</f>
        <v>4.92030166910734E-4</v>
      </c>
      <c r="P155" s="3">
        <f>SUM($O$2:Table1[[#This Row],[pctAllTimeExp]])</f>
        <v>0.91935361322203646</v>
      </c>
      <c r="Q155" t="b">
        <f>Table1[[#This Row],[cumPctAllTimeExp]]&lt;0.95</f>
        <v>1</v>
      </c>
    </row>
    <row r="156" spans="1:17" x14ac:dyDescent="0.25">
      <c r="A156">
        <v>1996</v>
      </c>
      <c r="B156" t="s">
        <v>2518</v>
      </c>
      <c r="C156" t="s">
        <v>2509</v>
      </c>
      <c r="D156" t="s">
        <v>2674</v>
      </c>
      <c r="E156" t="s">
        <v>1998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9798.5</v>
      </c>
      <c r="M156" s="4">
        <v>228099</v>
      </c>
      <c r="N156" s="4">
        <f>SUM(Table1[[#This Row],[2025]:[2018]])</f>
        <v>237897.5</v>
      </c>
      <c r="O156" s="2">
        <f>Table1[[#This Row],[ttl]]/SUM(Table1[ttl])</f>
        <v>4.797034139108773E-4</v>
      </c>
      <c r="P156" s="3">
        <f>SUM($O$2:Table1[[#This Row],[pctAllTimeExp]])</f>
        <v>0.91983331663594736</v>
      </c>
      <c r="Q156" t="b">
        <f>Table1[[#This Row],[cumPctAllTimeExp]]&lt;0.95</f>
        <v>1</v>
      </c>
    </row>
    <row r="157" spans="1:17" x14ac:dyDescent="0.25">
      <c r="A157">
        <v>2245</v>
      </c>
      <c r="B157" t="s">
        <v>2518</v>
      </c>
      <c r="C157" t="s">
        <v>2509</v>
      </c>
      <c r="D157" t="s">
        <v>2675</v>
      </c>
      <c r="E157" t="s">
        <v>2247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237735.02</v>
      </c>
      <c r="N157" s="4">
        <f>SUM(Table1[[#This Row],[2025]:[2018]])</f>
        <v>237735.02</v>
      </c>
      <c r="O157" s="2">
        <f>Table1[[#This Row],[ttl]]/SUM(Table1[ttl])</f>
        <v>4.7937578452976888E-4</v>
      </c>
      <c r="P157" s="3">
        <f>SUM($O$2:Table1[[#This Row],[pctAllTimeExp]])</f>
        <v>0.92031269242047709</v>
      </c>
      <c r="Q157" t="b">
        <f>Table1[[#This Row],[cumPctAllTimeExp]]&lt;0.95</f>
        <v>1</v>
      </c>
    </row>
    <row r="158" spans="1:17" x14ac:dyDescent="0.25">
      <c r="A158">
        <v>116</v>
      </c>
      <c r="B158" t="s">
        <v>2507</v>
      </c>
      <c r="C158" t="s">
        <v>2507</v>
      </c>
      <c r="D158" t="s">
        <v>2676</v>
      </c>
      <c r="E158" t="s">
        <v>118</v>
      </c>
      <c r="F158" s="4">
        <v>37232.94</v>
      </c>
      <c r="G158" s="4">
        <v>0</v>
      </c>
      <c r="H158" s="4">
        <v>0</v>
      </c>
      <c r="I158" s="4">
        <v>0</v>
      </c>
      <c r="J158" s="4">
        <v>200000</v>
      </c>
      <c r="K158" s="4">
        <v>0</v>
      </c>
      <c r="L158" s="4">
        <v>0</v>
      </c>
      <c r="M158" s="4">
        <v>0</v>
      </c>
      <c r="N158" s="4">
        <f>SUM(Table1[[#This Row],[2025]:[2018]])</f>
        <v>237232.94</v>
      </c>
      <c r="O158" s="2">
        <f>Table1[[#This Row],[ttl]]/SUM(Table1[ttl])</f>
        <v>4.7836337586613698E-4</v>
      </c>
      <c r="P158" s="3">
        <f>SUM($O$2:Table1[[#This Row],[pctAllTimeExp]])</f>
        <v>0.92079105579634324</v>
      </c>
      <c r="Q158" t="b">
        <f>Table1[[#This Row],[cumPctAllTimeExp]]&lt;0.95</f>
        <v>1</v>
      </c>
    </row>
    <row r="159" spans="1:17" x14ac:dyDescent="0.25">
      <c r="A159">
        <v>1406</v>
      </c>
      <c r="B159" t="s">
        <v>2562</v>
      </c>
      <c r="C159" t="s">
        <v>2562</v>
      </c>
      <c r="D159" t="s">
        <v>2677</v>
      </c>
      <c r="E159" t="s">
        <v>1408</v>
      </c>
      <c r="F159" s="4">
        <v>0</v>
      </c>
      <c r="G159" s="4">
        <v>0</v>
      </c>
      <c r="H159" s="4">
        <v>0</v>
      </c>
      <c r="I159" s="4">
        <v>0</v>
      </c>
      <c r="J159" s="4">
        <v>101993.49</v>
      </c>
      <c r="K159" s="4">
        <v>31743.25</v>
      </c>
      <c r="L159" s="4">
        <v>43288.77</v>
      </c>
      <c r="M159" s="4">
        <v>60043.5</v>
      </c>
      <c r="N159" s="4">
        <f>SUM(Table1[[#This Row],[2025]:[2018]])</f>
        <v>237069.00999999998</v>
      </c>
      <c r="O159" s="2">
        <f>Table1[[#This Row],[ttl]]/SUM(Table1[ttl])</f>
        <v>4.7803282266300362E-4</v>
      </c>
      <c r="P159" s="3">
        <f>SUM($O$2:Table1[[#This Row],[pctAllTimeExp]])</f>
        <v>0.92126908861900625</v>
      </c>
      <c r="Q159" t="b">
        <f>Table1[[#This Row],[cumPctAllTimeExp]]&lt;0.95</f>
        <v>1</v>
      </c>
    </row>
    <row r="160" spans="1:17" x14ac:dyDescent="0.25">
      <c r="A160">
        <v>174</v>
      </c>
      <c r="B160" t="s">
        <v>2548</v>
      </c>
      <c r="C160" t="s">
        <v>2552</v>
      </c>
      <c r="D160" t="s">
        <v>2678</v>
      </c>
      <c r="E160" t="s">
        <v>176</v>
      </c>
      <c r="F160" s="4">
        <v>18829.310000000001</v>
      </c>
      <c r="G160" s="4">
        <v>46890.45</v>
      </c>
      <c r="H160" s="4">
        <v>16425.22</v>
      </c>
      <c r="I160" s="4">
        <v>22894</v>
      </c>
      <c r="J160" s="4">
        <v>14393.5</v>
      </c>
      <c r="K160" s="4">
        <v>22230.89</v>
      </c>
      <c r="L160" s="4">
        <v>30315.42</v>
      </c>
      <c r="M160" s="4">
        <v>64796.72</v>
      </c>
      <c r="N160" s="4">
        <f>SUM(Table1[[#This Row],[2025]:[2018]])</f>
        <v>236775.50999999998</v>
      </c>
      <c r="O160" s="2">
        <f>Table1[[#This Row],[ttl]]/SUM(Table1[ttl])</f>
        <v>4.7744100075658235E-4</v>
      </c>
      <c r="P160" s="3">
        <f>SUM($O$2:Table1[[#This Row],[pctAllTimeExp]])</f>
        <v>0.92174652961976278</v>
      </c>
      <c r="Q160" t="b">
        <f>Table1[[#This Row],[cumPctAllTimeExp]]&lt;0.95</f>
        <v>1</v>
      </c>
    </row>
    <row r="161" spans="1:17" x14ac:dyDescent="0.25">
      <c r="A161">
        <v>732</v>
      </c>
      <c r="B161" t="s">
        <v>2528</v>
      </c>
      <c r="C161" t="s">
        <v>2530</v>
      </c>
      <c r="D161" t="s">
        <v>2679</v>
      </c>
      <c r="E161" t="s">
        <v>734</v>
      </c>
      <c r="F161" s="4">
        <v>0</v>
      </c>
      <c r="G161" s="4">
        <v>13535</v>
      </c>
      <c r="H161" s="4">
        <v>222754.9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f>SUM(Table1[[#This Row],[2025]:[2018]])</f>
        <v>236289.9</v>
      </c>
      <c r="O161" s="2">
        <f>Table1[[#This Row],[ttl]]/SUM(Table1[ttl])</f>
        <v>4.7646180267829548E-4</v>
      </c>
      <c r="P161" s="3">
        <f>SUM($O$2:Table1[[#This Row],[pctAllTimeExp]])</f>
        <v>0.92222299142244102</v>
      </c>
      <c r="Q161" t="b">
        <f>Table1[[#This Row],[cumPctAllTimeExp]]&lt;0.95</f>
        <v>1</v>
      </c>
    </row>
    <row r="162" spans="1:17" x14ac:dyDescent="0.25">
      <c r="A162">
        <v>94</v>
      </c>
      <c r="B162" t="s">
        <v>2552</v>
      </c>
      <c r="C162" t="s">
        <v>2552</v>
      </c>
      <c r="D162" t="s">
        <v>2680</v>
      </c>
      <c r="E162" t="s">
        <v>96</v>
      </c>
      <c r="F162" s="4">
        <v>50829.96</v>
      </c>
      <c r="G162" s="4">
        <v>33950.25</v>
      </c>
      <c r="H162" s="4">
        <v>24024.14</v>
      </c>
      <c r="I162" s="4">
        <v>85626.5</v>
      </c>
      <c r="J162" s="4">
        <v>4462.5</v>
      </c>
      <c r="K162" s="4">
        <v>4950</v>
      </c>
      <c r="L162" s="4">
        <v>20230.29</v>
      </c>
      <c r="M162" s="4">
        <v>8633.5</v>
      </c>
      <c r="N162" s="4">
        <f>SUM(Table1[[#This Row],[2025]:[2018]])</f>
        <v>232707.13999999998</v>
      </c>
      <c r="O162" s="2">
        <f>Table1[[#This Row],[ttl]]/SUM(Table1[ttl])</f>
        <v>4.6923742157625221E-4</v>
      </c>
      <c r="P162" s="3">
        <f>SUM($O$2:Table1[[#This Row],[pctAllTimeExp]])</f>
        <v>0.92269222884401725</v>
      </c>
      <c r="Q162" t="b">
        <f>Table1[[#This Row],[cumPctAllTimeExp]]&lt;0.95</f>
        <v>1</v>
      </c>
    </row>
    <row r="163" spans="1:17" x14ac:dyDescent="0.25">
      <c r="A163">
        <v>898</v>
      </c>
      <c r="B163" t="s">
        <v>2543</v>
      </c>
      <c r="C163" t="s">
        <v>2543</v>
      </c>
      <c r="D163" t="s">
        <v>2681</v>
      </c>
      <c r="E163" t="s">
        <v>900</v>
      </c>
      <c r="F163" s="4">
        <v>0</v>
      </c>
      <c r="G163" s="4">
        <v>325</v>
      </c>
      <c r="H163" s="4">
        <v>92835.14</v>
      </c>
      <c r="I163" s="4">
        <v>87428.26</v>
      </c>
      <c r="J163" s="4">
        <v>200</v>
      </c>
      <c r="K163" s="4">
        <v>100</v>
      </c>
      <c r="L163" s="4">
        <v>50106</v>
      </c>
      <c r="M163" s="4">
        <v>990.33</v>
      </c>
      <c r="N163" s="4">
        <f>SUM(Table1[[#This Row],[2025]:[2018]])</f>
        <v>231984.72999999998</v>
      </c>
      <c r="O163" s="2">
        <f>Table1[[#This Row],[ttl]]/SUM(Table1[ttl])</f>
        <v>4.6778073311486292E-4</v>
      </c>
      <c r="P163" s="3">
        <f>SUM($O$2:Table1[[#This Row],[pctAllTimeExp]])</f>
        <v>0.92316000957713207</v>
      </c>
      <c r="Q163" t="b">
        <f>Table1[[#This Row],[cumPctAllTimeExp]]&lt;0.95</f>
        <v>1</v>
      </c>
    </row>
    <row r="164" spans="1:17" x14ac:dyDescent="0.25">
      <c r="A164">
        <v>41</v>
      </c>
      <c r="B164" t="s">
        <v>2543</v>
      </c>
      <c r="C164" t="s">
        <v>2543</v>
      </c>
      <c r="D164" t="s">
        <v>2682</v>
      </c>
      <c r="E164" t="s">
        <v>43</v>
      </c>
      <c r="F164" s="4">
        <v>189383.41</v>
      </c>
      <c r="G164" s="4">
        <v>14175</v>
      </c>
      <c r="H164" s="4">
        <v>28000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f>SUM(Table1[[#This Row],[2025]:[2018]])</f>
        <v>231558.41</v>
      </c>
      <c r="O164" s="2">
        <f>Table1[[#This Row],[ttl]]/SUM(Table1[ttl])</f>
        <v>4.6692108911096012E-4</v>
      </c>
      <c r="P164" s="3">
        <f>SUM($O$2:Table1[[#This Row],[pctAllTimeExp]])</f>
        <v>0.92362693066624302</v>
      </c>
      <c r="Q164" t="b">
        <f>Table1[[#This Row],[cumPctAllTimeExp]]&lt;0.95</f>
        <v>1</v>
      </c>
    </row>
    <row r="165" spans="1:17" x14ac:dyDescent="0.25">
      <c r="A165">
        <v>77</v>
      </c>
      <c r="B165" t="s">
        <v>2562</v>
      </c>
      <c r="C165" t="s">
        <v>2552</v>
      </c>
      <c r="D165" t="s">
        <v>2683</v>
      </c>
      <c r="E165" t="s">
        <v>79</v>
      </c>
      <c r="F165" s="4">
        <v>69876</v>
      </c>
      <c r="G165" s="4">
        <v>118967.3</v>
      </c>
      <c r="H165" s="4">
        <v>42300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f>SUM(Table1[[#This Row],[2025]:[2018]])</f>
        <v>231143.3</v>
      </c>
      <c r="O165" s="2">
        <f>Table1[[#This Row],[ttl]]/SUM(Table1[ttl])</f>
        <v>4.6608404927595318E-4</v>
      </c>
      <c r="P165" s="3">
        <f>SUM($O$2:Table1[[#This Row],[pctAllTimeExp]])</f>
        <v>0.92409301471551897</v>
      </c>
      <c r="Q165" t="b">
        <f>Table1[[#This Row],[cumPctAllTimeExp]]&lt;0.95</f>
        <v>1</v>
      </c>
    </row>
    <row r="166" spans="1:17" x14ac:dyDescent="0.25">
      <c r="A166">
        <v>1024</v>
      </c>
      <c r="B166" t="s">
        <v>2548</v>
      </c>
      <c r="C166" t="s">
        <v>2509</v>
      </c>
      <c r="D166" t="s">
        <v>2684</v>
      </c>
      <c r="E166" t="s">
        <v>1026</v>
      </c>
      <c r="F166" s="4">
        <v>0</v>
      </c>
      <c r="G166" s="4">
        <v>0</v>
      </c>
      <c r="H166" s="4">
        <v>7057</v>
      </c>
      <c r="I166" s="4">
        <v>87551.39</v>
      </c>
      <c r="J166" s="4">
        <v>17906.400000000001</v>
      </c>
      <c r="K166" s="4">
        <v>105464.55</v>
      </c>
      <c r="L166" s="4">
        <v>10055.25</v>
      </c>
      <c r="M166" s="4">
        <v>0</v>
      </c>
      <c r="N166" s="4">
        <f>SUM(Table1[[#This Row],[2025]:[2018]])</f>
        <v>228034.59000000003</v>
      </c>
      <c r="O166" s="2">
        <f>Table1[[#This Row],[ttl]]/SUM(Table1[ttl])</f>
        <v>4.5981555633315698E-4</v>
      </c>
      <c r="P166" s="3">
        <f>SUM($O$2:Table1[[#This Row],[pctAllTimeExp]])</f>
        <v>0.92455283027185209</v>
      </c>
      <c r="Q166" t="b">
        <f>Table1[[#This Row],[cumPctAllTimeExp]]&lt;0.95</f>
        <v>1</v>
      </c>
    </row>
    <row r="167" spans="1:17" x14ac:dyDescent="0.25">
      <c r="A167">
        <v>1404</v>
      </c>
      <c r="B167" t="s">
        <v>2512</v>
      </c>
      <c r="C167" t="s">
        <v>2767</v>
      </c>
      <c r="D167" t="s">
        <v>2685</v>
      </c>
      <c r="E167" t="s">
        <v>1406</v>
      </c>
      <c r="F167" s="4">
        <v>0</v>
      </c>
      <c r="G167" s="4">
        <v>0</v>
      </c>
      <c r="H167" s="4">
        <v>0</v>
      </c>
      <c r="I167" s="4">
        <v>0</v>
      </c>
      <c r="J167" s="4">
        <v>113099</v>
      </c>
      <c r="K167" s="4">
        <v>0</v>
      </c>
      <c r="L167" s="4">
        <v>61690</v>
      </c>
      <c r="M167" s="4">
        <v>52000</v>
      </c>
      <c r="N167" s="4">
        <f>SUM(Table1[[#This Row],[2025]:[2018]])</f>
        <v>226789</v>
      </c>
      <c r="O167" s="2">
        <f>Table1[[#This Row],[ttl]]/SUM(Table1[ttl])</f>
        <v>4.5730391255660086E-4</v>
      </c>
      <c r="P167" s="3">
        <f>SUM($O$2:Table1[[#This Row],[pctAllTimeExp]])</f>
        <v>0.92501013418440869</v>
      </c>
      <c r="Q167" t="b">
        <f>Table1[[#This Row],[cumPctAllTimeExp]]&lt;0.95</f>
        <v>1</v>
      </c>
    </row>
    <row r="168" spans="1:17" x14ac:dyDescent="0.25">
      <c r="A168">
        <v>695</v>
      </c>
      <c r="B168" t="s">
        <v>2518</v>
      </c>
      <c r="C168" t="s">
        <v>2509</v>
      </c>
      <c r="D168" t="s">
        <v>2686</v>
      </c>
      <c r="E168" t="s">
        <v>697</v>
      </c>
      <c r="F168" s="4">
        <v>0</v>
      </c>
      <c r="G168" s="4">
        <v>223250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f>SUM(Table1[[#This Row],[2025]:[2018]])</f>
        <v>223250</v>
      </c>
      <c r="O168" s="2">
        <f>Table1[[#This Row],[ttl]]/SUM(Table1[ttl])</f>
        <v>4.5016777038684038E-4</v>
      </c>
      <c r="P168" s="3">
        <f>SUM($O$2:Table1[[#This Row],[pctAllTimeExp]])</f>
        <v>0.92546030195479556</v>
      </c>
      <c r="Q168" t="b">
        <f>Table1[[#This Row],[cumPctAllTimeExp]]&lt;0.95</f>
        <v>1</v>
      </c>
    </row>
    <row r="169" spans="1:17" x14ac:dyDescent="0.25">
      <c r="A169">
        <v>699</v>
      </c>
      <c r="B169" t="s">
        <v>2552</v>
      </c>
      <c r="C169" t="s">
        <v>2509</v>
      </c>
      <c r="D169" t="s">
        <v>2687</v>
      </c>
      <c r="E169" t="s">
        <v>701</v>
      </c>
      <c r="F169" s="4">
        <v>0</v>
      </c>
      <c r="G169" s="4">
        <v>83518</v>
      </c>
      <c r="H169" s="4">
        <v>53234.99</v>
      </c>
      <c r="I169" s="4">
        <v>6377</v>
      </c>
      <c r="J169" s="4">
        <v>12649</v>
      </c>
      <c r="K169" s="4">
        <v>58919</v>
      </c>
      <c r="L169" s="4">
        <v>2596.1999999999998</v>
      </c>
      <c r="M169" s="4">
        <v>0</v>
      </c>
      <c r="N169" s="4">
        <f>SUM(Table1[[#This Row],[2025]:[2018]])</f>
        <v>217294.19</v>
      </c>
      <c r="O169" s="2">
        <f>Table1[[#This Row],[ttl]]/SUM(Table1[ttl])</f>
        <v>4.3815830248741084E-4</v>
      </c>
      <c r="P169" s="3">
        <f>SUM($O$2:Table1[[#This Row],[pctAllTimeExp]])</f>
        <v>0.92589846025728295</v>
      </c>
      <c r="Q169" t="b">
        <f>Table1[[#This Row],[cumPctAllTimeExp]]&lt;0.95</f>
        <v>1</v>
      </c>
    </row>
    <row r="170" spans="1:17" x14ac:dyDescent="0.25">
      <c r="A170">
        <v>125</v>
      </c>
      <c r="B170" t="s">
        <v>2562</v>
      </c>
      <c r="C170" t="s">
        <v>2764</v>
      </c>
      <c r="D170" t="s">
        <v>2688</v>
      </c>
      <c r="E170" t="s">
        <v>127</v>
      </c>
      <c r="F170" s="4">
        <v>33968.160000000003</v>
      </c>
      <c r="G170" s="4">
        <v>33171.57</v>
      </c>
      <c r="H170" s="4">
        <v>30635.74</v>
      </c>
      <c r="I170" s="4">
        <v>32565.43</v>
      </c>
      <c r="J170" s="4">
        <v>26904.04</v>
      </c>
      <c r="K170" s="4">
        <v>20592.18</v>
      </c>
      <c r="L170" s="4">
        <v>18204.47</v>
      </c>
      <c r="M170" s="4">
        <v>20519.400000000001</v>
      </c>
      <c r="N170" s="4">
        <f>SUM(Table1[[#This Row],[2025]:[2018]])</f>
        <v>216560.99000000002</v>
      </c>
      <c r="O170" s="2">
        <f>Table1[[#This Row],[ttl]]/SUM(Table1[ttl])</f>
        <v>4.3667985675729828E-4</v>
      </c>
      <c r="P170" s="3">
        <f>SUM($O$2:Table1[[#This Row],[pctAllTimeExp]])</f>
        <v>0.92633514011404028</v>
      </c>
      <c r="Q170" t="b">
        <f>Table1[[#This Row],[cumPctAllTimeExp]]&lt;0.95</f>
        <v>1</v>
      </c>
    </row>
    <row r="171" spans="1:17" x14ac:dyDescent="0.25">
      <c r="A171">
        <v>69</v>
      </c>
      <c r="B171" t="s">
        <v>2548</v>
      </c>
      <c r="C171" t="s">
        <v>2509</v>
      </c>
      <c r="D171" t="s">
        <v>2689</v>
      </c>
      <c r="E171" t="s">
        <v>71</v>
      </c>
      <c r="F171" s="4">
        <v>85000</v>
      </c>
      <c r="G171" s="4">
        <v>0</v>
      </c>
      <c r="H171" s="4">
        <v>0</v>
      </c>
      <c r="I171" s="4">
        <v>18150</v>
      </c>
      <c r="J171" s="4">
        <v>17500</v>
      </c>
      <c r="K171" s="4">
        <v>17450</v>
      </c>
      <c r="L171" s="4">
        <v>15000</v>
      </c>
      <c r="M171" s="4">
        <v>63300</v>
      </c>
      <c r="N171" s="4">
        <f>SUM(Table1[[#This Row],[2025]:[2018]])</f>
        <v>216400</v>
      </c>
      <c r="O171" s="2">
        <f>Table1[[#This Row],[ttl]]/SUM(Table1[ttl])</f>
        <v>4.3635523185537402E-4</v>
      </c>
      <c r="P171" s="3">
        <f>SUM($O$2:Table1[[#This Row],[pctAllTimeExp]])</f>
        <v>0.92677149534589565</v>
      </c>
      <c r="Q171" t="b">
        <f>Table1[[#This Row],[cumPctAllTimeExp]]&lt;0.95</f>
        <v>1</v>
      </c>
    </row>
    <row r="172" spans="1:17" x14ac:dyDescent="0.25">
      <c r="A172">
        <v>159</v>
      </c>
      <c r="B172" t="s">
        <v>2543</v>
      </c>
      <c r="C172" t="s">
        <v>2543</v>
      </c>
      <c r="D172" t="s">
        <v>2690</v>
      </c>
      <c r="E172" t="s">
        <v>161</v>
      </c>
      <c r="F172" s="4">
        <v>21844</v>
      </c>
      <c r="G172" s="4">
        <v>24975</v>
      </c>
      <c r="H172" s="4">
        <v>28708.7</v>
      </c>
      <c r="I172" s="4">
        <v>124072.2</v>
      </c>
      <c r="J172" s="4">
        <v>0</v>
      </c>
      <c r="K172" s="4">
        <v>16000</v>
      </c>
      <c r="L172" s="4">
        <v>0</v>
      </c>
      <c r="M172" s="4">
        <v>0</v>
      </c>
      <c r="N172" s="4">
        <f>SUM(Table1[[#This Row],[2025]:[2018]])</f>
        <v>215599.9</v>
      </c>
      <c r="O172" s="2">
        <f>Table1[[#This Row],[ttl]]/SUM(Table1[ttl])</f>
        <v>4.3474188702631909E-4</v>
      </c>
      <c r="P172" s="3">
        <f>SUM($O$2:Table1[[#This Row],[pctAllTimeExp]])</f>
        <v>0.92720623723292195</v>
      </c>
      <c r="Q172" t="b">
        <f>Table1[[#This Row],[cumPctAllTimeExp]]&lt;0.95</f>
        <v>1</v>
      </c>
    </row>
    <row r="173" spans="1:17" x14ac:dyDescent="0.25">
      <c r="A173">
        <v>115</v>
      </c>
      <c r="B173" t="s">
        <v>2562</v>
      </c>
      <c r="C173" t="s">
        <v>2552</v>
      </c>
      <c r="D173" t="s">
        <v>2691</v>
      </c>
      <c r="E173" t="s">
        <v>117</v>
      </c>
      <c r="F173" s="4">
        <v>37328.269999999997</v>
      </c>
      <c r="G173" s="4">
        <v>32209.57</v>
      </c>
      <c r="H173" s="4">
        <v>36194.089999999997</v>
      </c>
      <c r="I173" s="4">
        <v>27931.67</v>
      </c>
      <c r="J173" s="4">
        <v>27062.77</v>
      </c>
      <c r="K173" s="4">
        <v>15682.96</v>
      </c>
      <c r="L173" s="4">
        <v>23983.39</v>
      </c>
      <c r="M173" s="4">
        <v>14986.95</v>
      </c>
      <c r="N173" s="4">
        <f>SUM(Table1[[#This Row],[2025]:[2018]])</f>
        <v>215379.66999999998</v>
      </c>
      <c r="O173" s="2">
        <f>Table1[[#This Row],[ttl]]/SUM(Table1[ttl])</f>
        <v>4.3429780887145998E-4</v>
      </c>
      <c r="P173" s="3">
        <f>SUM($O$2:Table1[[#This Row],[pctAllTimeExp]])</f>
        <v>0.92764053504179345</v>
      </c>
      <c r="Q173" t="b">
        <f>Table1[[#This Row],[cumPctAllTimeExp]]&lt;0.95</f>
        <v>1</v>
      </c>
    </row>
    <row r="174" spans="1:17" x14ac:dyDescent="0.25">
      <c r="A174">
        <v>959</v>
      </c>
      <c r="B174" t="s">
        <v>2543</v>
      </c>
      <c r="C174" t="s">
        <v>2543</v>
      </c>
      <c r="D174" t="s">
        <v>2692</v>
      </c>
      <c r="E174" t="s">
        <v>961</v>
      </c>
      <c r="F174" s="4">
        <v>0</v>
      </c>
      <c r="G174" s="4">
        <v>0</v>
      </c>
      <c r="H174" s="4">
        <v>150000</v>
      </c>
      <c r="I174" s="4">
        <v>0</v>
      </c>
      <c r="J174" s="4">
        <v>64580.5</v>
      </c>
      <c r="K174" s="4">
        <v>0</v>
      </c>
      <c r="L174" s="4">
        <v>0</v>
      </c>
      <c r="M174" s="4">
        <v>0</v>
      </c>
      <c r="N174" s="4">
        <f>SUM(Table1[[#This Row],[2025]:[2018]])</f>
        <v>214580.5</v>
      </c>
      <c r="O174" s="2">
        <f>Table1[[#This Row],[ttl]]/SUM(Table1[ttl])</f>
        <v>4.3268633932135899E-4</v>
      </c>
      <c r="P174" s="3">
        <f>SUM($O$2:Table1[[#This Row],[pctAllTimeExp]])</f>
        <v>0.92807322138111481</v>
      </c>
      <c r="Q174" t="b">
        <f>Table1[[#This Row],[cumPctAllTimeExp]]&lt;0.95</f>
        <v>1</v>
      </c>
    </row>
    <row r="175" spans="1:17" x14ac:dyDescent="0.25">
      <c r="A175">
        <v>184</v>
      </c>
      <c r="B175" t="s">
        <v>2552</v>
      </c>
      <c r="C175" t="s">
        <v>2552</v>
      </c>
      <c r="D175" t="s">
        <v>2693</v>
      </c>
      <c r="E175" t="s">
        <v>186</v>
      </c>
      <c r="F175" s="4">
        <v>17201.5</v>
      </c>
      <c r="G175" s="4">
        <v>21235</v>
      </c>
      <c r="H175" s="4">
        <v>3871</v>
      </c>
      <c r="I175" s="4">
        <v>4792</v>
      </c>
      <c r="J175" s="4">
        <v>8411</v>
      </c>
      <c r="K175" s="4">
        <v>44038</v>
      </c>
      <c r="L175" s="4">
        <v>61546</v>
      </c>
      <c r="M175" s="4">
        <v>51268</v>
      </c>
      <c r="N175" s="4">
        <f>SUM(Table1[[#This Row],[2025]:[2018]])</f>
        <v>212362.5</v>
      </c>
      <c r="O175" s="2">
        <f>Table1[[#This Row],[ttl]]/SUM(Table1[ttl])</f>
        <v>4.2821389983773968E-4</v>
      </c>
      <c r="P175" s="3">
        <f>SUM($O$2:Table1[[#This Row],[pctAllTimeExp]])</f>
        <v>0.92850143528095253</v>
      </c>
      <c r="Q175" t="b">
        <f>Table1[[#This Row],[cumPctAllTimeExp]]&lt;0.95</f>
        <v>1</v>
      </c>
    </row>
    <row r="176" spans="1:17" x14ac:dyDescent="0.25">
      <c r="A176">
        <v>1199</v>
      </c>
      <c r="B176" t="s">
        <v>2562</v>
      </c>
      <c r="C176" t="s">
        <v>2766</v>
      </c>
      <c r="D176" t="s">
        <v>2694</v>
      </c>
      <c r="E176" t="s">
        <v>1201</v>
      </c>
      <c r="F176" s="4">
        <v>0</v>
      </c>
      <c r="G176" s="4">
        <v>0</v>
      </c>
      <c r="H176" s="4">
        <v>0</v>
      </c>
      <c r="I176" s="4">
        <v>123726.16</v>
      </c>
      <c r="J176" s="4">
        <v>5385.1</v>
      </c>
      <c r="K176" s="4">
        <v>10449.57</v>
      </c>
      <c r="L176" s="4">
        <v>500.61</v>
      </c>
      <c r="M176" s="4">
        <v>67640.429999999993</v>
      </c>
      <c r="N176" s="4">
        <f>SUM(Table1[[#This Row],[2025]:[2018]])</f>
        <v>207701.87</v>
      </c>
      <c r="O176" s="2">
        <f>Table1[[#This Row],[ttl]]/SUM(Table1[ttl])</f>
        <v>4.1881607042811811E-4</v>
      </c>
      <c r="P176" s="3">
        <f>SUM($O$2:Table1[[#This Row],[pctAllTimeExp]])</f>
        <v>0.92892025135138068</v>
      </c>
      <c r="Q176" t="b">
        <f>Table1[[#This Row],[cumPctAllTimeExp]]&lt;0.95</f>
        <v>1</v>
      </c>
    </row>
    <row r="177" spans="1:17" x14ac:dyDescent="0.25">
      <c r="A177">
        <v>78</v>
      </c>
      <c r="B177" t="s">
        <v>2548</v>
      </c>
      <c r="C177" t="s">
        <v>2509</v>
      </c>
      <c r="D177" t="s">
        <v>2695</v>
      </c>
      <c r="E177" t="s">
        <v>80</v>
      </c>
      <c r="F177" s="4">
        <v>69718</v>
      </c>
      <c r="G177" s="4">
        <v>60023.89</v>
      </c>
      <c r="H177" s="4">
        <v>71951.11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f>SUM(Table1[[#This Row],[2025]:[2018]])</f>
        <v>201693</v>
      </c>
      <c r="O177" s="2">
        <f>Table1[[#This Row],[ttl]]/SUM(Table1[ttl])</f>
        <v>4.0669961080686673E-4</v>
      </c>
      <c r="P177" s="3">
        <f>SUM($O$2:Table1[[#This Row],[pctAllTimeExp]])</f>
        <v>0.92932695096218754</v>
      </c>
      <c r="Q177" t="b">
        <f>Table1[[#This Row],[cumPctAllTimeExp]]&lt;0.95</f>
        <v>1</v>
      </c>
    </row>
    <row r="178" spans="1:17" x14ac:dyDescent="0.25">
      <c r="A178">
        <v>297</v>
      </c>
      <c r="B178" t="s">
        <v>2548</v>
      </c>
      <c r="C178" t="s">
        <v>2768</v>
      </c>
      <c r="D178" t="s">
        <v>2696</v>
      </c>
      <c r="E178" t="s">
        <v>299</v>
      </c>
      <c r="F178" s="4">
        <v>5223.3999999999996</v>
      </c>
      <c r="G178" s="4">
        <v>5223.3999999999996</v>
      </c>
      <c r="H178" s="4">
        <v>22943.85</v>
      </c>
      <c r="I178" s="4">
        <v>128208.49</v>
      </c>
      <c r="J178" s="4">
        <v>14098.99</v>
      </c>
      <c r="K178" s="4">
        <v>0</v>
      </c>
      <c r="L178" s="4">
        <v>19062.419999999998</v>
      </c>
      <c r="M178" s="4">
        <v>6603.04</v>
      </c>
      <c r="N178" s="4">
        <f>SUM(Table1[[#This Row],[2025]:[2018]])</f>
        <v>201363.59</v>
      </c>
      <c r="O178" s="2">
        <f>Table1[[#This Row],[ttl]]/SUM(Table1[ttl])</f>
        <v>4.060353789356769E-4</v>
      </c>
      <c r="P178" s="3">
        <f>SUM($O$2:Table1[[#This Row],[pctAllTimeExp]])</f>
        <v>0.92973298634112322</v>
      </c>
      <c r="Q178" t="b">
        <f>Table1[[#This Row],[cumPctAllTimeExp]]&lt;0.95</f>
        <v>1</v>
      </c>
    </row>
    <row r="179" spans="1:17" x14ac:dyDescent="0.25">
      <c r="A179">
        <v>1203</v>
      </c>
      <c r="B179" t="s">
        <v>2552</v>
      </c>
      <c r="C179" t="s">
        <v>2552</v>
      </c>
      <c r="D179" t="s">
        <v>2697</v>
      </c>
      <c r="E179" t="s">
        <v>1205</v>
      </c>
      <c r="F179" s="4">
        <v>0</v>
      </c>
      <c r="G179" s="4">
        <v>0</v>
      </c>
      <c r="H179" s="4">
        <v>0</v>
      </c>
      <c r="I179" s="4">
        <v>42775</v>
      </c>
      <c r="J179" s="4">
        <v>0</v>
      </c>
      <c r="K179" s="4">
        <v>10390</v>
      </c>
      <c r="L179" s="4">
        <v>147344</v>
      </c>
      <c r="M179" s="4">
        <v>0</v>
      </c>
      <c r="N179" s="4">
        <f>SUM(Table1[[#This Row],[2025]:[2018]])</f>
        <v>200509</v>
      </c>
      <c r="O179" s="2">
        <f>Table1[[#This Row],[ttl]]/SUM(Table1[ttl])</f>
        <v>4.0431215889135487E-4</v>
      </c>
      <c r="P179" s="3">
        <f>SUM($O$2:Table1[[#This Row],[pctAllTimeExp]])</f>
        <v>0.93013729850001459</v>
      </c>
      <c r="Q179" t="b">
        <f>Table1[[#This Row],[cumPctAllTimeExp]]&lt;0.95</f>
        <v>1</v>
      </c>
    </row>
    <row r="180" spans="1:17" x14ac:dyDescent="0.25">
      <c r="A180">
        <v>106</v>
      </c>
      <c r="B180" t="s">
        <v>2562</v>
      </c>
      <c r="C180" t="s">
        <v>2562</v>
      </c>
      <c r="D180" t="s">
        <v>2698</v>
      </c>
      <c r="E180" t="s">
        <v>108</v>
      </c>
      <c r="F180" s="4">
        <v>42369.21</v>
      </c>
      <c r="G180" s="4">
        <v>56731.8</v>
      </c>
      <c r="H180" s="4">
        <v>21051.01</v>
      </c>
      <c r="I180" s="4">
        <v>14472.59</v>
      </c>
      <c r="J180" s="4">
        <v>15761.88</v>
      </c>
      <c r="K180" s="4">
        <v>17163.060000000001</v>
      </c>
      <c r="L180" s="4">
        <v>14417.92</v>
      </c>
      <c r="M180" s="4">
        <v>16662.419999999998</v>
      </c>
      <c r="N180" s="4">
        <f>SUM(Table1[[#This Row],[2025]:[2018]])</f>
        <v>198629.89</v>
      </c>
      <c r="O180" s="2">
        <f>Table1[[#This Row],[ttl]]/SUM(Table1[ttl])</f>
        <v>4.0052306702568135E-4</v>
      </c>
      <c r="P180" s="3">
        <f>SUM($O$2:Table1[[#This Row],[pctAllTimeExp]])</f>
        <v>0.93053782156704024</v>
      </c>
      <c r="Q180" t="b">
        <f>Table1[[#This Row],[cumPctAllTimeExp]]&lt;0.95</f>
        <v>1</v>
      </c>
    </row>
    <row r="181" spans="1:17" x14ac:dyDescent="0.25">
      <c r="A181">
        <v>54</v>
      </c>
      <c r="B181" t="s">
        <v>2562</v>
      </c>
      <c r="C181" t="s">
        <v>2509</v>
      </c>
      <c r="D181" t="s">
        <v>2699</v>
      </c>
      <c r="E181" t="s">
        <v>56</v>
      </c>
      <c r="F181" s="4">
        <v>121815</v>
      </c>
      <c r="G181" s="4">
        <v>0</v>
      </c>
      <c r="H181" s="4">
        <v>42759.85</v>
      </c>
      <c r="I181" s="4">
        <v>21000.92</v>
      </c>
      <c r="J181" s="4">
        <v>0</v>
      </c>
      <c r="K181" s="4">
        <v>830.84</v>
      </c>
      <c r="L181" s="4">
        <v>10734.76</v>
      </c>
      <c r="M181" s="4">
        <v>42</v>
      </c>
      <c r="N181" s="4">
        <f>SUM(Table1[[#This Row],[2025]:[2018]])</f>
        <v>197183.37000000002</v>
      </c>
      <c r="O181" s="2">
        <f>Table1[[#This Row],[ttl]]/SUM(Table1[ttl])</f>
        <v>3.9760626217363225E-4</v>
      </c>
      <c r="P181" s="3">
        <f>SUM($O$2:Table1[[#This Row],[pctAllTimeExp]])</f>
        <v>0.9309354278292139</v>
      </c>
      <c r="Q181" t="b">
        <f>Table1[[#This Row],[cumPctAllTimeExp]]&lt;0.95</f>
        <v>1</v>
      </c>
    </row>
    <row r="182" spans="1:17" x14ac:dyDescent="0.25">
      <c r="A182">
        <v>1668</v>
      </c>
      <c r="B182" t="s">
        <v>2518</v>
      </c>
      <c r="C182" t="s">
        <v>2509</v>
      </c>
      <c r="D182" t="s">
        <v>2700</v>
      </c>
      <c r="E182" t="s">
        <v>1670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23359.26</v>
      </c>
      <c r="L182" s="4">
        <v>142322.34</v>
      </c>
      <c r="M182" s="4">
        <v>30587</v>
      </c>
      <c r="N182" s="4">
        <f>SUM(Table1[[#This Row],[2025]:[2018]])</f>
        <v>196268.6</v>
      </c>
      <c r="O182" s="2">
        <f>Table1[[#This Row],[ttl]]/SUM(Table1[ttl])</f>
        <v>3.9576169343313156E-4</v>
      </c>
      <c r="P182" s="3">
        <f>SUM($O$2:Table1[[#This Row],[pctAllTimeExp]])</f>
        <v>0.93133118952264704</v>
      </c>
      <c r="Q182" t="b">
        <f>Table1[[#This Row],[cumPctAllTimeExp]]&lt;0.95</f>
        <v>1</v>
      </c>
    </row>
    <row r="183" spans="1:17" x14ac:dyDescent="0.25">
      <c r="A183">
        <v>68</v>
      </c>
      <c r="B183" t="s">
        <v>2518</v>
      </c>
      <c r="C183" t="s">
        <v>2509</v>
      </c>
      <c r="D183" t="s">
        <v>2701</v>
      </c>
      <c r="E183" t="s">
        <v>70</v>
      </c>
      <c r="F183" s="4">
        <v>85846</v>
      </c>
      <c r="G183" s="4">
        <v>0</v>
      </c>
      <c r="H183" s="4">
        <v>13203.71</v>
      </c>
      <c r="I183" s="4">
        <v>6638.52</v>
      </c>
      <c r="J183" s="4">
        <v>90384</v>
      </c>
      <c r="K183" s="4">
        <v>0</v>
      </c>
      <c r="L183" s="4">
        <v>0</v>
      </c>
      <c r="M183" s="4">
        <v>0</v>
      </c>
      <c r="N183" s="4">
        <f>SUM(Table1[[#This Row],[2025]:[2018]])</f>
        <v>196072.22999999998</v>
      </c>
      <c r="O183" s="2">
        <f>Table1[[#This Row],[ttl]]/SUM(Table1[ttl])</f>
        <v>3.9536572727379951E-4</v>
      </c>
      <c r="P183" s="3">
        <f>SUM($O$2:Table1[[#This Row],[pctAllTimeExp]])</f>
        <v>0.93172655524992087</v>
      </c>
      <c r="Q183" t="b">
        <f>Table1[[#This Row],[cumPctAllTimeExp]]&lt;0.95</f>
        <v>1</v>
      </c>
    </row>
    <row r="184" spans="1:17" x14ac:dyDescent="0.25">
      <c r="A184">
        <v>1408</v>
      </c>
      <c r="B184" t="s">
        <v>2562</v>
      </c>
      <c r="C184" t="s">
        <v>2764</v>
      </c>
      <c r="D184" t="s">
        <v>2702</v>
      </c>
      <c r="E184" t="s">
        <v>1410</v>
      </c>
      <c r="F184" s="4">
        <v>0</v>
      </c>
      <c r="G184" s="4">
        <v>0</v>
      </c>
      <c r="H184" s="4">
        <v>0</v>
      </c>
      <c r="I184" s="4">
        <v>0</v>
      </c>
      <c r="J184" s="4">
        <v>46655.51</v>
      </c>
      <c r="K184" s="4">
        <v>46655.51</v>
      </c>
      <c r="L184" s="4">
        <v>50896.92</v>
      </c>
      <c r="M184" s="4">
        <v>50896.92</v>
      </c>
      <c r="N184" s="4">
        <f>SUM(Table1[[#This Row],[2025]:[2018]])</f>
        <v>195104.86</v>
      </c>
      <c r="O184" s="2">
        <f>Table1[[#This Row],[ttl]]/SUM(Table1[ttl])</f>
        <v>3.9341509436880909E-4</v>
      </c>
      <c r="P184" s="3">
        <f>SUM($O$2:Table1[[#This Row],[pctAllTimeExp]])</f>
        <v>0.93211997034428973</v>
      </c>
      <c r="Q184" t="b">
        <f>Table1[[#This Row],[cumPctAllTimeExp]]&lt;0.95</f>
        <v>1</v>
      </c>
    </row>
    <row r="185" spans="1:17" x14ac:dyDescent="0.25">
      <c r="A185">
        <v>722</v>
      </c>
      <c r="B185" t="s">
        <v>2552</v>
      </c>
      <c r="C185" t="s">
        <v>2509</v>
      </c>
      <c r="D185" t="s">
        <v>2703</v>
      </c>
      <c r="E185" t="s">
        <v>724</v>
      </c>
      <c r="F185" s="4">
        <v>0</v>
      </c>
      <c r="G185" s="4">
        <v>20435</v>
      </c>
      <c r="H185" s="4">
        <v>0</v>
      </c>
      <c r="I185" s="4">
        <v>0</v>
      </c>
      <c r="J185" s="4">
        <v>6375</v>
      </c>
      <c r="K185" s="4">
        <v>49000</v>
      </c>
      <c r="L185" s="4">
        <v>6895</v>
      </c>
      <c r="M185" s="4">
        <v>109465</v>
      </c>
      <c r="N185" s="4">
        <f>SUM(Table1[[#This Row],[2025]:[2018]])</f>
        <v>192170</v>
      </c>
      <c r="O185" s="2">
        <f>Table1[[#This Row],[ttl]]/SUM(Table1[ttl])</f>
        <v>3.8749715760465447E-4</v>
      </c>
      <c r="P185" s="3">
        <f>SUM($O$2:Table1[[#This Row],[pctAllTimeExp]])</f>
        <v>0.93250746750189439</v>
      </c>
      <c r="Q185" t="b">
        <f>Table1[[#This Row],[cumPctAllTimeExp]]&lt;0.95</f>
        <v>1</v>
      </c>
    </row>
    <row r="186" spans="1:17" x14ac:dyDescent="0.25">
      <c r="A186">
        <v>70</v>
      </c>
      <c r="B186" t="s">
        <v>2562</v>
      </c>
      <c r="C186" t="s">
        <v>2562</v>
      </c>
      <c r="D186" t="s">
        <v>2704</v>
      </c>
      <c r="E186" t="s">
        <v>72</v>
      </c>
      <c r="F186" s="4">
        <v>82769.77</v>
      </c>
      <c r="G186" s="4">
        <v>61342.63</v>
      </c>
      <c r="H186" s="4">
        <v>39679.71</v>
      </c>
      <c r="I186" s="4">
        <v>1529.5</v>
      </c>
      <c r="J186" s="4">
        <v>5497.4</v>
      </c>
      <c r="K186" s="4">
        <v>0</v>
      </c>
      <c r="L186" s="4">
        <v>0</v>
      </c>
      <c r="M186" s="4">
        <v>0</v>
      </c>
      <c r="N186" s="4">
        <f>SUM(Table1[[#This Row],[2025]:[2018]])</f>
        <v>190819.00999999998</v>
      </c>
      <c r="O186" s="2">
        <f>Table1[[#This Row],[ttl]]/SUM(Table1[ttl])</f>
        <v>3.847729822133222E-4</v>
      </c>
      <c r="P186" s="3">
        <f>SUM($O$2:Table1[[#This Row],[pctAllTimeExp]])</f>
        <v>0.93289224048410768</v>
      </c>
      <c r="Q186" t="b">
        <f>Table1[[#This Row],[cumPctAllTimeExp]]&lt;0.95</f>
        <v>1</v>
      </c>
    </row>
    <row r="187" spans="1:17" x14ac:dyDescent="0.25">
      <c r="A187">
        <v>712</v>
      </c>
      <c r="B187" t="s">
        <v>2552</v>
      </c>
      <c r="C187" t="s">
        <v>2552</v>
      </c>
      <c r="D187" t="s">
        <v>2705</v>
      </c>
      <c r="E187" t="s">
        <v>714</v>
      </c>
      <c r="F187" s="4">
        <v>0</v>
      </c>
      <c r="G187" s="4">
        <v>34948.46</v>
      </c>
      <c r="H187" s="4">
        <v>37916.269999999997</v>
      </c>
      <c r="I187" s="4">
        <v>32108.03</v>
      </c>
      <c r="J187" s="4">
        <v>15936.44</v>
      </c>
      <c r="K187" s="4">
        <v>26607.93</v>
      </c>
      <c r="L187" s="4">
        <v>19829.759999999998</v>
      </c>
      <c r="M187" s="4">
        <v>22062.69</v>
      </c>
      <c r="N187" s="4">
        <f>SUM(Table1[[#This Row],[2025]:[2018]])</f>
        <v>189409.58000000002</v>
      </c>
      <c r="O187" s="2">
        <f>Table1[[#This Row],[ttl]]/SUM(Table1[ttl])</f>
        <v>3.8193096671224134E-4</v>
      </c>
      <c r="P187" s="3">
        <f>SUM($O$2:Table1[[#This Row],[pctAllTimeExp]])</f>
        <v>0.93327417145081992</v>
      </c>
      <c r="Q187" t="b">
        <f>Table1[[#This Row],[cumPctAllTimeExp]]&lt;0.95</f>
        <v>1</v>
      </c>
    </row>
    <row r="188" spans="1:17" x14ac:dyDescent="0.25">
      <c r="A188">
        <v>105</v>
      </c>
      <c r="B188" t="s">
        <v>2552</v>
      </c>
      <c r="C188" t="s">
        <v>2552</v>
      </c>
      <c r="D188" t="s">
        <v>2706</v>
      </c>
      <c r="E188" t="s">
        <v>107</v>
      </c>
      <c r="F188" s="4">
        <v>43345</v>
      </c>
      <c r="G188" s="4">
        <v>49764</v>
      </c>
      <c r="H188" s="4">
        <v>59535</v>
      </c>
      <c r="I188" s="4">
        <v>16655</v>
      </c>
      <c r="J188" s="4">
        <v>15119</v>
      </c>
      <c r="K188" s="4">
        <v>4880</v>
      </c>
      <c r="L188" s="4">
        <v>0</v>
      </c>
      <c r="M188" s="4">
        <v>0</v>
      </c>
      <c r="N188" s="4">
        <f>SUM(Table1[[#This Row],[2025]:[2018]])</f>
        <v>189298</v>
      </c>
      <c r="O188" s="2">
        <f>Table1[[#This Row],[ttl]]/SUM(Table1[ttl])</f>
        <v>3.8170597356635208E-4</v>
      </c>
      <c r="P188" s="3">
        <f>SUM($O$2:Table1[[#This Row],[pctAllTimeExp]])</f>
        <v>0.93365587742438627</v>
      </c>
      <c r="Q188" t="b">
        <f>Table1[[#This Row],[cumPctAllTimeExp]]&lt;0.95</f>
        <v>1</v>
      </c>
    </row>
    <row r="189" spans="1:17" x14ac:dyDescent="0.25">
      <c r="A189">
        <v>975</v>
      </c>
      <c r="B189" t="s">
        <v>2518</v>
      </c>
      <c r="C189" t="s">
        <v>2509</v>
      </c>
      <c r="D189" t="s">
        <v>2707</v>
      </c>
      <c r="E189" t="s">
        <v>977</v>
      </c>
      <c r="F189" s="4">
        <v>0</v>
      </c>
      <c r="G189" s="4">
        <v>0</v>
      </c>
      <c r="H189" s="4">
        <v>30700</v>
      </c>
      <c r="I189" s="4">
        <v>0</v>
      </c>
      <c r="J189" s="4">
        <v>0</v>
      </c>
      <c r="K189" s="4">
        <v>49980</v>
      </c>
      <c r="L189" s="4">
        <v>108205</v>
      </c>
      <c r="M189" s="4">
        <v>0</v>
      </c>
      <c r="N189" s="4">
        <f>SUM(Table1[[#This Row],[2025]:[2018]])</f>
        <v>188885</v>
      </c>
      <c r="O189" s="2">
        <f>Table1[[#This Row],[ttl]]/SUM(Table1[ttl])</f>
        <v>3.8087318839649876E-4</v>
      </c>
      <c r="P189" s="3">
        <f>SUM($O$2:Table1[[#This Row],[pctAllTimeExp]])</f>
        <v>0.9340367506127828</v>
      </c>
      <c r="Q189" t="b">
        <f>Table1[[#This Row],[cumPctAllTimeExp]]&lt;0.95</f>
        <v>1</v>
      </c>
    </row>
    <row r="190" spans="1:17" x14ac:dyDescent="0.25">
      <c r="A190">
        <v>146</v>
      </c>
      <c r="B190" t="s">
        <v>2548</v>
      </c>
      <c r="C190" t="s">
        <v>2552</v>
      </c>
      <c r="D190" t="s">
        <v>2708</v>
      </c>
      <c r="E190" t="s">
        <v>148</v>
      </c>
      <c r="F190" s="4">
        <v>24522.880000000001</v>
      </c>
      <c r="G190" s="4">
        <v>33417.74</v>
      </c>
      <c r="H190" s="4">
        <v>16380.24</v>
      </c>
      <c r="I190" s="4">
        <v>27627.43</v>
      </c>
      <c r="J190" s="4">
        <v>19128.900000000001</v>
      </c>
      <c r="K190" s="4">
        <v>31520.25</v>
      </c>
      <c r="L190" s="4">
        <v>12689.39</v>
      </c>
      <c r="M190" s="4">
        <v>18921.61</v>
      </c>
      <c r="N190" s="4">
        <f>SUM(Table1[[#This Row],[2025]:[2018]])</f>
        <v>184208.44</v>
      </c>
      <c r="O190" s="2">
        <f>Table1[[#This Row],[ttl]]/SUM(Table1[ttl])</f>
        <v>3.7144323727318282E-4</v>
      </c>
      <c r="P190" s="3">
        <f>SUM($O$2:Table1[[#This Row],[pctAllTimeExp]])</f>
        <v>0.93440819385005602</v>
      </c>
      <c r="Q190" t="b">
        <f>Table1[[#This Row],[cumPctAllTimeExp]]&lt;0.95</f>
        <v>1</v>
      </c>
    </row>
    <row r="191" spans="1:17" x14ac:dyDescent="0.25">
      <c r="A191">
        <v>696</v>
      </c>
      <c r="B191" t="s">
        <v>2543</v>
      </c>
      <c r="C191" t="s">
        <v>2543</v>
      </c>
      <c r="D191" t="s">
        <v>2709</v>
      </c>
      <c r="E191" t="s">
        <v>698</v>
      </c>
      <c r="F191" s="4">
        <v>0</v>
      </c>
      <c r="G191" s="4">
        <v>160000</v>
      </c>
      <c r="H191" s="4">
        <v>0</v>
      </c>
      <c r="I191" s="4">
        <v>24087.5</v>
      </c>
      <c r="J191" s="4">
        <v>0</v>
      </c>
      <c r="K191" s="4">
        <v>0</v>
      </c>
      <c r="L191" s="4">
        <v>0</v>
      </c>
      <c r="M191" s="4">
        <v>0</v>
      </c>
      <c r="N191" s="4">
        <f>SUM(Table1[[#This Row],[2025]:[2018]])</f>
        <v>184087.5</v>
      </c>
      <c r="O191" s="2">
        <f>Table1[[#This Row],[ttl]]/SUM(Table1[ttl])</f>
        <v>3.7119937035201556E-4</v>
      </c>
      <c r="P191" s="3">
        <f>SUM($O$2:Table1[[#This Row],[pctAllTimeExp]])</f>
        <v>0.93477939322040804</v>
      </c>
      <c r="Q191" t="b">
        <f>Table1[[#This Row],[cumPctAllTimeExp]]&lt;0.95</f>
        <v>1</v>
      </c>
    </row>
    <row r="192" spans="1:17" x14ac:dyDescent="0.25">
      <c r="A192">
        <v>107</v>
      </c>
      <c r="B192" t="s">
        <v>2528</v>
      </c>
      <c r="C192" t="s">
        <v>2509</v>
      </c>
      <c r="D192" t="s">
        <v>2710</v>
      </c>
      <c r="E192" t="s">
        <v>109</v>
      </c>
      <c r="F192" s="4">
        <v>42045</v>
      </c>
      <c r="G192" s="4">
        <v>0</v>
      </c>
      <c r="H192" s="4">
        <v>1630</v>
      </c>
      <c r="I192" s="4">
        <v>29196</v>
      </c>
      <c r="J192" s="4">
        <v>96546</v>
      </c>
      <c r="K192" s="4">
        <v>11800</v>
      </c>
      <c r="L192" s="4">
        <v>0</v>
      </c>
      <c r="M192" s="4">
        <v>0</v>
      </c>
      <c r="N192" s="4">
        <f>SUM(Table1[[#This Row],[2025]:[2018]])</f>
        <v>181217</v>
      </c>
      <c r="O192" s="2">
        <f>Table1[[#This Row],[ttl]]/SUM(Table1[ttl])</f>
        <v>3.6541121095718721E-4</v>
      </c>
      <c r="P192" s="3">
        <f>SUM($O$2:Table1[[#This Row],[pctAllTimeExp]])</f>
        <v>0.93514480443136527</v>
      </c>
      <c r="Q192" t="b">
        <f>Table1[[#This Row],[cumPctAllTimeExp]]&lt;0.95</f>
        <v>1</v>
      </c>
    </row>
    <row r="193" spans="1:17" x14ac:dyDescent="0.25">
      <c r="A193">
        <v>1968</v>
      </c>
      <c r="B193" t="s">
        <v>2518</v>
      </c>
      <c r="C193" t="s">
        <v>2509</v>
      </c>
      <c r="D193" t="s">
        <v>2711</v>
      </c>
      <c r="E193" t="s">
        <v>1970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157768.09</v>
      </c>
      <c r="M193" s="4">
        <v>22777.11</v>
      </c>
      <c r="N193" s="4">
        <f>SUM(Table1[[#This Row],[2025]:[2018]])</f>
        <v>180545.2</v>
      </c>
      <c r="O193" s="2">
        <f>Table1[[#This Row],[ttl]]/SUM(Table1[ttl])</f>
        <v>3.6405657396661222E-4</v>
      </c>
      <c r="P193" s="3">
        <f>SUM($O$2:Table1[[#This Row],[pctAllTimeExp]])</f>
        <v>0.93550886100533193</v>
      </c>
      <c r="Q193" t="b">
        <f>Table1[[#This Row],[cumPctAllTimeExp]]&lt;0.95</f>
        <v>1</v>
      </c>
    </row>
    <row r="194" spans="1:17" x14ac:dyDescent="0.25">
      <c r="A194">
        <v>194</v>
      </c>
      <c r="B194" t="s">
        <v>2562</v>
      </c>
      <c r="C194" t="s">
        <v>2562</v>
      </c>
      <c r="D194" t="s">
        <v>2712</v>
      </c>
      <c r="E194" t="s">
        <v>196</v>
      </c>
      <c r="F194" s="4">
        <v>14876.09</v>
      </c>
      <c r="G194" s="4">
        <v>20764.05</v>
      </c>
      <c r="H194" s="4">
        <v>39347.449999999997</v>
      </c>
      <c r="I194" s="4">
        <v>18860.73</v>
      </c>
      <c r="J194" s="4">
        <v>25745.3</v>
      </c>
      <c r="K194" s="4">
        <v>15554.43</v>
      </c>
      <c r="L194" s="4">
        <v>22299.43</v>
      </c>
      <c r="M194" s="4">
        <v>22700.22</v>
      </c>
      <c r="N194" s="4">
        <f>SUM(Table1[[#This Row],[2025]:[2018]])</f>
        <v>180147.69999999998</v>
      </c>
      <c r="O194" s="2">
        <f>Table1[[#This Row],[ttl]]/SUM(Table1[ttl])</f>
        <v>3.6325504344599056E-4</v>
      </c>
      <c r="P194" s="3">
        <f>SUM($O$2:Table1[[#This Row],[pctAllTimeExp]])</f>
        <v>0.93587211604877796</v>
      </c>
      <c r="Q194" t="b">
        <f>Table1[[#This Row],[cumPctAllTimeExp]]&lt;0.95</f>
        <v>1</v>
      </c>
    </row>
    <row r="195" spans="1:17" x14ac:dyDescent="0.25">
      <c r="A195">
        <v>705</v>
      </c>
      <c r="B195" t="s">
        <v>2565</v>
      </c>
      <c r="C195" t="s">
        <v>2565</v>
      </c>
      <c r="D195" t="s">
        <v>2713</v>
      </c>
      <c r="E195" t="s">
        <v>707</v>
      </c>
      <c r="F195" s="4">
        <v>0</v>
      </c>
      <c r="G195" s="4">
        <v>48480</v>
      </c>
      <c r="H195" s="4">
        <v>0</v>
      </c>
      <c r="I195" s="4">
        <v>34700</v>
      </c>
      <c r="J195" s="4">
        <v>0</v>
      </c>
      <c r="K195" s="4">
        <v>52385</v>
      </c>
      <c r="L195" s="4">
        <v>7650</v>
      </c>
      <c r="M195" s="4">
        <v>35735</v>
      </c>
      <c r="N195" s="4">
        <f>SUM(Table1[[#This Row],[2025]:[2018]])</f>
        <v>178950</v>
      </c>
      <c r="O195" s="2">
        <f>Table1[[#This Row],[ttl]]/SUM(Table1[ttl])</f>
        <v>3.6083996645341584E-4</v>
      </c>
      <c r="P195" s="3">
        <f>SUM($O$2:Table1[[#This Row],[pctAllTimeExp]])</f>
        <v>0.93623295601523138</v>
      </c>
      <c r="Q195" t="b">
        <f>Table1[[#This Row],[cumPctAllTimeExp]]&lt;0.95</f>
        <v>1</v>
      </c>
    </row>
    <row r="196" spans="1:17" x14ac:dyDescent="0.25">
      <c r="A196">
        <v>220</v>
      </c>
      <c r="B196" t="s">
        <v>2528</v>
      </c>
      <c r="C196" t="s">
        <v>2530</v>
      </c>
      <c r="D196" t="s">
        <v>2714</v>
      </c>
      <c r="E196" t="s">
        <v>222</v>
      </c>
      <c r="F196" s="4">
        <v>10759.1</v>
      </c>
      <c r="G196" s="4">
        <v>28950</v>
      </c>
      <c r="H196" s="4">
        <v>37412.5</v>
      </c>
      <c r="I196" s="4">
        <v>10700</v>
      </c>
      <c r="J196" s="4">
        <v>3500</v>
      </c>
      <c r="K196" s="4">
        <v>38315</v>
      </c>
      <c r="L196" s="4">
        <v>37150</v>
      </c>
      <c r="M196" s="4">
        <v>11568.6</v>
      </c>
      <c r="N196" s="4">
        <f>SUM(Table1[[#This Row],[2025]:[2018]])</f>
        <v>178355.20000000001</v>
      </c>
      <c r="O196" s="2">
        <f>Table1[[#This Row],[ttl]]/SUM(Table1[ttl])</f>
        <v>3.5964059449450836E-4</v>
      </c>
      <c r="P196" s="3">
        <f>SUM($O$2:Table1[[#This Row],[pctAllTimeExp]])</f>
        <v>0.93659259660972594</v>
      </c>
      <c r="Q196" t="b">
        <f>Table1[[#This Row],[cumPctAllTimeExp]]&lt;0.95</f>
        <v>1</v>
      </c>
    </row>
    <row r="197" spans="1:17" x14ac:dyDescent="0.25">
      <c r="A197">
        <v>1663</v>
      </c>
      <c r="B197" t="s">
        <v>2518</v>
      </c>
      <c r="C197" t="s">
        <v>2509</v>
      </c>
      <c r="D197" t="s">
        <v>2715</v>
      </c>
      <c r="E197" t="s">
        <v>1665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31550</v>
      </c>
      <c r="L197" s="4">
        <v>58163.51</v>
      </c>
      <c r="M197" s="4">
        <v>88096.02</v>
      </c>
      <c r="N197" s="4">
        <f>SUM(Table1[[#This Row],[2025]:[2018]])</f>
        <v>177809.53000000003</v>
      </c>
      <c r="O197" s="2">
        <f>Table1[[#This Row],[ttl]]/SUM(Table1[ttl])</f>
        <v>3.5854028969152079E-4</v>
      </c>
      <c r="P197" s="3">
        <f>SUM($O$2:Table1[[#This Row],[pctAllTimeExp]])</f>
        <v>0.93695113689941745</v>
      </c>
      <c r="Q197" t="b">
        <f>Table1[[#This Row],[cumPctAllTimeExp]]&lt;0.95</f>
        <v>1</v>
      </c>
    </row>
    <row r="198" spans="1:17" x14ac:dyDescent="0.25">
      <c r="A198">
        <v>193</v>
      </c>
      <c r="B198" t="s">
        <v>2562</v>
      </c>
      <c r="C198" t="s">
        <v>2562</v>
      </c>
      <c r="D198" t="s">
        <v>2716</v>
      </c>
      <c r="E198" t="s">
        <v>195</v>
      </c>
      <c r="F198" s="4">
        <v>15054</v>
      </c>
      <c r="G198" s="4">
        <v>12012</v>
      </c>
      <c r="H198" s="4">
        <v>18000</v>
      </c>
      <c r="I198" s="4">
        <v>10723</v>
      </c>
      <c r="J198" s="4">
        <v>10745</v>
      </c>
      <c r="K198" s="4">
        <v>37294.550000000003</v>
      </c>
      <c r="L198" s="4">
        <v>44232.800000000003</v>
      </c>
      <c r="M198" s="4">
        <v>28322.69</v>
      </c>
      <c r="N198" s="4">
        <f>SUM(Table1[[#This Row],[2025]:[2018]])</f>
        <v>176384.04</v>
      </c>
      <c r="O198" s="2">
        <f>Table1[[#This Row],[ttl]]/SUM(Table1[ttl])</f>
        <v>3.5566589034097767E-4</v>
      </c>
      <c r="P198" s="3">
        <f>SUM($O$2:Table1[[#This Row],[pctAllTimeExp]])</f>
        <v>0.93730680278975842</v>
      </c>
      <c r="Q198" t="b">
        <f>Table1[[#This Row],[cumPctAllTimeExp]]&lt;0.95</f>
        <v>1</v>
      </c>
    </row>
    <row r="199" spans="1:17" x14ac:dyDescent="0.25">
      <c r="A199">
        <v>191</v>
      </c>
      <c r="B199" t="s">
        <v>2758</v>
      </c>
      <c r="C199" t="s">
        <v>2758</v>
      </c>
      <c r="D199" t="s">
        <v>2717</v>
      </c>
      <c r="E199" t="s">
        <v>193</v>
      </c>
      <c r="F199" s="4">
        <v>15624.31</v>
      </c>
      <c r="G199" s="4">
        <v>17889.919999999998</v>
      </c>
      <c r="H199" s="4">
        <v>32098.84</v>
      </c>
      <c r="I199" s="4">
        <v>20140</v>
      </c>
      <c r="J199" s="4">
        <v>8617.52</v>
      </c>
      <c r="K199" s="4">
        <v>19017.18</v>
      </c>
      <c r="L199" s="4">
        <v>25474.89</v>
      </c>
      <c r="M199" s="4">
        <v>36988.49</v>
      </c>
      <c r="N199" s="4">
        <f>SUM(Table1[[#This Row],[2025]:[2018]])</f>
        <v>175851.14999999997</v>
      </c>
      <c r="O199" s="2">
        <f>Table1[[#This Row],[ttl]]/SUM(Table1[ttl])</f>
        <v>3.5459135550038886E-4</v>
      </c>
      <c r="P199" s="3">
        <f>SUM($O$2:Table1[[#This Row],[pctAllTimeExp]])</f>
        <v>0.93766139414525884</v>
      </c>
      <c r="Q199" t="b">
        <f>Table1[[#This Row],[cumPctAllTimeExp]]&lt;0.95</f>
        <v>1</v>
      </c>
    </row>
    <row r="200" spans="1:17" x14ac:dyDescent="0.25">
      <c r="A200">
        <v>211</v>
      </c>
      <c r="B200" t="s">
        <v>2528</v>
      </c>
      <c r="C200" t="s">
        <v>2528</v>
      </c>
      <c r="D200" t="s">
        <v>2718</v>
      </c>
      <c r="E200" t="s">
        <v>213</v>
      </c>
      <c r="F200" s="4">
        <v>12577.15</v>
      </c>
      <c r="G200" s="4">
        <v>34567.71</v>
      </c>
      <c r="H200" s="4">
        <v>60170.14</v>
      </c>
      <c r="I200" s="4">
        <v>0</v>
      </c>
      <c r="J200" s="4">
        <v>1634.08</v>
      </c>
      <c r="K200" s="4">
        <v>17722.95</v>
      </c>
      <c r="L200" s="4">
        <v>30000.27</v>
      </c>
      <c r="M200" s="4">
        <v>19038.77</v>
      </c>
      <c r="N200" s="4">
        <f>SUM(Table1[[#This Row],[2025]:[2018]])</f>
        <v>175711.06999999998</v>
      </c>
      <c r="O200" s="2">
        <f>Table1[[#This Row],[ttl]]/SUM(Table1[ttl])</f>
        <v>3.5430889412849283E-4</v>
      </c>
      <c r="P200" s="3">
        <f>SUM($O$2:Table1[[#This Row],[pctAllTimeExp]])</f>
        <v>0.93801570303938731</v>
      </c>
      <c r="Q200" t="b">
        <f>Table1[[#This Row],[cumPctAllTimeExp]]&lt;0.95</f>
        <v>1</v>
      </c>
    </row>
    <row r="201" spans="1:17" x14ac:dyDescent="0.25">
      <c r="A201">
        <v>723</v>
      </c>
      <c r="B201" t="s">
        <v>2552</v>
      </c>
      <c r="C201" t="s">
        <v>2552</v>
      </c>
      <c r="D201" t="s">
        <v>2719</v>
      </c>
      <c r="E201" t="s">
        <v>725</v>
      </c>
      <c r="F201" s="4">
        <v>0</v>
      </c>
      <c r="G201" s="4">
        <v>19698</v>
      </c>
      <c r="H201" s="4">
        <v>6048.32</v>
      </c>
      <c r="I201" s="4">
        <v>5894.7</v>
      </c>
      <c r="J201" s="4">
        <v>44281.43</v>
      </c>
      <c r="K201" s="4">
        <v>57996.1</v>
      </c>
      <c r="L201" s="4">
        <v>26961.919999999998</v>
      </c>
      <c r="M201" s="4">
        <v>11251.79</v>
      </c>
      <c r="N201" s="4">
        <f>SUM(Table1[[#This Row],[2025]:[2018]])</f>
        <v>172132.25999999998</v>
      </c>
      <c r="O201" s="2">
        <f>Table1[[#This Row],[ttl]]/SUM(Table1[ttl])</f>
        <v>3.4709247792093125E-4</v>
      </c>
      <c r="P201" s="3">
        <f>SUM($O$2:Table1[[#This Row],[pctAllTimeExp]])</f>
        <v>0.93836279551730828</v>
      </c>
      <c r="Q201" t="b">
        <f>Table1[[#This Row],[cumPctAllTimeExp]]&lt;0.95</f>
        <v>1</v>
      </c>
    </row>
    <row r="202" spans="1:17" x14ac:dyDescent="0.25">
      <c r="A202">
        <v>1793</v>
      </c>
      <c r="B202" t="s">
        <v>2552</v>
      </c>
      <c r="C202" t="s">
        <v>2509</v>
      </c>
      <c r="D202" t="s">
        <v>2720</v>
      </c>
      <c r="E202" t="s">
        <v>1795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658.73</v>
      </c>
      <c r="L202" s="4">
        <v>67169.36</v>
      </c>
      <c r="M202" s="4">
        <v>102379.75</v>
      </c>
      <c r="N202" s="4">
        <f>SUM(Table1[[#This Row],[2025]:[2018]])</f>
        <v>170207.84</v>
      </c>
      <c r="O202" s="2">
        <f>Table1[[#This Row],[ttl]]/SUM(Table1[ttl])</f>
        <v>3.4321202165805178E-4</v>
      </c>
      <c r="P202" s="3">
        <f>SUM($O$2:Table1[[#This Row],[pctAllTimeExp]])</f>
        <v>0.93870600753896638</v>
      </c>
      <c r="Q202" t="b">
        <f>Table1[[#This Row],[cumPctAllTimeExp]]&lt;0.95</f>
        <v>1</v>
      </c>
    </row>
    <row r="203" spans="1:17" x14ac:dyDescent="0.25">
      <c r="A203">
        <v>60</v>
      </c>
      <c r="B203" t="s">
        <v>2552</v>
      </c>
      <c r="C203" t="s">
        <v>2509</v>
      </c>
      <c r="D203" t="s">
        <v>2721</v>
      </c>
      <c r="E203" t="s">
        <v>62</v>
      </c>
      <c r="F203" s="4">
        <v>106771.68</v>
      </c>
      <c r="G203" s="4">
        <v>15999.55</v>
      </c>
      <c r="H203" s="4">
        <v>46599.1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f>SUM(Table1[[#This Row],[2025]:[2018]])</f>
        <v>169370.33</v>
      </c>
      <c r="O203" s="2">
        <f>Table1[[#This Row],[ttl]]/SUM(Table1[ttl])</f>
        <v>3.4152324222075419E-4</v>
      </c>
      <c r="P203" s="3">
        <f>SUM($O$2:Table1[[#This Row],[pctAllTimeExp]])</f>
        <v>0.93904753078118719</v>
      </c>
      <c r="Q203" t="b">
        <f>Table1[[#This Row],[cumPctAllTimeExp]]&lt;0.95</f>
        <v>1</v>
      </c>
    </row>
    <row r="204" spans="1:17" x14ac:dyDescent="0.25">
      <c r="A204">
        <v>186</v>
      </c>
      <c r="B204" t="s">
        <v>2562</v>
      </c>
      <c r="C204" t="s">
        <v>2562</v>
      </c>
      <c r="D204" t="s">
        <v>2722</v>
      </c>
      <c r="E204" t="s">
        <v>188</v>
      </c>
      <c r="F204" s="4">
        <v>16511.25</v>
      </c>
      <c r="G204" s="4">
        <v>35229.949999999997</v>
      </c>
      <c r="H204" s="4">
        <v>32901.15</v>
      </c>
      <c r="I204" s="4">
        <v>13769.85</v>
      </c>
      <c r="J204" s="4">
        <v>18997.8</v>
      </c>
      <c r="K204" s="4">
        <v>14497.05</v>
      </c>
      <c r="L204" s="4">
        <v>21440.65</v>
      </c>
      <c r="M204" s="4">
        <v>15349.04</v>
      </c>
      <c r="N204" s="4">
        <f>SUM(Table1[[#This Row],[2025]:[2018]])</f>
        <v>168696.74000000002</v>
      </c>
      <c r="O204" s="2">
        <f>Table1[[#This Row],[ttl]]/SUM(Table1[ttl])</f>
        <v>3.4016499582230017E-4</v>
      </c>
      <c r="P204" s="3">
        <f>SUM($O$2:Table1[[#This Row],[pctAllTimeExp]])</f>
        <v>0.93938769577700953</v>
      </c>
      <c r="Q204" t="b">
        <f>Table1[[#This Row],[cumPctAllTimeExp]]&lt;0.95</f>
        <v>1</v>
      </c>
    </row>
    <row r="205" spans="1:17" x14ac:dyDescent="0.25">
      <c r="A205">
        <v>1204</v>
      </c>
      <c r="B205" t="s">
        <v>2518</v>
      </c>
      <c r="C205" t="s">
        <v>2509</v>
      </c>
      <c r="D205" t="s">
        <v>2701</v>
      </c>
      <c r="E205" t="s">
        <v>1206</v>
      </c>
      <c r="F205" s="4">
        <v>0</v>
      </c>
      <c r="G205" s="4">
        <v>0</v>
      </c>
      <c r="H205" s="4">
        <v>0</v>
      </c>
      <c r="I205" s="4">
        <v>41550</v>
      </c>
      <c r="J205" s="4">
        <v>43950</v>
      </c>
      <c r="K205" s="4">
        <v>0</v>
      </c>
      <c r="L205" s="4">
        <v>81125</v>
      </c>
      <c r="M205" s="4">
        <v>0</v>
      </c>
      <c r="N205" s="4">
        <f>SUM(Table1[[#This Row],[2025]:[2018]])</f>
        <v>166625</v>
      </c>
      <c r="O205" s="2">
        <f>Table1[[#This Row],[ttl]]/SUM(Table1[ttl])</f>
        <v>3.3598747924168995E-4</v>
      </c>
      <c r="P205" s="3">
        <f>SUM($O$2:Table1[[#This Row],[pctAllTimeExp]])</f>
        <v>0.93972368325625122</v>
      </c>
      <c r="Q205" t="b">
        <f>Table1[[#This Row],[cumPctAllTimeExp]]&lt;0.95</f>
        <v>1</v>
      </c>
    </row>
    <row r="206" spans="1:17" x14ac:dyDescent="0.25">
      <c r="A206">
        <v>754</v>
      </c>
      <c r="B206" t="s">
        <v>2552</v>
      </c>
      <c r="C206" t="s">
        <v>2552</v>
      </c>
      <c r="D206" t="s">
        <v>2723</v>
      </c>
      <c r="E206" t="s">
        <v>756</v>
      </c>
      <c r="F206" s="4">
        <v>0</v>
      </c>
      <c r="G206" s="4">
        <v>8000</v>
      </c>
      <c r="H206" s="4">
        <v>28000</v>
      </c>
      <c r="I206" s="4">
        <v>41650</v>
      </c>
      <c r="J206" s="4">
        <v>35350</v>
      </c>
      <c r="K206" s="4">
        <v>26700</v>
      </c>
      <c r="L206" s="4">
        <v>26250</v>
      </c>
      <c r="M206" s="4">
        <v>0</v>
      </c>
      <c r="N206" s="4">
        <f>SUM(Table1[[#This Row],[2025]:[2018]])</f>
        <v>165950</v>
      </c>
      <c r="O206" s="2">
        <f>Table1[[#This Row],[ttl]]/SUM(Table1[ttl])</f>
        <v>3.3462638967837022E-4</v>
      </c>
      <c r="P206" s="3">
        <f>SUM($O$2:Table1[[#This Row],[pctAllTimeExp]])</f>
        <v>0.94005830964592962</v>
      </c>
      <c r="Q206" t="b">
        <f>Table1[[#This Row],[cumPctAllTimeExp]]&lt;0.95</f>
        <v>1</v>
      </c>
    </row>
    <row r="207" spans="1:17" x14ac:dyDescent="0.25">
      <c r="A207">
        <v>318</v>
      </c>
      <c r="B207" t="s">
        <v>2562</v>
      </c>
      <c r="C207" t="s">
        <v>2562</v>
      </c>
      <c r="D207" t="s">
        <v>2724</v>
      </c>
      <c r="E207" t="s">
        <v>320</v>
      </c>
      <c r="F207" s="4">
        <v>4200</v>
      </c>
      <c r="G207" s="4">
        <v>9400</v>
      </c>
      <c r="H207" s="4">
        <v>24500</v>
      </c>
      <c r="I207" s="4">
        <v>33250</v>
      </c>
      <c r="J207" s="4">
        <v>14600</v>
      </c>
      <c r="K207" s="4">
        <v>30300</v>
      </c>
      <c r="L207" s="4">
        <v>45950</v>
      </c>
      <c r="M207" s="4">
        <v>2400</v>
      </c>
      <c r="N207" s="4">
        <f>SUM(Table1[[#This Row],[2025]:[2018]])</f>
        <v>164600</v>
      </c>
      <c r="O207" s="2">
        <f>Table1[[#This Row],[ttl]]/SUM(Table1[ttl])</f>
        <v>3.3190421055173089E-4</v>
      </c>
      <c r="P207" s="3">
        <f>SUM($O$2:Table1[[#This Row],[pctAllTimeExp]])</f>
        <v>0.94039021385648136</v>
      </c>
      <c r="Q207" t="b">
        <f>Table1[[#This Row],[cumPctAllTimeExp]]&lt;0.95</f>
        <v>1</v>
      </c>
    </row>
    <row r="208" spans="1:17" x14ac:dyDescent="0.25">
      <c r="A208">
        <v>273</v>
      </c>
      <c r="B208" t="s">
        <v>2548</v>
      </c>
      <c r="C208" t="s">
        <v>2509</v>
      </c>
      <c r="D208" t="s">
        <v>2725</v>
      </c>
      <c r="E208" t="s">
        <v>275</v>
      </c>
      <c r="F208" s="4">
        <v>6530.1</v>
      </c>
      <c r="G208" s="4">
        <v>23445.16</v>
      </c>
      <c r="H208" s="4">
        <v>44649.82</v>
      </c>
      <c r="I208" s="4">
        <v>37682.01</v>
      </c>
      <c r="J208" s="4">
        <v>3486.59</v>
      </c>
      <c r="K208" s="4">
        <v>22233.68</v>
      </c>
      <c r="L208" s="4">
        <v>13899.91</v>
      </c>
      <c r="M208" s="4">
        <v>12604.83</v>
      </c>
      <c r="N208" s="4">
        <f>SUM(Table1[[#This Row],[2025]:[2018]])</f>
        <v>164532.09999999998</v>
      </c>
      <c r="O208" s="2">
        <f>Table1[[#This Row],[ttl]]/SUM(Table1[ttl])</f>
        <v>3.317672950238058E-4</v>
      </c>
      <c r="P208" s="3">
        <f>SUM($O$2:Table1[[#This Row],[pctAllTimeExp]])</f>
        <v>0.94072198115150518</v>
      </c>
      <c r="Q208" t="b">
        <f>Table1[[#This Row],[cumPctAllTimeExp]]&lt;0.95</f>
        <v>1</v>
      </c>
    </row>
    <row r="209" spans="1:17" x14ac:dyDescent="0.25">
      <c r="A209">
        <v>72</v>
      </c>
      <c r="B209" t="s">
        <v>2518</v>
      </c>
      <c r="C209" t="s">
        <v>2509</v>
      </c>
      <c r="D209" t="s">
        <v>2726</v>
      </c>
      <c r="E209" t="s">
        <v>74</v>
      </c>
      <c r="F209" s="4">
        <v>80200</v>
      </c>
      <c r="G209" s="4">
        <v>83845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f>SUM(Table1[[#This Row],[2025]:[2018]])</f>
        <v>164045</v>
      </c>
      <c r="O209" s="2">
        <f>Table1[[#This Row],[ttl]]/SUM(Table1[ttl])</f>
        <v>3.3078509246633472E-4</v>
      </c>
      <c r="P209" s="3">
        <f>SUM($O$2:Table1[[#This Row],[pctAllTimeExp]])</f>
        <v>0.94105276624397149</v>
      </c>
      <c r="Q209" t="b">
        <f>Table1[[#This Row],[cumPctAllTimeExp]]&lt;0.95</f>
        <v>1</v>
      </c>
    </row>
    <row r="210" spans="1:17" x14ac:dyDescent="0.25">
      <c r="A210">
        <v>129</v>
      </c>
      <c r="B210" t="s">
        <v>2562</v>
      </c>
      <c r="C210" t="s">
        <v>2552</v>
      </c>
      <c r="D210" t="s">
        <v>2727</v>
      </c>
      <c r="E210" t="s">
        <v>131</v>
      </c>
      <c r="F210" s="4">
        <v>29713.74</v>
      </c>
      <c r="G210" s="4">
        <v>18474.25</v>
      </c>
      <c r="H210" s="4">
        <v>13788.5</v>
      </c>
      <c r="I210" s="4">
        <v>23539.65</v>
      </c>
      <c r="J210" s="4">
        <v>15589</v>
      </c>
      <c r="K210" s="4">
        <v>14333.75</v>
      </c>
      <c r="L210" s="4">
        <v>21730</v>
      </c>
      <c r="M210" s="4">
        <v>24256.25</v>
      </c>
      <c r="N210" s="4">
        <f>SUM(Table1[[#This Row],[2025]:[2018]])</f>
        <v>161425.14000000001</v>
      </c>
      <c r="O210" s="2">
        <f>Table1[[#This Row],[ttl]]/SUM(Table1[ttl])</f>
        <v>3.2550233083172928E-4</v>
      </c>
      <c r="P210" s="3">
        <f>SUM($O$2:Table1[[#This Row],[pctAllTimeExp]])</f>
        <v>0.94137826857480322</v>
      </c>
      <c r="Q210" t="b">
        <f>Table1[[#This Row],[cumPctAllTimeExp]]&lt;0.95</f>
        <v>1</v>
      </c>
    </row>
    <row r="211" spans="1:17" x14ac:dyDescent="0.25">
      <c r="A211">
        <v>120</v>
      </c>
      <c r="B211" t="s">
        <v>2528</v>
      </c>
      <c r="C211" t="s">
        <v>2528</v>
      </c>
      <c r="D211" t="s">
        <v>2728</v>
      </c>
      <c r="E211" t="s">
        <v>122</v>
      </c>
      <c r="F211" s="4">
        <v>36000</v>
      </c>
      <c r="G211" s="4">
        <v>36000</v>
      </c>
      <c r="H211" s="4">
        <v>36000</v>
      </c>
      <c r="I211" s="4">
        <v>36240</v>
      </c>
      <c r="J211" s="4">
        <v>16230</v>
      </c>
      <c r="K211" s="4">
        <v>0</v>
      </c>
      <c r="L211" s="4">
        <v>0</v>
      </c>
      <c r="M211" s="4">
        <v>0</v>
      </c>
      <c r="N211" s="4">
        <f>SUM(Table1[[#This Row],[2025]:[2018]])</f>
        <v>160470</v>
      </c>
      <c r="O211" s="2">
        <f>Table1[[#This Row],[ttl]]/SUM(Table1[ttl])</f>
        <v>3.2357635885319716E-4</v>
      </c>
      <c r="P211" s="3">
        <f>SUM($O$2:Table1[[#This Row],[pctAllTimeExp]])</f>
        <v>0.94170184493365638</v>
      </c>
      <c r="Q211" t="b">
        <f>Table1[[#This Row],[cumPctAllTimeExp]]&lt;0.95</f>
        <v>1</v>
      </c>
    </row>
    <row r="212" spans="1:17" x14ac:dyDescent="0.25">
      <c r="A212">
        <v>1293</v>
      </c>
      <c r="B212" t="s">
        <v>2552</v>
      </c>
      <c r="C212" t="s">
        <v>2552</v>
      </c>
      <c r="D212" t="s">
        <v>2729</v>
      </c>
      <c r="E212" t="s">
        <v>1295</v>
      </c>
      <c r="F212" s="4">
        <v>0</v>
      </c>
      <c r="G212" s="4">
        <v>0</v>
      </c>
      <c r="H212" s="4">
        <v>0</v>
      </c>
      <c r="I212" s="4">
        <v>788</v>
      </c>
      <c r="J212" s="4">
        <v>43438</v>
      </c>
      <c r="K212" s="4">
        <v>23751</v>
      </c>
      <c r="L212" s="4">
        <v>84901</v>
      </c>
      <c r="M212" s="4">
        <v>7195</v>
      </c>
      <c r="N212" s="4">
        <f>SUM(Table1[[#This Row],[2025]:[2018]])</f>
        <v>160073</v>
      </c>
      <c r="O212" s="2">
        <f>Table1[[#This Row],[ttl]]/SUM(Table1[ttl])</f>
        <v>3.2277583654706694E-4</v>
      </c>
      <c r="P212" s="3">
        <f>SUM($O$2:Table1[[#This Row],[pctAllTimeExp]])</f>
        <v>0.94202462077020344</v>
      </c>
      <c r="Q212" t="b">
        <f>Table1[[#This Row],[cumPctAllTimeExp]]&lt;0.95</f>
        <v>1</v>
      </c>
    </row>
    <row r="213" spans="1:17" x14ac:dyDescent="0.25">
      <c r="A213">
        <v>140</v>
      </c>
      <c r="B213" t="s">
        <v>2552</v>
      </c>
      <c r="C213" t="s">
        <v>2552</v>
      </c>
      <c r="D213" t="s">
        <v>2730</v>
      </c>
      <c r="E213" t="s">
        <v>142</v>
      </c>
      <c r="F213" s="4">
        <v>25800</v>
      </c>
      <c r="G213" s="4">
        <v>12200</v>
      </c>
      <c r="H213" s="4">
        <v>38500</v>
      </c>
      <c r="I213" s="4">
        <v>32500</v>
      </c>
      <c r="J213" s="4">
        <v>4990</v>
      </c>
      <c r="K213" s="4">
        <v>11200</v>
      </c>
      <c r="L213" s="4">
        <v>8850</v>
      </c>
      <c r="M213" s="4">
        <v>22800</v>
      </c>
      <c r="N213" s="4">
        <f>SUM(Table1[[#This Row],[2025]:[2018]])</f>
        <v>156840</v>
      </c>
      <c r="O213" s="2">
        <f>Table1[[#This Row],[ttl]]/SUM(Table1[ttl])</f>
        <v>3.162567216460114E-4</v>
      </c>
      <c r="P213" s="3">
        <f>SUM($O$2:Table1[[#This Row],[pctAllTimeExp]])</f>
        <v>0.94234087749184947</v>
      </c>
      <c r="Q213" t="b">
        <f>Table1[[#This Row],[cumPctAllTimeExp]]&lt;0.95</f>
        <v>1</v>
      </c>
    </row>
    <row r="214" spans="1:17" x14ac:dyDescent="0.25">
      <c r="A214">
        <v>522</v>
      </c>
      <c r="B214" t="s">
        <v>2543</v>
      </c>
      <c r="C214" t="s">
        <v>2543</v>
      </c>
      <c r="D214" t="s">
        <v>2731</v>
      </c>
      <c r="E214" t="s">
        <v>524</v>
      </c>
      <c r="F214" s="4">
        <v>620.79999999999995</v>
      </c>
      <c r="G214" s="4">
        <v>150657.65</v>
      </c>
      <c r="H214" s="4">
        <v>562.97</v>
      </c>
      <c r="I214" s="4">
        <v>556.87</v>
      </c>
      <c r="J214" s="4">
        <v>557.17999999999995</v>
      </c>
      <c r="K214" s="4">
        <v>476.84</v>
      </c>
      <c r="L214" s="4">
        <v>572.59</v>
      </c>
      <c r="M214" s="4">
        <v>450.28</v>
      </c>
      <c r="N214" s="4">
        <f>SUM(Table1[[#This Row],[2025]:[2018]])</f>
        <v>154455.17999999996</v>
      </c>
      <c r="O214" s="2">
        <f>Table1[[#This Row],[ttl]]/SUM(Table1[ttl])</f>
        <v>3.114479014794987E-4</v>
      </c>
      <c r="P214" s="3">
        <f>SUM($O$2:Table1[[#This Row],[pctAllTimeExp]])</f>
        <v>0.94265232539332899</v>
      </c>
      <c r="Q214" t="b">
        <f>Table1[[#This Row],[cumPctAllTimeExp]]&lt;0.95</f>
        <v>1</v>
      </c>
    </row>
    <row r="215" spans="1:17" x14ac:dyDescent="0.25">
      <c r="A215">
        <v>88</v>
      </c>
      <c r="B215" t="s">
        <v>2562</v>
      </c>
      <c r="C215" t="s">
        <v>2528</v>
      </c>
      <c r="D215" t="s">
        <v>2732</v>
      </c>
      <c r="E215" t="s">
        <v>90</v>
      </c>
      <c r="F215" s="4">
        <v>58574.65</v>
      </c>
      <c r="G215" s="4">
        <v>16081</v>
      </c>
      <c r="H215" s="4">
        <v>28569.34</v>
      </c>
      <c r="I215" s="4">
        <v>15745.65</v>
      </c>
      <c r="J215" s="4">
        <v>19607</v>
      </c>
      <c r="K215" s="4">
        <v>7860</v>
      </c>
      <c r="L215" s="4">
        <v>5916</v>
      </c>
      <c r="M215" s="4">
        <v>0</v>
      </c>
      <c r="N215" s="4">
        <f>SUM(Table1[[#This Row],[2025]:[2018]])</f>
        <v>152353.63999999998</v>
      </c>
      <c r="O215" s="2">
        <f>Table1[[#This Row],[ttl]]/SUM(Table1[ttl])</f>
        <v>3.0721029531520418E-4</v>
      </c>
      <c r="P215" s="3">
        <f>SUM($O$2:Table1[[#This Row],[pctAllTimeExp]])</f>
        <v>0.94295953568864421</v>
      </c>
      <c r="Q215" t="b">
        <f>Table1[[#This Row],[cumPctAllTimeExp]]&lt;0.95</f>
        <v>1</v>
      </c>
    </row>
    <row r="216" spans="1:17" x14ac:dyDescent="0.25">
      <c r="A216">
        <v>698</v>
      </c>
      <c r="B216" t="s">
        <v>2552</v>
      </c>
      <c r="C216" t="s">
        <v>2509</v>
      </c>
      <c r="D216" t="s">
        <v>2733</v>
      </c>
      <c r="E216" t="s">
        <v>700</v>
      </c>
      <c r="F216" s="4">
        <v>0</v>
      </c>
      <c r="G216" s="4">
        <v>152270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f>SUM(Table1[[#This Row],[2025]:[2018]])</f>
        <v>152270</v>
      </c>
      <c r="O216" s="2">
        <f>Table1[[#This Row],[ttl]]/SUM(Table1[ttl])</f>
        <v>3.0704164119509152E-4</v>
      </c>
      <c r="P216" s="3">
        <f>SUM($O$2:Table1[[#This Row],[pctAllTimeExp]])</f>
        <v>0.94326657732983932</v>
      </c>
      <c r="Q216" t="b">
        <f>Table1[[#This Row],[cumPctAllTimeExp]]&lt;0.95</f>
        <v>1</v>
      </c>
    </row>
    <row r="217" spans="1:17" x14ac:dyDescent="0.25">
      <c r="A217">
        <v>268</v>
      </c>
      <c r="B217" t="s">
        <v>2562</v>
      </c>
      <c r="C217" t="s">
        <v>2766</v>
      </c>
      <c r="D217" t="s">
        <v>2734</v>
      </c>
      <c r="E217" t="s">
        <v>270</v>
      </c>
      <c r="F217" s="4">
        <v>6777.97</v>
      </c>
      <c r="G217" s="4">
        <v>6303.64</v>
      </c>
      <c r="H217" s="4">
        <v>6370.16</v>
      </c>
      <c r="I217" s="4">
        <v>132240.70000000001</v>
      </c>
      <c r="J217" s="4">
        <v>0</v>
      </c>
      <c r="K217" s="4">
        <v>0</v>
      </c>
      <c r="L217" s="4">
        <v>0</v>
      </c>
      <c r="M217" s="4">
        <v>0</v>
      </c>
      <c r="N217" s="4">
        <f>SUM(Table1[[#This Row],[2025]:[2018]])</f>
        <v>151692.47</v>
      </c>
      <c r="O217" s="2">
        <f>Table1[[#This Row],[ttl]]/SUM(Table1[ttl])</f>
        <v>3.0587709296471522E-4</v>
      </c>
      <c r="P217" s="3">
        <f>SUM($O$2:Table1[[#This Row],[pctAllTimeExp]])</f>
        <v>0.94357245442280402</v>
      </c>
      <c r="Q217" t="b">
        <f>Table1[[#This Row],[cumPctAllTimeExp]]&lt;0.95</f>
        <v>1</v>
      </c>
    </row>
    <row r="218" spans="1:17" x14ac:dyDescent="0.25">
      <c r="A218">
        <v>1002</v>
      </c>
      <c r="B218" t="s">
        <v>2552</v>
      </c>
      <c r="C218" t="s">
        <v>2509</v>
      </c>
      <c r="D218" t="s">
        <v>2735</v>
      </c>
      <c r="E218" t="s">
        <v>1004</v>
      </c>
      <c r="F218" s="4">
        <v>0</v>
      </c>
      <c r="G218" s="4">
        <v>0</v>
      </c>
      <c r="H218" s="4">
        <v>13096</v>
      </c>
      <c r="I218" s="4">
        <v>0</v>
      </c>
      <c r="J218" s="4">
        <v>53788.3</v>
      </c>
      <c r="K218" s="4">
        <v>13865.7</v>
      </c>
      <c r="L218" s="4">
        <v>70668</v>
      </c>
      <c r="M218" s="4">
        <v>0</v>
      </c>
      <c r="N218" s="4">
        <f>SUM(Table1[[#This Row],[2025]:[2018]])</f>
        <v>151418</v>
      </c>
      <c r="O218" s="2">
        <f>Table1[[#This Row],[ttl]]/SUM(Table1[ttl])</f>
        <v>3.053236437018347E-4</v>
      </c>
      <c r="P218" s="3">
        <f>SUM($O$2:Table1[[#This Row],[pctAllTimeExp]])</f>
        <v>0.94387777806650586</v>
      </c>
      <c r="Q218" t="b">
        <f>Table1[[#This Row],[cumPctAllTimeExp]]&lt;0.95</f>
        <v>1</v>
      </c>
    </row>
    <row r="219" spans="1:17" x14ac:dyDescent="0.25">
      <c r="A219">
        <v>152</v>
      </c>
      <c r="B219" t="s">
        <v>2548</v>
      </c>
      <c r="C219" t="s">
        <v>2768</v>
      </c>
      <c r="D219" t="s">
        <v>2736</v>
      </c>
      <c r="E219" t="s">
        <v>154</v>
      </c>
      <c r="F219" s="4">
        <v>23380.42</v>
      </c>
      <c r="G219" s="4">
        <v>8048.3</v>
      </c>
      <c r="H219" s="4">
        <v>22828.880000000001</v>
      </c>
      <c r="I219" s="4">
        <v>20403.189999999999</v>
      </c>
      <c r="J219" s="4">
        <v>21917.95</v>
      </c>
      <c r="K219" s="4">
        <v>42048.52</v>
      </c>
      <c r="L219" s="4">
        <v>10834.05</v>
      </c>
      <c r="M219" s="4">
        <v>0</v>
      </c>
      <c r="N219" s="4">
        <f>SUM(Table1[[#This Row],[2025]:[2018]])</f>
        <v>149461.30999999997</v>
      </c>
      <c r="O219" s="2">
        <f>Table1[[#This Row],[ttl]]/SUM(Table1[ttl])</f>
        <v>3.0137811727568356E-4</v>
      </c>
      <c r="P219" s="3">
        <f>SUM($O$2:Table1[[#This Row],[pctAllTimeExp]])</f>
        <v>0.94417915618378156</v>
      </c>
      <c r="Q219" t="b">
        <f>Table1[[#This Row],[cumPctAllTimeExp]]&lt;0.95</f>
        <v>1</v>
      </c>
    </row>
    <row r="220" spans="1:17" x14ac:dyDescent="0.25">
      <c r="A220">
        <v>145</v>
      </c>
      <c r="B220" t="s">
        <v>2548</v>
      </c>
      <c r="C220" t="s">
        <v>2764</v>
      </c>
      <c r="D220" t="s">
        <v>2737</v>
      </c>
      <c r="E220" t="s">
        <v>147</v>
      </c>
      <c r="F220" s="4">
        <v>24593.25</v>
      </c>
      <c r="G220" s="4">
        <v>21524.93</v>
      </c>
      <c r="H220" s="4">
        <v>22385.11</v>
      </c>
      <c r="I220" s="4">
        <v>25347.41</v>
      </c>
      <c r="J220" s="4">
        <v>11266.51</v>
      </c>
      <c r="K220" s="4">
        <v>14355.74</v>
      </c>
      <c r="L220" s="4">
        <v>15038.44</v>
      </c>
      <c r="M220" s="4">
        <v>14697.44</v>
      </c>
      <c r="N220" s="4">
        <f>SUM(Table1[[#This Row],[2025]:[2018]])</f>
        <v>149208.83000000002</v>
      </c>
      <c r="O220" s="2">
        <f>Table1[[#This Row],[ttl]]/SUM(Table1[ttl])</f>
        <v>3.0086900928613262E-4</v>
      </c>
      <c r="P220" s="3">
        <f>SUM($O$2:Table1[[#This Row],[pctAllTimeExp]])</f>
        <v>0.94448002519306773</v>
      </c>
      <c r="Q220" t="b">
        <f>Table1[[#This Row],[cumPctAllTimeExp]]&lt;0.95</f>
        <v>1</v>
      </c>
    </row>
    <row r="221" spans="1:17" x14ac:dyDescent="0.25">
      <c r="A221">
        <v>960</v>
      </c>
      <c r="B221" t="s">
        <v>2562</v>
      </c>
      <c r="C221" t="s">
        <v>2509</v>
      </c>
      <c r="D221" t="s">
        <v>2738</v>
      </c>
      <c r="E221" t="s">
        <v>962</v>
      </c>
      <c r="F221" s="4">
        <v>0</v>
      </c>
      <c r="G221" s="4">
        <v>0</v>
      </c>
      <c r="H221" s="4">
        <v>146348.4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f>SUM(Table1[[#This Row],[2025]:[2018]])</f>
        <v>146348.4</v>
      </c>
      <c r="O221" s="2">
        <f>Table1[[#This Row],[ttl]]/SUM(Table1[ttl])</f>
        <v>2.9510115533115997E-4</v>
      </c>
      <c r="P221" s="3">
        <f>SUM($O$2:Table1[[#This Row],[pctAllTimeExp]])</f>
        <v>0.94477512634839889</v>
      </c>
      <c r="Q221" t="b">
        <f>Table1[[#This Row],[cumPctAllTimeExp]]&lt;0.95</f>
        <v>1</v>
      </c>
    </row>
    <row r="222" spans="1:17" x14ac:dyDescent="0.25">
      <c r="A222">
        <v>553</v>
      </c>
      <c r="B222" t="s">
        <v>2552</v>
      </c>
      <c r="C222" t="s">
        <v>2552</v>
      </c>
      <c r="D222" t="s">
        <v>2739</v>
      </c>
      <c r="E222" t="s">
        <v>555</v>
      </c>
      <c r="F222" s="4">
        <v>500</v>
      </c>
      <c r="G222" s="4">
        <v>3250</v>
      </c>
      <c r="H222" s="4">
        <v>64653</v>
      </c>
      <c r="I222" s="4">
        <v>67345</v>
      </c>
      <c r="J222" s="4">
        <v>10190</v>
      </c>
      <c r="K222" s="4">
        <v>0</v>
      </c>
      <c r="L222" s="4">
        <v>0</v>
      </c>
      <c r="M222" s="4">
        <v>0</v>
      </c>
      <c r="N222" s="4">
        <f>SUM(Table1[[#This Row],[2025]:[2018]])</f>
        <v>145938</v>
      </c>
      <c r="O222" s="2">
        <f>Table1[[#This Row],[ttl]]/SUM(Table1[ttl])</f>
        <v>2.9427361287666165E-4</v>
      </c>
      <c r="P222" s="3">
        <f>SUM($O$2:Table1[[#This Row],[pctAllTimeExp]])</f>
        <v>0.94506939996127559</v>
      </c>
      <c r="Q222" t="b">
        <f>Table1[[#This Row],[cumPctAllTimeExp]]&lt;0.95</f>
        <v>1</v>
      </c>
    </row>
    <row r="223" spans="1:17" x14ac:dyDescent="0.25">
      <c r="A223">
        <v>142</v>
      </c>
      <c r="B223" t="s">
        <v>2552</v>
      </c>
      <c r="C223" t="s">
        <v>2552</v>
      </c>
      <c r="D223" t="s">
        <v>2740</v>
      </c>
      <c r="E223" t="s">
        <v>144</v>
      </c>
      <c r="F223" s="4">
        <v>25349</v>
      </c>
      <c r="G223" s="4">
        <v>23850</v>
      </c>
      <c r="H223" s="4">
        <v>6687</v>
      </c>
      <c r="I223" s="4">
        <v>37582</v>
      </c>
      <c r="J223" s="4">
        <v>0</v>
      </c>
      <c r="K223" s="4">
        <v>0</v>
      </c>
      <c r="L223" s="4">
        <v>36182</v>
      </c>
      <c r="M223" s="4">
        <v>15900</v>
      </c>
      <c r="N223" s="4">
        <f>SUM(Table1[[#This Row],[2025]:[2018]])</f>
        <v>145550</v>
      </c>
      <c r="O223" s="2">
        <f>Table1[[#This Row],[ttl]]/SUM(Table1[ttl])</f>
        <v>2.9349123843137566E-4</v>
      </c>
      <c r="P223" s="3">
        <f>SUM($O$2:Table1[[#This Row],[pctAllTimeExp]])</f>
        <v>0.94536289119970696</v>
      </c>
      <c r="Q223" t="b">
        <f>Table1[[#This Row],[cumPctAllTimeExp]]&lt;0.95</f>
        <v>1</v>
      </c>
    </row>
    <row r="224" spans="1:17" x14ac:dyDescent="0.25">
      <c r="A224">
        <v>738</v>
      </c>
      <c r="B224" t="s">
        <v>2528</v>
      </c>
      <c r="C224" t="s">
        <v>2530</v>
      </c>
      <c r="D224" t="s">
        <v>2741</v>
      </c>
      <c r="E224" t="s">
        <v>740</v>
      </c>
      <c r="F224" s="4">
        <v>0</v>
      </c>
      <c r="G224" s="4">
        <v>11481</v>
      </c>
      <c r="H224" s="4">
        <v>15457.5</v>
      </c>
      <c r="I224" s="4">
        <v>9361.75</v>
      </c>
      <c r="J224" s="4">
        <v>42443</v>
      </c>
      <c r="K224" s="4">
        <v>5740</v>
      </c>
      <c r="L224" s="4">
        <v>11594</v>
      </c>
      <c r="M224" s="4">
        <v>48691.25</v>
      </c>
      <c r="N224" s="4">
        <f>SUM(Table1[[#This Row],[2025]:[2018]])</f>
        <v>144768.5</v>
      </c>
      <c r="O224" s="2">
        <f>Table1[[#This Row],[ttl]]/SUM(Table1[ttl])</f>
        <v>2.9191539918139889E-4</v>
      </c>
      <c r="P224" s="3">
        <f>SUM($O$2:Table1[[#This Row],[pctAllTimeExp]])</f>
        <v>0.94565480659888834</v>
      </c>
      <c r="Q224" t="b">
        <f>Table1[[#This Row],[cumPctAllTimeExp]]&lt;0.95</f>
        <v>1</v>
      </c>
    </row>
    <row r="225" spans="1:17" x14ac:dyDescent="0.25">
      <c r="A225">
        <v>719</v>
      </c>
      <c r="B225" t="s">
        <v>2530</v>
      </c>
      <c r="C225" t="s">
        <v>2530</v>
      </c>
      <c r="D225" t="s">
        <v>2742</v>
      </c>
      <c r="E225" t="s">
        <v>721</v>
      </c>
      <c r="F225" s="4">
        <v>0</v>
      </c>
      <c r="G225" s="4">
        <v>23653.79</v>
      </c>
      <c r="H225" s="4">
        <v>40917.129999999997</v>
      </c>
      <c r="I225" s="4">
        <v>0</v>
      </c>
      <c r="J225" s="4">
        <v>78929.429999999993</v>
      </c>
      <c r="K225" s="4">
        <v>0</v>
      </c>
      <c r="L225" s="4">
        <v>0</v>
      </c>
      <c r="M225" s="4">
        <v>0</v>
      </c>
      <c r="N225" s="4">
        <f>SUM(Table1[[#This Row],[2025]:[2018]])</f>
        <v>143500.34999999998</v>
      </c>
      <c r="O225" s="2">
        <f>Table1[[#This Row],[ttl]]/SUM(Table1[ttl])</f>
        <v>2.8935826476699314E-4</v>
      </c>
      <c r="P225" s="3">
        <f>SUM($O$2:Table1[[#This Row],[pctAllTimeExp]])</f>
        <v>0.94594416486365529</v>
      </c>
      <c r="Q225" t="b">
        <f>Table1[[#This Row],[cumPctAllTimeExp]]&lt;0.95</f>
        <v>1</v>
      </c>
    </row>
    <row r="226" spans="1:17" x14ac:dyDescent="0.25">
      <c r="A226">
        <v>1969</v>
      </c>
      <c r="B226" t="s">
        <v>2548</v>
      </c>
      <c r="C226" t="s">
        <v>2768</v>
      </c>
      <c r="D226" t="s">
        <v>2743</v>
      </c>
      <c r="E226" t="s">
        <v>1971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143488.57999999999</v>
      </c>
      <c r="M226" s="4">
        <v>0</v>
      </c>
      <c r="N226" s="4">
        <f>SUM(Table1[[#This Row],[2025]:[2018]])</f>
        <v>143488.57999999999</v>
      </c>
      <c r="O226" s="2">
        <f>Table1[[#This Row],[ttl]]/SUM(Table1[ttl])</f>
        <v>2.8933453139786682E-4</v>
      </c>
      <c r="P226" s="3">
        <f>SUM($O$2:Table1[[#This Row],[pctAllTimeExp]])</f>
        <v>0.94623349939505319</v>
      </c>
      <c r="Q226" t="b">
        <f>Table1[[#This Row],[cumPctAllTimeExp]]&lt;0.95</f>
        <v>1</v>
      </c>
    </row>
    <row r="227" spans="1:17" x14ac:dyDescent="0.25">
      <c r="A227">
        <v>205</v>
      </c>
      <c r="B227" t="s">
        <v>2548</v>
      </c>
      <c r="C227" t="s">
        <v>2509</v>
      </c>
      <c r="D227" t="s">
        <v>2744</v>
      </c>
      <c r="E227" t="s">
        <v>207</v>
      </c>
      <c r="F227" s="4">
        <v>13735</v>
      </c>
      <c r="G227" s="4">
        <v>7623</v>
      </c>
      <c r="H227" s="4">
        <v>7623</v>
      </c>
      <c r="I227" s="4">
        <v>55966.5</v>
      </c>
      <c r="J227" s="4">
        <v>4652</v>
      </c>
      <c r="K227" s="4">
        <v>0</v>
      </c>
      <c r="L227" s="4">
        <v>50761</v>
      </c>
      <c r="M227" s="4">
        <v>2363.9</v>
      </c>
      <c r="N227" s="4">
        <f>SUM(Table1[[#This Row],[2025]:[2018]])</f>
        <v>142724.4</v>
      </c>
      <c r="O227" s="2">
        <f>Table1[[#This Row],[ttl]]/SUM(Table1[ttl])</f>
        <v>2.8779361669787034E-4</v>
      </c>
      <c r="P227" s="3">
        <f>SUM($O$2:Table1[[#This Row],[pctAllTimeExp]])</f>
        <v>0.94652129301175103</v>
      </c>
      <c r="Q227" t="b">
        <f>Table1[[#This Row],[cumPctAllTimeExp]]&lt;0.95</f>
        <v>1</v>
      </c>
    </row>
    <row r="228" spans="1:17" x14ac:dyDescent="0.25">
      <c r="A228">
        <v>1053</v>
      </c>
      <c r="B228" t="s">
        <v>2548</v>
      </c>
      <c r="C228" t="s">
        <v>2509</v>
      </c>
      <c r="D228" t="s">
        <v>2745</v>
      </c>
      <c r="E228" t="s">
        <v>1055</v>
      </c>
      <c r="F228" s="4">
        <v>0</v>
      </c>
      <c r="G228" s="4">
        <v>0</v>
      </c>
      <c r="H228" s="4">
        <v>2950</v>
      </c>
      <c r="I228" s="4">
        <v>28979</v>
      </c>
      <c r="J228" s="4">
        <v>18932</v>
      </c>
      <c r="K228" s="4">
        <v>0</v>
      </c>
      <c r="L228" s="4">
        <v>0</v>
      </c>
      <c r="M228" s="4">
        <v>90538.6</v>
      </c>
      <c r="N228" s="4">
        <f>SUM(Table1[[#This Row],[2025]:[2018]])</f>
        <v>141399.6</v>
      </c>
      <c r="O228" s="2">
        <f>Table1[[#This Row],[ttl]]/SUM(Table1[ttl])</f>
        <v>2.8512225158159498E-4</v>
      </c>
      <c r="P228" s="3">
        <f>SUM($O$2:Table1[[#This Row],[pctAllTimeExp]])</f>
        <v>0.94680641526333265</v>
      </c>
      <c r="Q228" t="b">
        <f>Table1[[#This Row],[cumPctAllTimeExp]]&lt;0.95</f>
        <v>1</v>
      </c>
    </row>
    <row r="229" spans="1:17" x14ac:dyDescent="0.25">
      <c r="A229">
        <v>183</v>
      </c>
      <c r="B229" t="s">
        <v>2548</v>
      </c>
      <c r="C229" t="s">
        <v>2509</v>
      </c>
      <c r="D229" t="s">
        <v>2746</v>
      </c>
      <c r="E229" t="s">
        <v>185</v>
      </c>
      <c r="F229" s="4">
        <v>17273</v>
      </c>
      <c r="G229" s="4">
        <v>40298.550000000003</v>
      </c>
      <c r="H229" s="4">
        <v>38293.199999999997</v>
      </c>
      <c r="I229" s="4">
        <v>16770.900000000001</v>
      </c>
      <c r="J229" s="4">
        <v>13227.92</v>
      </c>
      <c r="K229" s="4">
        <v>6311.35</v>
      </c>
      <c r="L229" s="4">
        <v>5133</v>
      </c>
      <c r="M229" s="4">
        <v>2301</v>
      </c>
      <c r="N229" s="4">
        <f>SUM(Table1[[#This Row],[2025]:[2018]])</f>
        <v>139608.91999999998</v>
      </c>
      <c r="O229" s="2">
        <f>Table1[[#This Row],[ttl]]/SUM(Table1[ttl])</f>
        <v>2.815114725308612E-4</v>
      </c>
      <c r="P229" s="3">
        <f>SUM($O$2:Table1[[#This Row],[pctAllTimeExp]])</f>
        <v>0.94708792673586351</v>
      </c>
      <c r="Q229" t="b">
        <f>Table1[[#This Row],[cumPctAllTimeExp]]&lt;0.95</f>
        <v>1</v>
      </c>
    </row>
    <row r="230" spans="1:17" x14ac:dyDescent="0.25">
      <c r="A230">
        <v>153</v>
      </c>
      <c r="B230" t="s">
        <v>2528</v>
      </c>
      <c r="C230" t="s">
        <v>2767</v>
      </c>
      <c r="D230" t="s">
        <v>2747</v>
      </c>
      <c r="E230" t="s">
        <v>155</v>
      </c>
      <c r="F230" s="4">
        <v>23300</v>
      </c>
      <c r="G230" s="4">
        <v>0</v>
      </c>
      <c r="H230" s="4">
        <v>55850</v>
      </c>
      <c r="I230" s="4">
        <v>10000</v>
      </c>
      <c r="J230" s="4">
        <v>25000</v>
      </c>
      <c r="K230" s="4">
        <v>25000</v>
      </c>
      <c r="L230" s="4">
        <v>0</v>
      </c>
      <c r="M230" s="4">
        <v>0</v>
      </c>
      <c r="N230" s="4">
        <f>SUM(Table1[[#This Row],[2025]:[2018]])</f>
        <v>139150</v>
      </c>
      <c r="O230" s="2">
        <f>Table1[[#This Row],[ttl]]/SUM(Table1[ttl])</f>
        <v>2.8058609294212246E-4</v>
      </c>
      <c r="P230" s="3">
        <f>SUM($O$2:Table1[[#This Row],[pctAllTimeExp]])</f>
        <v>0.94736851282880563</v>
      </c>
      <c r="Q230" t="b">
        <f>Table1[[#This Row],[cumPctAllTimeExp]]&lt;0.95</f>
        <v>1</v>
      </c>
    </row>
    <row r="231" spans="1:17" x14ac:dyDescent="0.25">
      <c r="A231">
        <v>494</v>
      </c>
      <c r="B231" t="s">
        <v>2562</v>
      </c>
      <c r="C231" t="s">
        <v>2509</v>
      </c>
      <c r="D231" t="s">
        <v>2748</v>
      </c>
      <c r="E231" t="s">
        <v>496</v>
      </c>
      <c r="F231" s="4">
        <v>840</v>
      </c>
      <c r="G231" s="4">
        <v>18537</v>
      </c>
      <c r="H231" s="4">
        <v>0</v>
      </c>
      <c r="I231" s="4">
        <v>93502</v>
      </c>
      <c r="J231" s="4">
        <v>17089.8</v>
      </c>
      <c r="K231" s="4">
        <v>0</v>
      </c>
      <c r="L231" s="4">
        <v>9061.7999999999993</v>
      </c>
      <c r="M231" s="4">
        <v>0</v>
      </c>
      <c r="N231" s="4">
        <f>SUM(Table1[[#This Row],[2025]:[2018]])</f>
        <v>139030.6</v>
      </c>
      <c r="O231" s="2">
        <f>Table1[[#This Row],[ttl]]/SUM(Table1[ttl])</f>
        <v>2.8034533132158859E-4</v>
      </c>
      <c r="P231" s="3">
        <f>SUM($O$2:Table1[[#This Row],[pctAllTimeExp]])</f>
        <v>0.94764885816012723</v>
      </c>
      <c r="Q231" t="b">
        <f>Table1[[#This Row],[cumPctAllTimeExp]]&lt;0.95</f>
        <v>1</v>
      </c>
    </row>
    <row r="232" spans="1:17" x14ac:dyDescent="0.25">
      <c r="A232">
        <v>111</v>
      </c>
      <c r="B232" t="s">
        <v>2528</v>
      </c>
      <c r="C232" t="s">
        <v>2528</v>
      </c>
      <c r="D232" t="s">
        <v>2749</v>
      </c>
      <c r="E232" t="s">
        <v>113</v>
      </c>
      <c r="F232" s="4">
        <v>40000</v>
      </c>
      <c r="G232" s="4">
        <v>40000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58000</v>
      </c>
      <c r="N232" s="4">
        <f>SUM(Table1[[#This Row],[2025]:[2018]])</f>
        <v>138000</v>
      </c>
      <c r="O232" s="2">
        <f>Table1[[#This Row],[ttl]]/SUM(Table1[ttl])</f>
        <v>2.7826719961202223E-4</v>
      </c>
      <c r="P232" s="3">
        <f>SUM($O$2:Table1[[#This Row],[pctAllTimeExp]])</f>
        <v>0.94792712535973922</v>
      </c>
      <c r="Q232" t="b">
        <f>Table1[[#This Row],[cumPctAllTimeExp]]&lt;0.95</f>
        <v>1</v>
      </c>
    </row>
    <row r="233" spans="1:17" x14ac:dyDescent="0.25">
      <c r="A233">
        <v>1654</v>
      </c>
      <c r="B233" t="s">
        <v>2518</v>
      </c>
      <c r="C233" t="s">
        <v>2509</v>
      </c>
      <c r="D233" t="s">
        <v>2750</v>
      </c>
      <c r="E233" t="s">
        <v>1656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102367</v>
      </c>
      <c r="L233" s="4">
        <v>35177</v>
      </c>
      <c r="M233" s="4">
        <v>0</v>
      </c>
      <c r="N233" s="4">
        <f>SUM(Table1[[#This Row],[2025]:[2018]])</f>
        <v>137544</v>
      </c>
      <c r="O233" s="2">
        <f>Table1[[#This Row],[ttl]]/SUM(Table1[ttl])</f>
        <v>2.7734770799591298E-4</v>
      </c>
      <c r="P233" s="3">
        <f>SUM($O$2:Table1[[#This Row],[pctAllTimeExp]])</f>
        <v>0.94820447306773514</v>
      </c>
      <c r="Q233" t="b">
        <f>Table1[[#This Row],[cumPctAllTimeExp]]&lt;0.95</f>
        <v>1</v>
      </c>
    </row>
    <row r="234" spans="1:17" x14ac:dyDescent="0.25">
      <c r="A234">
        <v>756</v>
      </c>
      <c r="B234" t="s">
        <v>2562</v>
      </c>
      <c r="C234" t="s">
        <v>2764</v>
      </c>
      <c r="D234" t="s">
        <v>2751</v>
      </c>
      <c r="E234" t="s">
        <v>758</v>
      </c>
      <c r="F234" s="4">
        <v>0</v>
      </c>
      <c r="G234" s="4">
        <v>7521.44</v>
      </c>
      <c r="H234" s="4">
        <v>9033.24</v>
      </c>
      <c r="I234" s="4">
        <v>6681.65</v>
      </c>
      <c r="J234" s="4">
        <v>6672.38</v>
      </c>
      <c r="K234" s="4">
        <v>32513.84</v>
      </c>
      <c r="L234" s="4">
        <v>37721.78</v>
      </c>
      <c r="M234" s="4">
        <v>35606.58</v>
      </c>
      <c r="N234" s="4">
        <f>SUM(Table1[[#This Row],[2025]:[2018]])</f>
        <v>135750.91</v>
      </c>
      <c r="O234" s="2">
        <f>Table1[[#This Row],[ttl]]/SUM(Table1[ttl])</f>
        <v>2.7373206935133094E-4</v>
      </c>
      <c r="P234" s="3">
        <f>SUM($O$2:Table1[[#This Row],[pctAllTimeExp]])</f>
        <v>0.94847820513708647</v>
      </c>
      <c r="Q234" t="b">
        <f>Table1[[#This Row],[cumPctAllTimeExp]]&lt;0.95</f>
        <v>1</v>
      </c>
    </row>
    <row r="235" spans="1:17" x14ac:dyDescent="0.25">
      <c r="A235">
        <v>141</v>
      </c>
      <c r="B235" t="s">
        <v>2528</v>
      </c>
      <c r="C235" t="s">
        <v>2528</v>
      </c>
      <c r="D235" t="s">
        <v>2741</v>
      </c>
      <c r="E235" t="s">
        <v>143</v>
      </c>
      <c r="F235" s="4">
        <v>25404.799999999999</v>
      </c>
      <c r="G235" s="4">
        <v>10575</v>
      </c>
      <c r="H235" s="4">
        <v>32200.36</v>
      </c>
      <c r="I235" s="4">
        <v>9520</v>
      </c>
      <c r="J235" s="4">
        <v>0</v>
      </c>
      <c r="K235" s="4">
        <v>27606</v>
      </c>
      <c r="L235" s="4">
        <v>28933.31</v>
      </c>
      <c r="M235" s="4">
        <v>0</v>
      </c>
      <c r="N235" s="4">
        <f>SUM(Table1[[#This Row],[2025]:[2018]])</f>
        <v>134239.47</v>
      </c>
      <c r="O235" s="2">
        <f>Table1[[#This Row],[ttl]]/SUM(Table1[ttl])</f>
        <v>2.7068435792972518E-4</v>
      </c>
      <c r="P235" s="3">
        <f>SUM($O$2:Table1[[#This Row],[pctAllTimeExp]])</f>
        <v>0.94874888949501623</v>
      </c>
      <c r="Q235" t="b">
        <f>Table1[[#This Row],[cumPctAllTimeExp]]&lt;0.95</f>
        <v>1</v>
      </c>
    </row>
    <row r="236" spans="1:17" x14ac:dyDescent="0.25">
      <c r="A236">
        <v>201</v>
      </c>
      <c r="B236" t="s">
        <v>2565</v>
      </c>
      <c r="C236" t="s">
        <v>2565</v>
      </c>
      <c r="D236" t="s">
        <v>2752</v>
      </c>
      <c r="E236" t="s">
        <v>203</v>
      </c>
      <c r="F236" s="4">
        <v>14280</v>
      </c>
      <c r="G236" s="4">
        <v>71770</v>
      </c>
      <c r="H236" s="4">
        <v>1219</v>
      </c>
      <c r="I236" s="4">
        <v>1174.5</v>
      </c>
      <c r="J236" s="4">
        <v>2318.5</v>
      </c>
      <c r="K236" s="4">
        <v>5906</v>
      </c>
      <c r="L236" s="4">
        <v>28479</v>
      </c>
      <c r="M236" s="4">
        <v>7589</v>
      </c>
      <c r="N236" s="4">
        <f>SUM(Table1[[#This Row],[2025]:[2018]])</f>
        <v>132736</v>
      </c>
      <c r="O236" s="2">
        <f>Table1[[#This Row],[ttl]]/SUM(Table1[ttl])</f>
        <v>2.6765271744711149E-4</v>
      </c>
      <c r="P236" s="3">
        <f>SUM($O$2:Table1[[#This Row],[pctAllTimeExp]])</f>
        <v>0.94901654221246334</v>
      </c>
      <c r="Q236" t="b">
        <f>Table1[[#This Row],[cumPctAllTimeExp]]&lt;0.95</f>
        <v>1</v>
      </c>
    </row>
    <row r="237" spans="1:17" x14ac:dyDescent="0.25">
      <c r="A237">
        <v>335</v>
      </c>
      <c r="B237" t="s">
        <v>2548</v>
      </c>
      <c r="C237" t="s">
        <v>2552</v>
      </c>
      <c r="D237" t="s">
        <v>2753</v>
      </c>
      <c r="E237" t="s">
        <v>337</v>
      </c>
      <c r="F237" s="4">
        <v>3535.15</v>
      </c>
      <c r="G237" s="4">
        <v>46270.45</v>
      </c>
      <c r="H237" s="4">
        <v>21931.97</v>
      </c>
      <c r="I237" s="4">
        <v>10325.700000000001</v>
      </c>
      <c r="J237" s="4">
        <v>14576.35</v>
      </c>
      <c r="K237" s="4">
        <v>11623.43</v>
      </c>
      <c r="L237" s="4">
        <v>17429.990000000002</v>
      </c>
      <c r="M237" s="4">
        <v>6001.28</v>
      </c>
      <c r="N237" s="4">
        <f>SUM(Table1[[#This Row],[2025]:[2018]])</f>
        <v>131694.32000000004</v>
      </c>
      <c r="O237" s="2">
        <f>Table1[[#This Row],[ttl]]/SUM(Table1[ttl])</f>
        <v>2.6555224370441701E-4</v>
      </c>
      <c r="P237" s="3">
        <f>SUM($O$2:Table1[[#This Row],[pctAllTimeExp]])</f>
        <v>0.94928209445616774</v>
      </c>
      <c r="Q237" t="b">
        <f>Table1[[#This Row],[cumPctAllTimeExp]]&lt;0.95</f>
        <v>1</v>
      </c>
    </row>
    <row r="238" spans="1:17" x14ac:dyDescent="0.25">
      <c r="A238">
        <v>1428</v>
      </c>
      <c r="B238" t="s">
        <v>2518</v>
      </c>
      <c r="C238" t="s">
        <v>2509</v>
      </c>
      <c r="D238" t="s">
        <v>2754</v>
      </c>
      <c r="E238" t="s">
        <v>1430</v>
      </c>
      <c r="F238" s="4">
        <v>0</v>
      </c>
      <c r="G238" s="4">
        <v>0</v>
      </c>
      <c r="H238" s="4">
        <v>0</v>
      </c>
      <c r="I238" s="4">
        <v>0</v>
      </c>
      <c r="J238" s="4">
        <v>9395</v>
      </c>
      <c r="K238" s="4">
        <v>0</v>
      </c>
      <c r="L238" s="4">
        <v>119635</v>
      </c>
      <c r="M238" s="4">
        <v>2440</v>
      </c>
      <c r="N238" s="4">
        <f>SUM(Table1[[#This Row],[2025]:[2018]])</f>
        <v>131470</v>
      </c>
      <c r="O238" s="2">
        <f>Table1[[#This Row],[ttl]]/SUM(Table1[ttl])</f>
        <v>2.6509991835501858E-4</v>
      </c>
      <c r="P238" s="3">
        <f>SUM($O$2:Table1[[#This Row],[pctAllTimeExp]])</f>
        <v>0.94954719437452273</v>
      </c>
      <c r="Q238" t="b">
        <f>Table1[[#This Row],[cumPctAllTimeExp]]&lt;0.95</f>
        <v>1</v>
      </c>
    </row>
    <row r="239" spans="1:17" x14ac:dyDescent="0.25">
      <c r="A239">
        <v>718</v>
      </c>
      <c r="B239" t="s">
        <v>2530</v>
      </c>
      <c r="C239" t="s">
        <v>2530</v>
      </c>
      <c r="D239" t="s">
        <v>2755</v>
      </c>
      <c r="E239" t="s">
        <v>720</v>
      </c>
      <c r="F239" s="4">
        <v>0</v>
      </c>
      <c r="G239" s="4">
        <v>24080</v>
      </c>
      <c r="H239" s="4">
        <v>30200</v>
      </c>
      <c r="I239" s="4">
        <v>22899.7</v>
      </c>
      <c r="J239" s="4">
        <v>982.5</v>
      </c>
      <c r="K239" s="4">
        <v>0</v>
      </c>
      <c r="L239" s="4">
        <v>34300</v>
      </c>
      <c r="M239" s="4">
        <v>17450</v>
      </c>
      <c r="N239" s="4">
        <f>SUM(Table1[[#This Row],[2025]:[2018]])</f>
        <v>129912.2</v>
      </c>
      <c r="O239" s="2">
        <f>Table1[[#This Row],[ttl]]/SUM(Table1[ttl])</f>
        <v>2.6195872528577503E-4</v>
      </c>
      <c r="P239" s="3">
        <f>SUM($O$2:Table1[[#This Row],[pctAllTimeExp]])</f>
        <v>0.94980915309980851</v>
      </c>
      <c r="Q239" t="b">
        <f>Table1[[#This Row],[cumPctAllTimeExp]]&lt;0.95</f>
        <v>1</v>
      </c>
    </row>
    <row r="240" spans="1:17" x14ac:dyDescent="0.25">
      <c r="A240">
        <v>1205</v>
      </c>
      <c r="C240" t="s">
        <v>2508</v>
      </c>
      <c r="E240" t="s">
        <v>1207</v>
      </c>
      <c r="F240" s="4">
        <v>0</v>
      </c>
      <c r="G240" s="4">
        <v>0</v>
      </c>
      <c r="H240" s="4">
        <v>0</v>
      </c>
      <c r="I240" s="4">
        <v>28122.5</v>
      </c>
      <c r="J240" s="4">
        <v>69461.13</v>
      </c>
      <c r="K240" s="4">
        <v>0</v>
      </c>
      <c r="L240" s="4">
        <v>28883.58</v>
      </c>
      <c r="M240" s="4">
        <v>2976.12</v>
      </c>
      <c r="N240" s="4">
        <f>SUM(Table1[[#This Row],[2025]:[2018]])</f>
        <v>129443.33</v>
      </c>
      <c r="O240" s="2">
        <f>Table1[[#This Row],[ttl]]/SUM(Table1[ttl])</f>
        <v>2.6101328222865846E-4</v>
      </c>
      <c r="P240" s="3">
        <f>SUM($O$2:Table1[[#This Row],[pctAllTimeExp]])</f>
        <v>0.95007016638203712</v>
      </c>
      <c r="Q240" t="b">
        <f>Table1[[#This Row],[cumPctAllTimeExp]]&lt;0.95</f>
        <v>0</v>
      </c>
    </row>
    <row r="241" spans="1:17" x14ac:dyDescent="0.25">
      <c r="A241">
        <v>1040</v>
      </c>
      <c r="C241" t="s">
        <v>2508</v>
      </c>
      <c r="E241" t="s">
        <v>1042</v>
      </c>
      <c r="F241" s="4">
        <v>0</v>
      </c>
      <c r="G241" s="4">
        <v>0</v>
      </c>
      <c r="H241" s="4">
        <v>4900</v>
      </c>
      <c r="I241" s="4">
        <v>0</v>
      </c>
      <c r="J241" s="4">
        <v>0</v>
      </c>
      <c r="K241" s="4">
        <v>29980</v>
      </c>
      <c r="L241" s="4">
        <v>94220</v>
      </c>
      <c r="M241" s="4">
        <v>0</v>
      </c>
      <c r="N241" s="4">
        <f>SUM(Table1[[#This Row],[2025]:[2018]])</f>
        <v>129100</v>
      </c>
      <c r="O241" s="2">
        <f>Table1[[#This Row],[ttl]]/SUM(Table1[ttl])</f>
        <v>2.6032098166602953E-4</v>
      </c>
      <c r="P241" s="3">
        <f>SUM($O$2:Table1[[#This Row],[pctAllTimeExp]])</f>
        <v>0.95033048736370318</v>
      </c>
      <c r="Q241" t="b">
        <f>Table1[[#This Row],[cumPctAllTimeExp]]&lt;0.95</f>
        <v>0</v>
      </c>
    </row>
    <row r="242" spans="1:17" x14ac:dyDescent="0.25">
      <c r="A242">
        <v>437</v>
      </c>
      <c r="C242" t="s">
        <v>2508</v>
      </c>
      <c r="E242" t="s">
        <v>439</v>
      </c>
      <c r="F242" s="4">
        <v>1365</v>
      </c>
      <c r="G242" s="4">
        <v>0</v>
      </c>
      <c r="H242" s="4">
        <v>0</v>
      </c>
      <c r="I242" s="4">
        <v>0</v>
      </c>
      <c r="J242" s="4">
        <v>275</v>
      </c>
      <c r="K242" s="4">
        <v>13266</v>
      </c>
      <c r="L242" s="4">
        <v>47251.14</v>
      </c>
      <c r="M242" s="4">
        <v>66171.37</v>
      </c>
      <c r="N242" s="4">
        <f>SUM(Table1[[#This Row],[2025]:[2018]])</f>
        <v>128328.51</v>
      </c>
      <c r="O242" s="2">
        <f>Table1[[#This Row],[ttl]]/SUM(Table1[ttl])</f>
        <v>2.5876532687016954E-4</v>
      </c>
      <c r="P242" s="3">
        <f>SUM($O$2:Table1[[#This Row],[pctAllTimeExp]])</f>
        <v>0.95058925269057337</v>
      </c>
      <c r="Q242" t="b">
        <f>Table1[[#This Row],[cumPctAllTimeExp]]&lt;0.95</f>
        <v>0</v>
      </c>
    </row>
    <row r="243" spans="1:17" x14ac:dyDescent="0.25">
      <c r="A243">
        <v>829</v>
      </c>
      <c r="C243" t="s">
        <v>2508</v>
      </c>
      <c r="E243" t="s">
        <v>831</v>
      </c>
      <c r="F243" s="4">
        <v>0</v>
      </c>
      <c r="G243" s="4">
        <v>1103</v>
      </c>
      <c r="H243" s="4">
        <v>21788.75</v>
      </c>
      <c r="I243" s="4">
        <v>80096.25</v>
      </c>
      <c r="J243" s="4">
        <v>24334</v>
      </c>
      <c r="K243" s="4">
        <v>0</v>
      </c>
      <c r="L243" s="4">
        <v>0</v>
      </c>
      <c r="M243" s="4">
        <v>0</v>
      </c>
      <c r="N243" s="4">
        <f>SUM(Table1[[#This Row],[2025]:[2018]])</f>
        <v>127322</v>
      </c>
      <c r="O243" s="2">
        <f>Table1[[#This Row],[ttl]]/SUM(Table1[ttl])</f>
        <v>2.5673577093479638E-4</v>
      </c>
      <c r="P243" s="3">
        <f>SUM($O$2:Table1[[#This Row],[pctAllTimeExp]])</f>
        <v>0.95084598846150814</v>
      </c>
      <c r="Q243" t="b">
        <f>Table1[[#This Row],[cumPctAllTimeExp]]&lt;0.95</f>
        <v>0</v>
      </c>
    </row>
    <row r="244" spans="1:17" x14ac:dyDescent="0.25">
      <c r="A244">
        <v>1001</v>
      </c>
      <c r="C244" t="s">
        <v>2508</v>
      </c>
      <c r="E244" t="s">
        <v>1003</v>
      </c>
      <c r="F244" s="4">
        <v>0</v>
      </c>
      <c r="G244" s="4">
        <v>0</v>
      </c>
      <c r="H244" s="4">
        <v>13200</v>
      </c>
      <c r="I244" s="4">
        <v>49020</v>
      </c>
      <c r="J244" s="4">
        <v>0</v>
      </c>
      <c r="K244" s="4">
        <v>23558</v>
      </c>
      <c r="L244" s="4">
        <v>33080</v>
      </c>
      <c r="M244" s="4">
        <v>7963</v>
      </c>
      <c r="N244" s="4">
        <f>SUM(Table1[[#This Row],[2025]:[2018]])</f>
        <v>126821</v>
      </c>
      <c r="O244" s="2">
        <f>Table1[[#This Row],[ttl]]/SUM(Table1[ttl])</f>
        <v>2.5572554001446576E-4</v>
      </c>
      <c r="P244" s="3">
        <f>SUM($O$2:Table1[[#This Row],[pctAllTimeExp]])</f>
        <v>0.95110171400152266</v>
      </c>
      <c r="Q244" t="b">
        <f>Table1[[#This Row],[cumPctAllTimeExp]]&lt;0.95</f>
        <v>0</v>
      </c>
    </row>
    <row r="245" spans="1:17" x14ac:dyDescent="0.25">
      <c r="A245">
        <v>703</v>
      </c>
      <c r="C245" t="s">
        <v>2508</v>
      </c>
      <c r="E245" t="s">
        <v>705</v>
      </c>
      <c r="F245" s="4">
        <v>0</v>
      </c>
      <c r="G245" s="4">
        <v>60000</v>
      </c>
      <c r="H245" s="4">
        <v>0</v>
      </c>
      <c r="I245" s="4">
        <v>0</v>
      </c>
      <c r="J245" s="4">
        <v>0</v>
      </c>
      <c r="K245" s="4">
        <v>0</v>
      </c>
      <c r="L245" s="4">
        <v>65000</v>
      </c>
      <c r="M245" s="4">
        <v>0</v>
      </c>
      <c r="N245" s="4">
        <f>SUM(Table1[[#This Row],[2025]:[2018]])</f>
        <v>125000</v>
      </c>
      <c r="O245" s="2">
        <f>Table1[[#This Row],[ttl]]/SUM(Table1[ttl])</f>
        <v>2.5205362283697668E-4</v>
      </c>
      <c r="P245" s="3">
        <f>SUM($O$2:Table1[[#This Row],[pctAllTimeExp]])</f>
        <v>0.95135376762435964</v>
      </c>
      <c r="Q245" t="b">
        <f>Table1[[#This Row],[cumPctAllTimeExp]]&lt;0.95</f>
        <v>0</v>
      </c>
    </row>
    <row r="246" spans="1:17" x14ac:dyDescent="0.25">
      <c r="A246">
        <v>196</v>
      </c>
      <c r="C246" t="s">
        <v>2508</v>
      </c>
      <c r="E246" t="s">
        <v>198</v>
      </c>
      <c r="F246" s="4">
        <v>14693</v>
      </c>
      <c r="G246" s="4">
        <v>789.77</v>
      </c>
      <c r="H246" s="4">
        <v>25376</v>
      </c>
      <c r="I246" s="4">
        <v>3404.16</v>
      </c>
      <c r="J246" s="4">
        <v>24078.240000000002</v>
      </c>
      <c r="K246" s="4">
        <v>19810.310000000001</v>
      </c>
      <c r="L246" s="4">
        <v>26972.26</v>
      </c>
      <c r="M246" s="4">
        <v>9359.99</v>
      </c>
      <c r="N246" s="4">
        <f>SUM(Table1[[#This Row],[2025]:[2018]])</f>
        <v>124483.73000000001</v>
      </c>
      <c r="O246" s="2">
        <f>Table1[[#This Row],[ttl]]/SUM(Table1[ttl])</f>
        <v>2.5101260104608037E-4</v>
      </c>
      <c r="P246" s="3">
        <f>SUM($O$2:Table1[[#This Row],[pctAllTimeExp]])</f>
        <v>0.95160478022540573</v>
      </c>
      <c r="Q246" t="b">
        <f>Table1[[#This Row],[cumPctAllTimeExp]]&lt;0.95</f>
        <v>0</v>
      </c>
    </row>
    <row r="247" spans="1:17" x14ac:dyDescent="0.25">
      <c r="A247">
        <v>998</v>
      </c>
      <c r="C247" t="s">
        <v>2508</v>
      </c>
      <c r="E247" t="s">
        <v>1000</v>
      </c>
      <c r="F247" s="4">
        <v>0</v>
      </c>
      <c r="G247" s="4">
        <v>0</v>
      </c>
      <c r="H247" s="4">
        <v>14857.5</v>
      </c>
      <c r="I247" s="4">
        <v>24550</v>
      </c>
      <c r="J247" s="4">
        <v>11207.5</v>
      </c>
      <c r="K247" s="4">
        <v>0</v>
      </c>
      <c r="L247" s="4">
        <v>73270</v>
      </c>
      <c r="M247" s="4">
        <v>0</v>
      </c>
      <c r="N247" s="4">
        <f>SUM(Table1[[#This Row],[2025]:[2018]])</f>
        <v>123885</v>
      </c>
      <c r="O247" s="2">
        <f>Table1[[#This Row],[ttl]]/SUM(Table1[ttl])</f>
        <v>2.4980530452127085E-4</v>
      </c>
      <c r="P247" s="3">
        <f>SUM($O$2:Table1[[#This Row],[pctAllTimeExp]])</f>
        <v>0.95185458552992697</v>
      </c>
      <c r="Q247" t="b">
        <f>Table1[[#This Row],[cumPctAllTimeExp]]&lt;0.95</f>
        <v>0</v>
      </c>
    </row>
    <row r="248" spans="1:17" x14ac:dyDescent="0.25">
      <c r="A248">
        <v>961</v>
      </c>
      <c r="C248" t="s">
        <v>2508</v>
      </c>
      <c r="E248" t="s">
        <v>963</v>
      </c>
      <c r="F248" s="4">
        <v>0</v>
      </c>
      <c r="G248" s="4">
        <v>0</v>
      </c>
      <c r="H248" s="4">
        <v>123117.55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f>SUM(Table1[[#This Row],[2025]:[2018]])</f>
        <v>123117.55</v>
      </c>
      <c r="O248" s="2">
        <f>Table1[[#This Row],[ttl]]/SUM(Table1[ttl])</f>
        <v>2.4825779609850097E-4</v>
      </c>
      <c r="P248" s="3">
        <f>SUM($O$2:Table1[[#This Row],[pctAllTimeExp]])</f>
        <v>0.95210284332602546</v>
      </c>
      <c r="Q248" t="b">
        <f>Table1[[#This Row],[cumPctAllTimeExp]]&lt;0.95</f>
        <v>0</v>
      </c>
    </row>
    <row r="249" spans="1:17" x14ac:dyDescent="0.25">
      <c r="A249">
        <v>1007</v>
      </c>
      <c r="C249" t="s">
        <v>2508</v>
      </c>
      <c r="E249" t="s">
        <v>1009</v>
      </c>
      <c r="F249" s="4">
        <v>0</v>
      </c>
      <c r="G249" s="4">
        <v>0</v>
      </c>
      <c r="H249" s="4">
        <v>10057.5</v>
      </c>
      <c r="I249" s="4">
        <v>8332.5</v>
      </c>
      <c r="J249" s="4">
        <v>135</v>
      </c>
      <c r="K249" s="4">
        <v>21475</v>
      </c>
      <c r="L249" s="4">
        <v>79050</v>
      </c>
      <c r="M249" s="4">
        <v>0</v>
      </c>
      <c r="N249" s="4">
        <f>SUM(Table1[[#This Row],[2025]:[2018]])</f>
        <v>119050</v>
      </c>
      <c r="O249" s="2">
        <f>Table1[[#This Row],[ttl]]/SUM(Table1[ttl])</f>
        <v>2.4005587038993659E-4</v>
      </c>
      <c r="P249" s="3">
        <f>SUM($O$2:Table1[[#This Row],[pctAllTimeExp]])</f>
        <v>0.95234289919641535</v>
      </c>
      <c r="Q249" t="b">
        <f>Table1[[#This Row],[cumPctAllTimeExp]]&lt;0.95</f>
        <v>0</v>
      </c>
    </row>
    <row r="250" spans="1:17" x14ac:dyDescent="0.25">
      <c r="A250">
        <v>57</v>
      </c>
      <c r="C250" t="s">
        <v>2508</v>
      </c>
      <c r="E250" t="s">
        <v>59</v>
      </c>
      <c r="F250" s="4">
        <v>118750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f>SUM(Table1[[#This Row],[2025]:[2018]])</f>
        <v>118750</v>
      </c>
      <c r="O250" s="2">
        <f>Table1[[#This Row],[ttl]]/SUM(Table1[ttl])</f>
        <v>2.3945094169512785E-4</v>
      </c>
      <c r="P250" s="3">
        <f>SUM($O$2:Table1[[#This Row],[pctAllTimeExp]])</f>
        <v>0.95258235013811043</v>
      </c>
      <c r="Q250" t="b">
        <f>Table1[[#This Row],[cumPctAllTimeExp]]&lt;0.95</f>
        <v>0</v>
      </c>
    </row>
    <row r="251" spans="1:17" x14ac:dyDescent="0.25">
      <c r="A251">
        <v>148</v>
      </c>
      <c r="C251" t="s">
        <v>2508</v>
      </c>
      <c r="E251" t="s">
        <v>150</v>
      </c>
      <c r="F251" s="4">
        <v>24375</v>
      </c>
      <c r="G251" s="4">
        <v>37425</v>
      </c>
      <c r="H251" s="4">
        <v>1450</v>
      </c>
      <c r="I251" s="4">
        <v>31850</v>
      </c>
      <c r="J251" s="4">
        <v>15200</v>
      </c>
      <c r="K251" s="4">
        <v>6000</v>
      </c>
      <c r="L251" s="4">
        <v>0</v>
      </c>
      <c r="M251" s="4">
        <v>0</v>
      </c>
      <c r="N251" s="4">
        <f>SUM(Table1[[#This Row],[2025]:[2018]])</f>
        <v>116300</v>
      </c>
      <c r="O251" s="2">
        <f>Table1[[#This Row],[ttl]]/SUM(Table1[ttl])</f>
        <v>2.345106906875231E-4</v>
      </c>
      <c r="P251" s="3">
        <f>SUM($O$2:Table1[[#This Row],[pctAllTimeExp]])</f>
        <v>0.95281686082879791</v>
      </c>
      <c r="Q251" t="b">
        <f>Table1[[#This Row],[cumPctAllTimeExp]]&lt;0.95</f>
        <v>0</v>
      </c>
    </row>
    <row r="252" spans="1:17" x14ac:dyDescent="0.25">
      <c r="A252">
        <v>1212</v>
      </c>
      <c r="C252" t="s">
        <v>2508</v>
      </c>
      <c r="E252" t="s">
        <v>1214</v>
      </c>
      <c r="F252" s="4">
        <v>0</v>
      </c>
      <c r="G252" s="4">
        <v>0</v>
      </c>
      <c r="H252" s="4">
        <v>0</v>
      </c>
      <c r="I252" s="4">
        <v>15470</v>
      </c>
      <c r="J252" s="4">
        <v>30235</v>
      </c>
      <c r="K252" s="4">
        <v>19990</v>
      </c>
      <c r="L252" s="4">
        <v>23980</v>
      </c>
      <c r="M252" s="4">
        <v>26210</v>
      </c>
      <c r="N252" s="4">
        <f>SUM(Table1[[#This Row],[2025]:[2018]])</f>
        <v>115885</v>
      </c>
      <c r="O252" s="2">
        <f>Table1[[#This Row],[ttl]]/SUM(Table1[ttl])</f>
        <v>2.3367387265970434E-4</v>
      </c>
      <c r="P252" s="3">
        <f>SUM($O$2:Table1[[#This Row],[pctAllTimeExp]])</f>
        <v>0.95305053470145762</v>
      </c>
      <c r="Q252" t="b">
        <f>Table1[[#This Row],[cumPctAllTimeExp]]&lt;0.95</f>
        <v>0</v>
      </c>
    </row>
    <row r="253" spans="1:17" x14ac:dyDescent="0.25">
      <c r="A253">
        <v>122</v>
      </c>
      <c r="C253" t="s">
        <v>2508</v>
      </c>
      <c r="E253" t="s">
        <v>124</v>
      </c>
      <c r="F253" s="4">
        <v>34791</v>
      </c>
      <c r="G253" s="4">
        <v>34962</v>
      </c>
      <c r="H253" s="4">
        <v>7802</v>
      </c>
      <c r="I253" s="4">
        <v>9475</v>
      </c>
      <c r="J253" s="4">
        <v>7619</v>
      </c>
      <c r="K253" s="4">
        <v>6011</v>
      </c>
      <c r="L253" s="4">
        <v>8077.47</v>
      </c>
      <c r="M253" s="4">
        <v>6191</v>
      </c>
      <c r="N253" s="4">
        <f>SUM(Table1[[#This Row],[2025]:[2018]])</f>
        <v>114928.47</v>
      </c>
      <c r="O253" s="2">
        <f>Table1[[#This Row],[ttl]]/SUM(Table1[ttl])</f>
        <v>2.3174509784488633E-4</v>
      </c>
      <c r="P253" s="3">
        <f>SUM($O$2:Table1[[#This Row],[pctAllTimeExp]])</f>
        <v>0.95328227979930247</v>
      </c>
      <c r="Q253" t="b">
        <f>Table1[[#This Row],[cumPctAllTimeExp]]&lt;0.95</f>
        <v>0</v>
      </c>
    </row>
    <row r="254" spans="1:17" x14ac:dyDescent="0.25">
      <c r="A254">
        <v>178</v>
      </c>
      <c r="C254" t="s">
        <v>2508</v>
      </c>
      <c r="E254" t="s">
        <v>180</v>
      </c>
      <c r="F254" s="4">
        <v>18409.599999999999</v>
      </c>
      <c r="G254" s="4">
        <v>10783.75</v>
      </c>
      <c r="H254" s="4">
        <v>0</v>
      </c>
      <c r="I254" s="4">
        <v>85674</v>
      </c>
      <c r="J254" s="4">
        <v>0</v>
      </c>
      <c r="K254" s="4">
        <v>0</v>
      </c>
      <c r="L254" s="4">
        <v>0</v>
      </c>
      <c r="M254" s="4">
        <v>0</v>
      </c>
      <c r="N254" s="4">
        <f>SUM(Table1[[#This Row],[2025]:[2018]])</f>
        <v>114867.35</v>
      </c>
      <c r="O254" s="2">
        <f>Table1[[#This Row],[ttl]]/SUM(Table1[ttl])</f>
        <v>2.3162185370546396E-4</v>
      </c>
      <c r="P254" s="3">
        <f>SUM($O$2:Table1[[#This Row],[pctAllTimeExp]])</f>
        <v>0.95351390165300798</v>
      </c>
      <c r="Q254" t="b">
        <f>Table1[[#This Row],[cumPctAllTimeExp]]&lt;0.95</f>
        <v>0</v>
      </c>
    </row>
    <row r="255" spans="1:17" x14ac:dyDescent="0.25">
      <c r="A255">
        <v>216</v>
      </c>
      <c r="C255" t="s">
        <v>2508</v>
      </c>
      <c r="E255" t="s">
        <v>218</v>
      </c>
      <c r="F255" s="4">
        <v>11853.81</v>
      </c>
      <c r="G255" s="4">
        <v>11704.19</v>
      </c>
      <c r="H255" s="4">
        <v>4754.6099999999997</v>
      </c>
      <c r="I255" s="4">
        <v>19003.099999999999</v>
      </c>
      <c r="J255" s="4">
        <v>18881.62</v>
      </c>
      <c r="K255" s="4">
        <v>16638.240000000002</v>
      </c>
      <c r="L255" s="4">
        <v>6966</v>
      </c>
      <c r="M255" s="4">
        <v>21256.69</v>
      </c>
      <c r="N255" s="4">
        <f>SUM(Table1[[#This Row],[2025]:[2018]])</f>
        <v>111058.26000000001</v>
      </c>
      <c r="O255" s="2">
        <f>Table1[[#This Row],[ttl]]/SUM(Table1[ttl])</f>
        <v>2.2394109423176718E-4</v>
      </c>
      <c r="P255" s="3">
        <f>SUM($O$2:Table1[[#This Row],[pctAllTimeExp]])</f>
        <v>0.95373784274723972</v>
      </c>
      <c r="Q255" t="b">
        <f>Table1[[#This Row],[cumPctAllTimeExp]]&lt;0.95</f>
        <v>0</v>
      </c>
    </row>
    <row r="256" spans="1:17" x14ac:dyDescent="0.25">
      <c r="A256">
        <v>368</v>
      </c>
      <c r="C256" t="s">
        <v>2508</v>
      </c>
      <c r="E256" t="s">
        <v>370</v>
      </c>
      <c r="F256" s="4">
        <v>2632.41</v>
      </c>
      <c r="G256" s="4">
        <v>52908.44</v>
      </c>
      <c r="H256" s="4">
        <v>50866.1</v>
      </c>
      <c r="I256" s="4">
        <v>3839.94</v>
      </c>
      <c r="J256" s="4">
        <v>646.94000000000005</v>
      </c>
      <c r="K256" s="4">
        <v>0</v>
      </c>
      <c r="L256" s="4">
        <v>0</v>
      </c>
      <c r="M256" s="4">
        <v>0</v>
      </c>
      <c r="N256" s="4">
        <f>SUM(Table1[[#This Row],[2025]:[2018]])</f>
        <v>110893.83000000002</v>
      </c>
      <c r="O256" s="2">
        <f>Table1[[#This Row],[ttl]]/SUM(Table1[ttl])</f>
        <v>2.2360953281414252E-4</v>
      </c>
      <c r="P256" s="3">
        <f>SUM($O$2:Table1[[#This Row],[pctAllTimeExp]])</f>
        <v>0.95396145228005391</v>
      </c>
      <c r="Q256" t="b">
        <f>Table1[[#This Row],[cumPctAllTimeExp]]&lt;0.95</f>
        <v>0</v>
      </c>
    </row>
    <row r="257" spans="1:17" x14ac:dyDescent="0.25">
      <c r="A257">
        <v>143</v>
      </c>
      <c r="C257" t="s">
        <v>2508</v>
      </c>
      <c r="E257" t="s">
        <v>145</v>
      </c>
      <c r="F257" s="4">
        <v>25126.75</v>
      </c>
      <c r="G257" s="4">
        <v>0</v>
      </c>
      <c r="H257" s="4">
        <v>54756</v>
      </c>
      <c r="I257" s="4">
        <v>0</v>
      </c>
      <c r="J257" s="4">
        <v>30600</v>
      </c>
      <c r="K257" s="4">
        <v>0</v>
      </c>
      <c r="L257" s="4">
        <v>0</v>
      </c>
      <c r="M257" s="4">
        <v>0</v>
      </c>
      <c r="N257" s="4">
        <f>SUM(Table1[[#This Row],[2025]:[2018]])</f>
        <v>110482.75</v>
      </c>
      <c r="O257" s="2">
        <f>Table1[[#This Row],[ttl]]/SUM(Table1[ttl])</f>
        <v>2.227806191879359E-4</v>
      </c>
      <c r="P257" s="3">
        <f>SUM($O$2:Table1[[#This Row],[pctAllTimeExp]])</f>
        <v>0.95418423289924181</v>
      </c>
      <c r="Q257" t="b">
        <f>Table1[[#This Row],[cumPctAllTimeExp]]&lt;0.95</f>
        <v>0</v>
      </c>
    </row>
    <row r="258" spans="1:17" x14ac:dyDescent="0.25">
      <c r="A258">
        <v>713</v>
      </c>
      <c r="C258" t="s">
        <v>2508</v>
      </c>
      <c r="E258" t="s">
        <v>715</v>
      </c>
      <c r="F258" s="4">
        <v>0</v>
      </c>
      <c r="G258" s="4">
        <v>33388</v>
      </c>
      <c r="H258" s="4">
        <v>0</v>
      </c>
      <c r="I258" s="4">
        <v>0</v>
      </c>
      <c r="J258" s="4">
        <v>67250</v>
      </c>
      <c r="K258" s="4">
        <v>0</v>
      </c>
      <c r="L258" s="4">
        <v>9800</v>
      </c>
      <c r="M258" s="4">
        <v>0</v>
      </c>
      <c r="N258" s="4">
        <f>SUM(Table1[[#This Row],[2025]:[2018]])</f>
        <v>110438</v>
      </c>
      <c r="O258" s="2">
        <f>Table1[[#This Row],[ttl]]/SUM(Table1[ttl])</f>
        <v>2.2269038399096026E-4</v>
      </c>
      <c r="P258" s="3">
        <f>SUM($O$2:Table1[[#This Row],[pctAllTimeExp]])</f>
        <v>0.95440692328323273</v>
      </c>
      <c r="Q258" t="b">
        <f>Table1[[#This Row],[cumPctAllTimeExp]]&lt;0.95</f>
        <v>0</v>
      </c>
    </row>
    <row r="259" spans="1:17" x14ac:dyDescent="0.25">
      <c r="A259">
        <v>483</v>
      </c>
      <c r="C259" t="s">
        <v>2508</v>
      </c>
      <c r="E259" t="s">
        <v>485</v>
      </c>
      <c r="F259" s="4">
        <v>925</v>
      </c>
      <c r="G259" s="4">
        <v>3587.78</v>
      </c>
      <c r="H259" s="4">
        <v>3659.24</v>
      </c>
      <c r="I259" s="4">
        <v>585</v>
      </c>
      <c r="J259" s="4">
        <v>6818.75</v>
      </c>
      <c r="K259" s="4">
        <v>0</v>
      </c>
      <c r="L259" s="4">
        <v>780</v>
      </c>
      <c r="M259" s="4">
        <v>93659.94</v>
      </c>
      <c r="N259" s="4">
        <f>SUM(Table1[[#This Row],[2025]:[2018]])</f>
        <v>110015.71</v>
      </c>
      <c r="O259" s="2">
        <f>Table1[[#This Row],[ttl]]/SUM(Table1[ttl])</f>
        <v>2.2183886619585766E-4</v>
      </c>
      <c r="P259" s="3">
        <f>SUM($O$2:Table1[[#This Row],[pctAllTimeExp]])</f>
        <v>0.9546287621494286</v>
      </c>
      <c r="Q259" t="b">
        <f>Table1[[#This Row],[cumPctAllTimeExp]]&lt;0.95</f>
        <v>0</v>
      </c>
    </row>
    <row r="260" spans="1:17" x14ac:dyDescent="0.25">
      <c r="A260">
        <v>399</v>
      </c>
      <c r="C260" t="s">
        <v>2508</v>
      </c>
      <c r="E260" t="s">
        <v>401</v>
      </c>
      <c r="F260" s="4">
        <v>1961.28</v>
      </c>
      <c r="G260" s="4">
        <v>41889.26</v>
      </c>
      <c r="H260" s="4">
        <v>44750.1</v>
      </c>
      <c r="I260" s="4">
        <v>11493.45</v>
      </c>
      <c r="J260" s="4">
        <v>0</v>
      </c>
      <c r="K260" s="4">
        <v>0</v>
      </c>
      <c r="L260" s="4">
        <v>784</v>
      </c>
      <c r="M260" s="4">
        <v>8977.26</v>
      </c>
      <c r="N260" s="4">
        <f>SUM(Table1[[#This Row],[2025]:[2018]])</f>
        <v>109855.34999999999</v>
      </c>
      <c r="O260" s="2">
        <f>Table1[[#This Row],[ttl]]/SUM(Table1[ttl])</f>
        <v>2.2151551164419252E-4</v>
      </c>
      <c r="P260" s="3">
        <f>SUM($O$2:Table1[[#This Row],[pctAllTimeExp]])</f>
        <v>0.95485027766107278</v>
      </c>
      <c r="Q260" t="b">
        <f>Table1[[#This Row],[cumPctAllTimeExp]]&lt;0.95</f>
        <v>0</v>
      </c>
    </row>
    <row r="261" spans="1:17" x14ac:dyDescent="0.25">
      <c r="A261">
        <v>163</v>
      </c>
      <c r="C261" t="s">
        <v>2508</v>
      </c>
      <c r="E261" t="s">
        <v>165</v>
      </c>
      <c r="F261" s="4">
        <v>21341.97</v>
      </c>
      <c r="G261" s="4">
        <v>3744.08</v>
      </c>
      <c r="H261" s="4">
        <v>0</v>
      </c>
      <c r="I261" s="4">
        <v>0</v>
      </c>
      <c r="J261" s="4">
        <v>21844.17</v>
      </c>
      <c r="K261" s="4">
        <v>281.99</v>
      </c>
      <c r="L261" s="4">
        <v>29883.21</v>
      </c>
      <c r="M261" s="4">
        <v>32333.56</v>
      </c>
      <c r="N261" s="4">
        <f>SUM(Table1[[#This Row],[2025]:[2018]])</f>
        <v>109428.98</v>
      </c>
      <c r="O261" s="2">
        <f>Table1[[#This Row],[ttl]]/SUM(Table1[ttl])</f>
        <v>2.2065576681884052E-4</v>
      </c>
      <c r="P261" s="3">
        <f>SUM($O$2:Table1[[#This Row],[pctAllTimeExp]])</f>
        <v>0.95507093342789162</v>
      </c>
      <c r="Q261" t="b">
        <f>Table1[[#This Row],[cumPctAllTimeExp]]&lt;0.95</f>
        <v>0</v>
      </c>
    </row>
    <row r="262" spans="1:17" x14ac:dyDescent="0.25">
      <c r="A262">
        <v>987</v>
      </c>
      <c r="C262" t="s">
        <v>2508</v>
      </c>
      <c r="E262" t="s">
        <v>989</v>
      </c>
      <c r="F262" s="4">
        <v>0</v>
      </c>
      <c r="G262" s="4">
        <v>0</v>
      </c>
      <c r="H262" s="4">
        <v>18458.86</v>
      </c>
      <c r="I262" s="4">
        <v>19394.560000000001</v>
      </c>
      <c r="J262" s="4">
        <v>15455.65</v>
      </c>
      <c r="K262" s="4">
        <v>15644.31</v>
      </c>
      <c r="L262" s="4">
        <v>22330.05</v>
      </c>
      <c r="M262" s="4">
        <v>17907.580000000002</v>
      </c>
      <c r="N262" s="4">
        <f>SUM(Table1[[#This Row],[2025]:[2018]])</f>
        <v>109191.01000000001</v>
      </c>
      <c r="O262" s="2">
        <f>Table1[[#This Row],[ttl]]/SUM(Table1[ttl])</f>
        <v>2.2017591721382841E-4</v>
      </c>
      <c r="P262" s="3">
        <f>SUM($O$2:Table1[[#This Row],[pctAllTimeExp]])</f>
        <v>0.95529110934510542</v>
      </c>
      <c r="Q262" t="b">
        <f>Table1[[#This Row],[cumPctAllTimeExp]]&lt;0.95</f>
        <v>0</v>
      </c>
    </row>
    <row r="263" spans="1:17" x14ac:dyDescent="0.25">
      <c r="A263">
        <v>735</v>
      </c>
      <c r="C263" t="s">
        <v>2508</v>
      </c>
      <c r="E263" t="s">
        <v>737</v>
      </c>
      <c r="F263" s="4">
        <v>0</v>
      </c>
      <c r="G263" s="4">
        <v>12821.35</v>
      </c>
      <c r="H263" s="4">
        <v>78424.399999999994</v>
      </c>
      <c r="I263" s="4">
        <v>4484.5</v>
      </c>
      <c r="J263" s="4">
        <v>3069.08</v>
      </c>
      <c r="K263" s="4">
        <v>4600</v>
      </c>
      <c r="L263" s="4">
        <v>3960.24</v>
      </c>
      <c r="M263" s="4">
        <v>987.7</v>
      </c>
      <c r="N263" s="4">
        <f>SUM(Table1[[#This Row],[2025]:[2018]])</f>
        <v>108347.27</v>
      </c>
      <c r="O263" s="2">
        <f>Table1[[#This Row],[ttl]]/SUM(Table1[ttl])</f>
        <v>2.1847457542396864E-4</v>
      </c>
      <c r="P263" s="3">
        <f>SUM($O$2:Table1[[#This Row],[pctAllTimeExp]])</f>
        <v>0.95550958392052943</v>
      </c>
      <c r="Q263" t="b">
        <f>Table1[[#This Row],[cumPctAllTimeExp]]&lt;0.95</f>
        <v>0</v>
      </c>
    </row>
    <row r="264" spans="1:17" x14ac:dyDescent="0.25">
      <c r="A264">
        <v>76</v>
      </c>
      <c r="C264" t="s">
        <v>2508</v>
      </c>
      <c r="E264" t="s">
        <v>78</v>
      </c>
      <c r="F264" s="4">
        <v>73004.960000000006</v>
      </c>
      <c r="G264" s="4">
        <v>35150.53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f>SUM(Table1[[#This Row],[2025]:[2018]])</f>
        <v>108155.49</v>
      </c>
      <c r="O264" s="2">
        <f>Table1[[#This Row],[ttl]]/SUM(Table1[ttl])</f>
        <v>2.1808786467366725E-4</v>
      </c>
      <c r="P264" s="3">
        <f>SUM($O$2:Table1[[#This Row],[pctAllTimeExp]])</f>
        <v>0.95572767178520313</v>
      </c>
      <c r="Q264" t="b">
        <f>Table1[[#This Row],[cumPctAllTimeExp]]&lt;0.95</f>
        <v>0</v>
      </c>
    </row>
    <row r="265" spans="1:17" x14ac:dyDescent="0.25">
      <c r="A265">
        <v>117</v>
      </c>
      <c r="C265" t="s">
        <v>2508</v>
      </c>
      <c r="E265" t="s">
        <v>119</v>
      </c>
      <c r="F265" s="4">
        <v>37185.550000000003</v>
      </c>
      <c r="G265" s="4">
        <v>34463.15</v>
      </c>
      <c r="H265" s="4">
        <v>28174.85</v>
      </c>
      <c r="I265" s="4">
        <v>4926.26</v>
      </c>
      <c r="J265" s="4">
        <v>0</v>
      </c>
      <c r="K265" s="4">
        <v>0</v>
      </c>
      <c r="L265" s="4">
        <v>57.03</v>
      </c>
      <c r="M265" s="4">
        <v>2293.84</v>
      </c>
      <c r="N265" s="4">
        <f>SUM(Table1[[#This Row],[2025]:[2018]])</f>
        <v>107100.68000000001</v>
      </c>
      <c r="O265" s="2">
        <f>Table1[[#This Row],[ttl]]/SUM(Table1[ttl])</f>
        <v>2.1596091521842986E-4</v>
      </c>
      <c r="P265" s="3">
        <f>SUM($O$2:Table1[[#This Row],[pctAllTimeExp]])</f>
        <v>0.9559436327004216</v>
      </c>
      <c r="Q265" t="b">
        <f>Table1[[#This Row],[cumPctAllTimeExp]]&lt;0.95</f>
        <v>0</v>
      </c>
    </row>
    <row r="266" spans="1:17" x14ac:dyDescent="0.25">
      <c r="A266">
        <v>165</v>
      </c>
      <c r="C266" t="s">
        <v>2508</v>
      </c>
      <c r="E266" t="s">
        <v>167</v>
      </c>
      <c r="F266" s="4">
        <v>20358</v>
      </c>
      <c r="G266" s="4">
        <v>5538</v>
      </c>
      <c r="H266" s="4">
        <v>18999.63</v>
      </c>
      <c r="I266" s="4">
        <v>17774.64</v>
      </c>
      <c r="J266" s="4">
        <v>20618.52</v>
      </c>
      <c r="K266" s="4">
        <v>17375</v>
      </c>
      <c r="L266" s="4">
        <v>6415.52</v>
      </c>
      <c r="M266" s="4">
        <v>0</v>
      </c>
      <c r="N266" s="4">
        <f>SUM(Table1[[#This Row],[2025]:[2018]])</f>
        <v>107079.31000000001</v>
      </c>
      <c r="O266" s="2">
        <f>Table1[[#This Row],[ttl]]/SUM(Table1[ttl])</f>
        <v>2.1591782413106966E-4</v>
      </c>
      <c r="P266" s="3">
        <f>SUM($O$2:Table1[[#This Row],[pctAllTimeExp]])</f>
        <v>0.9561595505245527</v>
      </c>
      <c r="Q266" t="b">
        <f>Table1[[#This Row],[cumPctAllTimeExp]]&lt;0.95</f>
        <v>0</v>
      </c>
    </row>
    <row r="267" spans="1:17" x14ac:dyDescent="0.25">
      <c r="A267">
        <v>61</v>
      </c>
      <c r="C267" t="s">
        <v>2508</v>
      </c>
      <c r="E267" t="s">
        <v>63</v>
      </c>
      <c r="F267" s="4">
        <v>106381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f>SUM(Table1[[#This Row],[2025]:[2018]])</f>
        <v>106381</v>
      </c>
      <c r="O267" s="2">
        <f>Table1[[#This Row],[ttl]]/SUM(Table1[ttl])</f>
        <v>2.1450973160816334E-4</v>
      </c>
      <c r="P267" s="3">
        <f>SUM($O$2:Table1[[#This Row],[pctAllTimeExp]])</f>
        <v>0.9563740602561609</v>
      </c>
      <c r="Q267" t="b">
        <f>Table1[[#This Row],[cumPctAllTimeExp]]&lt;0.95</f>
        <v>0</v>
      </c>
    </row>
    <row r="268" spans="1:17" x14ac:dyDescent="0.25">
      <c r="A268">
        <v>1405</v>
      </c>
      <c r="C268" t="s">
        <v>2508</v>
      </c>
      <c r="E268" t="s">
        <v>1407</v>
      </c>
      <c r="F268" s="4">
        <v>0</v>
      </c>
      <c r="G268" s="4">
        <v>0</v>
      </c>
      <c r="H268" s="4">
        <v>0</v>
      </c>
      <c r="I268" s="4">
        <v>0</v>
      </c>
      <c r="J268" s="4">
        <v>106310</v>
      </c>
      <c r="K268" s="4">
        <v>0</v>
      </c>
      <c r="L268" s="4">
        <v>0</v>
      </c>
      <c r="M268" s="4">
        <v>0</v>
      </c>
      <c r="N268" s="4">
        <f>SUM(Table1[[#This Row],[2025]:[2018]])</f>
        <v>106310</v>
      </c>
      <c r="O268" s="2">
        <f>Table1[[#This Row],[ttl]]/SUM(Table1[ttl])</f>
        <v>2.1436656515039194E-4</v>
      </c>
      <c r="P268" s="3">
        <f>SUM($O$2:Table1[[#This Row],[pctAllTimeExp]])</f>
        <v>0.95658842682131129</v>
      </c>
      <c r="Q268" t="b">
        <f>Table1[[#This Row],[cumPctAllTimeExp]]&lt;0.95</f>
        <v>0</v>
      </c>
    </row>
    <row r="269" spans="1:17" x14ac:dyDescent="0.25">
      <c r="A269">
        <v>63</v>
      </c>
      <c r="C269" t="s">
        <v>2508</v>
      </c>
      <c r="E269" t="s">
        <v>65</v>
      </c>
      <c r="F269" s="4">
        <v>100553.07</v>
      </c>
      <c r="G269" s="4">
        <v>5213.3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f>SUM(Table1[[#This Row],[2025]:[2018]])</f>
        <v>105766.37000000001</v>
      </c>
      <c r="O269" s="2">
        <f>Table1[[#This Row],[ttl]]/SUM(Table1[ttl])</f>
        <v>2.1327037386252904E-4</v>
      </c>
      <c r="P269" s="3">
        <f>SUM($O$2:Table1[[#This Row],[pctAllTimeExp]])</f>
        <v>0.95680169719517383</v>
      </c>
      <c r="Q269" t="b">
        <f>Table1[[#This Row],[cumPctAllTimeExp]]&lt;0.95</f>
        <v>0</v>
      </c>
    </row>
    <row r="270" spans="1:17" x14ac:dyDescent="0.25">
      <c r="A270">
        <v>203</v>
      </c>
      <c r="C270" t="s">
        <v>2508</v>
      </c>
      <c r="E270" t="s">
        <v>205</v>
      </c>
      <c r="F270" s="4">
        <v>13839.07</v>
      </c>
      <c r="G270" s="4">
        <v>29632.6</v>
      </c>
      <c r="H270" s="4">
        <v>17999.98</v>
      </c>
      <c r="I270" s="4">
        <v>13276.61</v>
      </c>
      <c r="J270" s="4">
        <v>17985.7</v>
      </c>
      <c r="K270" s="4">
        <v>4104.3599999999997</v>
      </c>
      <c r="L270" s="4">
        <v>8780.57</v>
      </c>
      <c r="M270" s="4">
        <v>0</v>
      </c>
      <c r="N270" s="4">
        <f>SUM(Table1[[#This Row],[2025]:[2018]])</f>
        <v>105618.88999999998</v>
      </c>
      <c r="O270" s="2">
        <f>Table1[[#This Row],[ttl]]/SUM(Table1[ttl])</f>
        <v>2.1297299091616099E-4</v>
      </c>
      <c r="P270" s="3">
        <f>SUM($O$2:Table1[[#This Row],[pctAllTimeExp]])</f>
        <v>0.95701467018608999</v>
      </c>
      <c r="Q270" t="b">
        <f>Table1[[#This Row],[cumPctAllTimeExp]]&lt;0.95</f>
        <v>0</v>
      </c>
    </row>
    <row r="271" spans="1:17" x14ac:dyDescent="0.25">
      <c r="A271">
        <v>282</v>
      </c>
      <c r="C271" t="s">
        <v>2508</v>
      </c>
      <c r="E271" t="s">
        <v>284</v>
      </c>
      <c r="F271" s="4">
        <v>6012.25</v>
      </c>
      <c r="G271" s="4">
        <v>54275</v>
      </c>
      <c r="H271" s="4">
        <v>6080</v>
      </c>
      <c r="I271" s="4">
        <v>350</v>
      </c>
      <c r="J271" s="4">
        <v>13254.75</v>
      </c>
      <c r="K271" s="4">
        <v>3245.9</v>
      </c>
      <c r="L271" s="4">
        <v>21435</v>
      </c>
      <c r="M271" s="4">
        <v>0</v>
      </c>
      <c r="N271" s="4">
        <f>SUM(Table1[[#This Row],[2025]:[2018]])</f>
        <v>104652.9</v>
      </c>
      <c r="O271" s="2">
        <f>Table1[[#This Row],[ttl]]/SUM(Table1[ttl])</f>
        <v>2.1102514068316669E-4</v>
      </c>
      <c r="P271" s="3">
        <f>SUM($O$2:Table1[[#This Row],[pctAllTimeExp]])</f>
        <v>0.95722569532677315</v>
      </c>
      <c r="Q271" t="b">
        <f>Table1[[#This Row],[cumPctAllTimeExp]]&lt;0.95</f>
        <v>0</v>
      </c>
    </row>
    <row r="272" spans="1:17" x14ac:dyDescent="0.25">
      <c r="A272">
        <v>154</v>
      </c>
      <c r="C272" t="s">
        <v>2508</v>
      </c>
      <c r="E272" t="s">
        <v>156</v>
      </c>
      <c r="F272" s="4">
        <v>23197.11</v>
      </c>
      <c r="G272" s="4">
        <v>10000.93</v>
      </c>
      <c r="H272" s="4">
        <v>14428.74</v>
      </c>
      <c r="I272" s="4">
        <v>14342.36</v>
      </c>
      <c r="J272" s="4">
        <v>17417.740000000002</v>
      </c>
      <c r="K272" s="4">
        <v>6372.51</v>
      </c>
      <c r="L272" s="4">
        <v>13778.1</v>
      </c>
      <c r="M272" s="4">
        <v>4881.53</v>
      </c>
      <c r="N272" s="4">
        <f>SUM(Table1[[#This Row],[2025]:[2018]])</f>
        <v>104419.02</v>
      </c>
      <c r="O272" s="2">
        <f>Table1[[#This Row],[ttl]]/SUM(Table1[ttl])</f>
        <v>2.1055353827269382E-4</v>
      </c>
      <c r="P272" s="3">
        <f>SUM($O$2:Table1[[#This Row],[pctAllTimeExp]])</f>
        <v>0.95743624886504586</v>
      </c>
      <c r="Q272" t="b">
        <f>Table1[[#This Row],[cumPctAllTimeExp]]&lt;0.95</f>
        <v>0</v>
      </c>
    </row>
    <row r="273" spans="1:17" x14ac:dyDescent="0.25">
      <c r="A273">
        <v>1653</v>
      </c>
      <c r="C273" t="s">
        <v>2508</v>
      </c>
      <c r="E273" t="s">
        <v>1655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103671</v>
      </c>
      <c r="L273" s="4">
        <v>0</v>
      </c>
      <c r="M273" s="4">
        <v>0</v>
      </c>
      <c r="N273" s="4">
        <f>SUM(Table1[[#This Row],[2025]:[2018]])</f>
        <v>103671</v>
      </c>
      <c r="O273" s="2">
        <f>Table1[[#This Row],[ttl]]/SUM(Table1[ttl])</f>
        <v>2.0904520906505768E-4</v>
      </c>
      <c r="P273" s="3">
        <f>SUM($O$2:Table1[[#This Row],[pctAllTimeExp]])</f>
        <v>0.95764529407411092</v>
      </c>
      <c r="Q273" t="b">
        <f>Table1[[#This Row],[cumPctAllTimeExp]]&lt;0.95</f>
        <v>0</v>
      </c>
    </row>
    <row r="274" spans="1:17" x14ac:dyDescent="0.25">
      <c r="A274">
        <v>1974</v>
      </c>
      <c r="C274" t="s">
        <v>2508</v>
      </c>
      <c r="E274" t="s">
        <v>1976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40000</v>
      </c>
      <c r="M274" s="4">
        <v>60000</v>
      </c>
      <c r="N274" s="4">
        <f>SUM(Table1[[#This Row],[2025]:[2018]])</f>
        <v>100000</v>
      </c>
      <c r="O274" s="2">
        <f>Table1[[#This Row],[ttl]]/SUM(Table1[ttl])</f>
        <v>2.0164289826958134E-4</v>
      </c>
      <c r="P274" s="3">
        <f>SUM($O$2:Table1[[#This Row],[pctAllTimeExp]])</f>
        <v>0.95784693697238055</v>
      </c>
      <c r="Q274" t="b">
        <f>Table1[[#This Row],[cumPctAllTimeExp]]&lt;0.95</f>
        <v>0</v>
      </c>
    </row>
    <row r="275" spans="1:17" x14ac:dyDescent="0.25">
      <c r="A275">
        <v>139</v>
      </c>
      <c r="C275" t="s">
        <v>2508</v>
      </c>
      <c r="E275" t="s">
        <v>141</v>
      </c>
      <c r="F275" s="4">
        <v>25935</v>
      </c>
      <c r="G275" s="4">
        <v>0</v>
      </c>
      <c r="H275" s="4">
        <v>0</v>
      </c>
      <c r="I275" s="4">
        <v>0</v>
      </c>
      <c r="J275" s="4">
        <v>8188.5</v>
      </c>
      <c r="K275" s="4">
        <v>41548.97</v>
      </c>
      <c r="L275" s="4">
        <v>12381.4</v>
      </c>
      <c r="M275" s="4">
        <v>11119</v>
      </c>
      <c r="N275" s="4">
        <f>SUM(Table1[[#This Row],[2025]:[2018]])</f>
        <v>99172.87</v>
      </c>
      <c r="O275" s="2">
        <f>Table1[[#This Row],[ttl]]/SUM(Table1[ttl])</f>
        <v>1.9997504936512415E-4</v>
      </c>
      <c r="P275" s="3">
        <f>SUM($O$2:Table1[[#This Row],[pctAllTimeExp]])</f>
        <v>0.95804691202174563</v>
      </c>
      <c r="Q275" t="b">
        <f>Table1[[#This Row],[cumPctAllTimeExp]]&lt;0.95</f>
        <v>0</v>
      </c>
    </row>
    <row r="276" spans="1:17" x14ac:dyDescent="0.25">
      <c r="A276">
        <v>118</v>
      </c>
      <c r="C276" t="s">
        <v>2508</v>
      </c>
      <c r="E276" t="s">
        <v>120</v>
      </c>
      <c r="F276" s="4">
        <v>36787</v>
      </c>
      <c r="G276" s="4">
        <v>61859.07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f>SUM(Table1[[#This Row],[2025]:[2018]])</f>
        <v>98646.07</v>
      </c>
      <c r="O276" s="2">
        <f>Table1[[#This Row],[ttl]]/SUM(Table1[ttl])</f>
        <v>1.9891279457704002E-4</v>
      </c>
      <c r="P276" s="3">
        <f>SUM($O$2:Table1[[#This Row],[pctAllTimeExp]])</f>
        <v>0.9582458248163227</v>
      </c>
      <c r="Q276" t="b">
        <f>Table1[[#This Row],[cumPctAllTimeExp]]&lt;0.95</f>
        <v>0</v>
      </c>
    </row>
    <row r="277" spans="1:17" x14ac:dyDescent="0.25">
      <c r="A277">
        <v>166</v>
      </c>
      <c r="C277" t="s">
        <v>2508</v>
      </c>
      <c r="E277" t="s">
        <v>168</v>
      </c>
      <c r="F277" s="4">
        <v>20334.349999999999</v>
      </c>
      <c r="G277" s="4">
        <v>864</v>
      </c>
      <c r="H277" s="4">
        <v>5258.45</v>
      </c>
      <c r="I277" s="4">
        <v>15373.19</v>
      </c>
      <c r="J277" s="4">
        <v>3615.65</v>
      </c>
      <c r="K277" s="4">
        <v>5854.98</v>
      </c>
      <c r="L277" s="4">
        <v>16643.48</v>
      </c>
      <c r="M277" s="4">
        <v>29265</v>
      </c>
      <c r="N277" s="4">
        <f>SUM(Table1[[#This Row],[2025]:[2018]])</f>
        <v>97209.099999999991</v>
      </c>
      <c r="O277" s="2">
        <f>Table1[[#This Row],[ttl]]/SUM(Table1[ttl])</f>
        <v>1.9601524662177559E-4</v>
      </c>
      <c r="P277" s="3">
        <f>SUM($O$2:Table1[[#This Row],[pctAllTimeExp]])</f>
        <v>0.95844184006294453</v>
      </c>
      <c r="Q277" t="b">
        <f>Table1[[#This Row],[cumPctAllTimeExp]]&lt;0.95</f>
        <v>0</v>
      </c>
    </row>
    <row r="278" spans="1:17" x14ac:dyDescent="0.25">
      <c r="A278">
        <v>308</v>
      </c>
      <c r="C278" t="s">
        <v>2508</v>
      </c>
      <c r="E278" t="s">
        <v>310</v>
      </c>
      <c r="F278" s="4">
        <v>4714.45</v>
      </c>
      <c r="G278" s="4">
        <v>9693.94</v>
      </c>
      <c r="H278" s="4">
        <v>16020.64</v>
      </c>
      <c r="I278" s="4">
        <v>6922.94</v>
      </c>
      <c r="J278" s="4">
        <v>22923.19</v>
      </c>
      <c r="K278" s="4">
        <v>8125.95</v>
      </c>
      <c r="L278" s="4">
        <v>4719.72</v>
      </c>
      <c r="M278" s="4">
        <v>23220.93</v>
      </c>
      <c r="N278" s="4">
        <f>SUM(Table1[[#This Row],[2025]:[2018]])</f>
        <v>96341.760000000009</v>
      </c>
      <c r="O278" s="2">
        <f>Table1[[#This Row],[ttl]]/SUM(Table1[ttl])</f>
        <v>1.9426631710792424E-4</v>
      </c>
      <c r="P278" s="3">
        <f>SUM($O$2:Table1[[#This Row],[pctAllTimeExp]])</f>
        <v>0.95863610638005248</v>
      </c>
      <c r="Q278" t="b">
        <f>Table1[[#This Row],[cumPctAllTimeExp]]&lt;0.95</f>
        <v>0</v>
      </c>
    </row>
    <row r="279" spans="1:17" x14ac:dyDescent="0.25">
      <c r="A279">
        <v>464</v>
      </c>
      <c r="C279" t="s">
        <v>2508</v>
      </c>
      <c r="E279" t="s">
        <v>466</v>
      </c>
      <c r="F279" s="4">
        <v>1071.8800000000001</v>
      </c>
      <c r="G279" s="4">
        <v>609.99</v>
      </c>
      <c r="H279" s="4">
        <v>547.54999999999995</v>
      </c>
      <c r="I279" s="4">
        <v>408</v>
      </c>
      <c r="J279" s="4">
        <v>698.38</v>
      </c>
      <c r="K279" s="4">
        <v>80199.56</v>
      </c>
      <c r="L279" s="4">
        <v>11251.12</v>
      </c>
      <c r="M279" s="4">
        <v>654.9</v>
      </c>
      <c r="N279" s="4">
        <f>SUM(Table1[[#This Row],[2025]:[2018]])</f>
        <v>95441.37999999999</v>
      </c>
      <c r="O279" s="2">
        <f>Table1[[#This Row],[ttl]]/SUM(Table1[ttl])</f>
        <v>1.9245076478048454E-4</v>
      </c>
      <c r="P279" s="3">
        <f>SUM($O$2:Table1[[#This Row],[pctAllTimeExp]])</f>
        <v>0.95882855714483295</v>
      </c>
      <c r="Q279" t="b">
        <f>Table1[[#This Row],[cumPctAllTimeExp]]&lt;0.95</f>
        <v>0</v>
      </c>
    </row>
    <row r="280" spans="1:17" x14ac:dyDescent="0.25">
      <c r="A280">
        <v>278</v>
      </c>
      <c r="C280" t="s">
        <v>2508</v>
      </c>
      <c r="E280" t="s">
        <v>280</v>
      </c>
      <c r="F280" s="4">
        <v>6095</v>
      </c>
      <c r="G280" s="4">
        <v>88886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f>SUM(Table1[[#This Row],[2025]:[2018]])</f>
        <v>94981</v>
      </c>
      <c r="O280" s="2">
        <f>Table1[[#This Row],[ttl]]/SUM(Table1[ttl])</f>
        <v>1.9152244120543106E-4</v>
      </c>
      <c r="P280" s="3">
        <f>SUM($O$2:Table1[[#This Row],[pctAllTimeExp]])</f>
        <v>0.95902007958603841</v>
      </c>
      <c r="Q280" t="b">
        <f>Table1[[#This Row],[cumPctAllTimeExp]]&lt;0.95</f>
        <v>0</v>
      </c>
    </row>
    <row r="281" spans="1:17" x14ac:dyDescent="0.25">
      <c r="A281">
        <v>1209</v>
      </c>
      <c r="C281" t="s">
        <v>2508</v>
      </c>
      <c r="E281" t="s">
        <v>1211</v>
      </c>
      <c r="F281" s="4">
        <v>0</v>
      </c>
      <c r="G281" s="4">
        <v>0</v>
      </c>
      <c r="H281" s="4">
        <v>0</v>
      </c>
      <c r="I281" s="4">
        <v>18491.259999999998</v>
      </c>
      <c r="J281" s="4">
        <v>21171.96</v>
      </c>
      <c r="K281" s="4">
        <v>15013.18</v>
      </c>
      <c r="L281" s="4">
        <v>23286.18</v>
      </c>
      <c r="M281" s="4">
        <v>16038.55</v>
      </c>
      <c r="N281" s="4">
        <f>SUM(Table1[[#This Row],[2025]:[2018]])</f>
        <v>94001.13</v>
      </c>
      <c r="O281" s="2">
        <f>Table1[[#This Row],[ttl]]/SUM(Table1[ttl])</f>
        <v>1.8954660293815691E-4</v>
      </c>
      <c r="P281" s="3">
        <f>SUM($O$2:Table1[[#This Row],[pctAllTimeExp]])</f>
        <v>0.95920962618897654</v>
      </c>
      <c r="Q281" t="b">
        <f>Table1[[#This Row],[cumPctAllTimeExp]]&lt;0.95</f>
        <v>0</v>
      </c>
    </row>
    <row r="282" spans="1:17" x14ac:dyDescent="0.25">
      <c r="A282">
        <v>1658</v>
      </c>
      <c r="C282" t="s">
        <v>2508</v>
      </c>
      <c r="E282" t="s">
        <v>1660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41535.599999999999</v>
      </c>
      <c r="L282" s="4">
        <v>49624.25</v>
      </c>
      <c r="M282" s="4">
        <v>2040</v>
      </c>
      <c r="N282" s="4">
        <f>SUM(Table1[[#This Row],[2025]:[2018]])</f>
        <v>93199.85</v>
      </c>
      <c r="O282" s="2">
        <f>Table1[[#This Row],[ttl]]/SUM(Table1[ttl])</f>
        <v>1.8793087872290244E-4</v>
      </c>
      <c r="P282" s="3">
        <f>SUM($O$2:Table1[[#This Row],[pctAllTimeExp]])</f>
        <v>0.95939755706769947</v>
      </c>
      <c r="Q282" t="b">
        <f>Table1[[#This Row],[cumPctAllTimeExp]]&lt;0.95</f>
        <v>0</v>
      </c>
    </row>
    <row r="283" spans="1:17" x14ac:dyDescent="0.25">
      <c r="A283">
        <v>724</v>
      </c>
      <c r="C283" t="s">
        <v>2508</v>
      </c>
      <c r="E283" t="s">
        <v>726</v>
      </c>
      <c r="F283" s="4">
        <v>0</v>
      </c>
      <c r="G283" s="4">
        <v>18624.95</v>
      </c>
      <c r="H283" s="4">
        <v>0</v>
      </c>
      <c r="I283" s="4">
        <v>74503.05</v>
      </c>
      <c r="J283" s="4">
        <v>0</v>
      </c>
      <c r="K283" s="4">
        <v>0</v>
      </c>
      <c r="L283" s="4">
        <v>0</v>
      </c>
      <c r="M283" s="4">
        <v>0</v>
      </c>
      <c r="N283" s="4">
        <f>SUM(Table1[[#This Row],[2025]:[2018]])</f>
        <v>93128</v>
      </c>
      <c r="O283" s="2">
        <f>Table1[[#This Row],[ttl]]/SUM(Table1[ttl])</f>
        <v>1.8778599830049573E-4</v>
      </c>
      <c r="P283" s="3">
        <f>SUM($O$2:Table1[[#This Row],[pctAllTimeExp]])</f>
        <v>0.95958534306599996</v>
      </c>
      <c r="Q283" t="b">
        <f>Table1[[#This Row],[cumPctAllTimeExp]]&lt;0.95</f>
        <v>0</v>
      </c>
    </row>
    <row r="284" spans="1:17" x14ac:dyDescent="0.25">
      <c r="A284">
        <v>1655</v>
      </c>
      <c r="C284" t="s">
        <v>2508</v>
      </c>
      <c r="E284" t="s">
        <v>1657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90000</v>
      </c>
      <c r="L284" s="4">
        <v>3000</v>
      </c>
      <c r="M284" s="4">
        <v>0</v>
      </c>
      <c r="N284" s="4">
        <f>SUM(Table1[[#This Row],[2025]:[2018]])</f>
        <v>93000</v>
      </c>
      <c r="O284" s="2">
        <f>Table1[[#This Row],[ttl]]/SUM(Table1[ttl])</f>
        <v>1.8752789539071065E-4</v>
      </c>
      <c r="P284" s="3">
        <f>SUM($O$2:Table1[[#This Row],[pctAllTimeExp]])</f>
        <v>0.95977287096139063</v>
      </c>
      <c r="Q284" t="b">
        <f>Table1[[#This Row],[cumPctAllTimeExp]]&lt;0.95</f>
        <v>0</v>
      </c>
    </row>
    <row r="285" spans="1:17" x14ac:dyDescent="0.25">
      <c r="A285">
        <v>404</v>
      </c>
      <c r="C285" t="s">
        <v>2508</v>
      </c>
      <c r="E285" t="s">
        <v>406</v>
      </c>
      <c r="F285" s="4">
        <v>1800</v>
      </c>
      <c r="G285" s="4">
        <v>91053.75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f>SUM(Table1[[#This Row],[2025]:[2018]])</f>
        <v>92853.75</v>
      </c>
      <c r="O285" s="2">
        <f>Table1[[#This Row],[ttl]]/SUM(Table1[ttl])</f>
        <v>1.8723299265199138E-4</v>
      </c>
      <c r="P285" s="3">
        <f>SUM($O$2:Table1[[#This Row],[pctAllTimeExp]])</f>
        <v>0.95996010395404263</v>
      </c>
      <c r="Q285" t="b">
        <f>Table1[[#This Row],[cumPctAllTimeExp]]&lt;0.95</f>
        <v>0</v>
      </c>
    </row>
    <row r="286" spans="1:17" x14ac:dyDescent="0.25">
      <c r="A286">
        <v>134</v>
      </c>
      <c r="C286" t="s">
        <v>2508</v>
      </c>
      <c r="E286" t="s">
        <v>136</v>
      </c>
      <c r="F286" s="4">
        <v>27482.43</v>
      </c>
      <c r="G286" s="4">
        <v>26087.5</v>
      </c>
      <c r="H286" s="4">
        <v>18960.37</v>
      </c>
      <c r="I286" s="4">
        <v>15153.01</v>
      </c>
      <c r="J286" s="4">
        <v>939.34</v>
      </c>
      <c r="K286" s="4">
        <v>3466</v>
      </c>
      <c r="L286" s="4">
        <v>0</v>
      </c>
      <c r="M286" s="4">
        <v>0</v>
      </c>
      <c r="N286" s="4">
        <f>SUM(Table1[[#This Row],[2025]:[2018]])</f>
        <v>92088.65</v>
      </c>
      <c r="O286" s="2">
        <f>Table1[[#This Row],[ttl]]/SUM(Table1[ttl])</f>
        <v>1.856902228373308E-4</v>
      </c>
      <c r="P286" s="3">
        <f>SUM($O$2:Table1[[#This Row],[pctAllTimeExp]])</f>
        <v>0.96014579417687995</v>
      </c>
      <c r="Q286" t="b">
        <f>Table1[[#This Row],[cumPctAllTimeExp]]&lt;0.95</f>
        <v>0</v>
      </c>
    </row>
    <row r="287" spans="1:17" x14ac:dyDescent="0.25">
      <c r="A287">
        <v>1549</v>
      </c>
      <c r="C287" t="s">
        <v>2508</v>
      </c>
      <c r="E287" t="s">
        <v>1551</v>
      </c>
      <c r="F287" s="4">
        <v>0</v>
      </c>
      <c r="G287" s="4">
        <v>0</v>
      </c>
      <c r="H287" s="4">
        <v>0</v>
      </c>
      <c r="I287" s="4">
        <v>0</v>
      </c>
      <c r="J287" s="4">
        <v>295</v>
      </c>
      <c r="K287" s="4">
        <v>19700.900000000001</v>
      </c>
      <c r="L287" s="4">
        <v>43222.85</v>
      </c>
      <c r="M287" s="4">
        <v>28799.52</v>
      </c>
      <c r="N287" s="4">
        <f>SUM(Table1[[#This Row],[2025]:[2018]])</f>
        <v>92018.27</v>
      </c>
      <c r="O287" s="2">
        <f>Table1[[#This Row],[ttl]]/SUM(Table1[ttl])</f>
        <v>1.8554830656552869E-4</v>
      </c>
      <c r="P287" s="3">
        <f>SUM($O$2:Table1[[#This Row],[pctAllTimeExp]])</f>
        <v>0.96033134248344543</v>
      </c>
      <c r="Q287" t="b">
        <f>Table1[[#This Row],[cumPctAllTimeExp]]&lt;0.95</f>
        <v>0</v>
      </c>
    </row>
    <row r="288" spans="1:17" x14ac:dyDescent="0.25">
      <c r="A288">
        <v>168</v>
      </c>
      <c r="C288" t="s">
        <v>2508</v>
      </c>
      <c r="E288" t="s">
        <v>170</v>
      </c>
      <c r="F288" s="4">
        <v>19591.37</v>
      </c>
      <c r="G288" s="4">
        <v>25327.05</v>
      </c>
      <c r="H288" s="4">
        <v>46880.37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f>SUM(Table1[[#This Row],[2025]:[2018]])</f>
        <v>91798.790000000008</v>
      </c>
      <c r="O288" s="2">
        <f>Table1[[#This Row],[ttl]]/SUM(Table1[ttl])</f>
        <v>1.8510574073240664E-4</v>
      </c>
      <c r="P288" s="3">
        <f>SUM($O$2:Table1[[#This Row],[pctAllTimeExp]])</f>
        <v>0.96051644822417781</v>
      </c>
      <c r="Q288" t="b">
        <f>Table1[[#This Row],[cumPctAllTimeExp]]&lt;0.95</f>
        <v>0</v>
      </c>
    </row>
    <row r="289" spans="1:17" x14ac:dyDescent="0.25">
      <c r="A289">
        <v>242</v>
      </c>
      <c r="C289" t="s">
        <v>2508</v>
      </c>
      <c r="E289" t="s">
        <v>244</v>
      </c>
      <c r="F289" s="4">
        <v>8335</v>
      </c>
      <c r="G289" s="4">
        <v>9801</v>
      </c>
      <c r="H289" s="4">
        <v>14929</v>
      </c>
      <c r="I289" s="4">
        <v>5499.25</v>
      </c>
      <c r="J289" s="4">
        <v>11549.5</v>
      </c>
      <c r="K289" s="4">
        <v>12905.55</v>
      </c>
      <c r="L289" s="4">
        <v>10194.5</v>
      </c>
      <c r="M289" s="4">
        <v>18420</v>
      </c>
      <c r="N289" s="4">
        <f>SUM(Table1[[#This Row],[2025]:[2018]])</f>
        <v>91633.8</v>
      </c>
      <c r="O289" s="2">
        <f>Table1[[#This Row],[ttl]]/SUM(Table1[ttl])</f>
        <v>1.8477305011455164E-4</v>
      </c>
      <c r="P289" s="3">
        <f>SUM($O$2:Table1[[#This Row],[pctAllTimeExp]])</f>
        <v>0.96070122127429236</v>
      </c>
      <c r="Q289" t="b">
        <f>Table1[[#This Row],[cumPctAllTimeExp]]&lt;0.95</f>
        <v>0</v>
      </c>
    </row>
    <row r="290" spans="1:17" x14ac:dyDescent="0.25">
      <c r="A290">
        <v>967</v>
      </c>
      <c r="C290" t="s">
        <v>2508</v>
      </c>
      <c r="E290" t="s">
        <v>969</v>
      </c>
      <c r="F290" s="4">
        <v>0</v>
      </c>
      <c r="G290" s="4">
        <v>0</v>
      </c>
      <c r="H290" s="4">
        <v>64996</v>
      </c>
      <c r="I290" s="4">
        <v>26300</v>
      </c>
      <c r="J290" s="4">
        <v>0</v>
      </c>
      <c r="K290" s="4">
        <v>0</v>
      </c>
      <c r="L290" s="4">
        <v>0</v>
      </c>
      <c r="M290" s="4">
        <v>0</v>
      </c>
      <c r="N290" s="4">
        <f>SUM(Table1[[#This Row],[2025]:[2018]])</f>
        <v>91296</v>
      </c>
      <c r="O290" s="2">
        <f>Table1[[#This Row],[ttl]]/SUM(Table1[ttl])</f>
        <v>1.84091900404197E-4</v>
      </c>
      <c r="P290" s="3">
        <f>SUM($O$2:Table1[[#This Row],[pctAllTimeExp]])</f>
        <v>0.96088531317469661</v>
      </c>
      <c r="Q290" t="b">
        <f>Table1[[#This Row],[cumPctAllTimeExp]]&lt;0.95</f>
        <v>0</v>
      </c>
    </row>
    <row r="291" spans="1:17" x14ac:dyDescent="0.25">
      <c r="A291">
        <v>285</v>
      </c>
      <c r="C291" t="s">
        <v>2508</v>
      </c>
      <c r="E291" t="s">
        <v>287</v>
      </c>
      <c r="F291" s="4">
        <v>5887.5</v>
      </c>
      <c r="G291" s="4">
        <v>14521</v>
      </c>
      <c r="H291" s="4">
        <v>10654</v>
      </c>
      <c r="I291" s="4">
        <v>29377</v>
      </c>
      <c r="J291" s="4">
        <v>14170.5</v>
      </c>
      <c r="K291" s="4">
        <v>14940</v>
      </c>
      <c r="L291" s="4">
        <v>0</v>
      </c>
      <c r="M291" s="4">
        <v>0</v>
      </c>
      <c r="N291" s="4">
        <f>SUM(Table1[[#This Row],[2025]:[2018]])</f>
        <v>89550</v>
      </c>
      <c r="O291" s="2">
        <f>Table1[[#This Row],[ttl]]/SUM(Table1[ttl])</f>
        <v>1.805712154004101E-4</v>
      </c>
      <c r="P291" s="3">
        <f>SUM($O$2:Table1[[#This Row],[pctAllTimeExp]])</f>
        <v>0.96106588439009699</v>
      </c>
      <c r="Q291" t="b">
        <f>Table1[[#This Row],[cumPctAllTimeExp]]&lt;0.95</f>
        <v>0</v>
      </c>
    </row>
    <row r="292" spans="1:17" x14ac:dyDescent="0.25">
      <c r="A292">
        <v>66</v>
      </c>
      <c r="C292" t="s">
        <v>2508</v>
      </c>
      <c r="E292" t="s">
        <v>68</v>
      </c>
      <c r="F292" s="4">
        <v>89371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f>SUM(Table1[[#This Row],[2025]:[2018]])</f>
        <v>89371</v>
      </c>
      <c r="O292" s="2">
        <f>Table1[[#This Row],[ttl]]/SUM(Table1[ttl])</f>
        <v>1.8021027461250755E-4</v>
      </c>
      <c r="P292" s="3">
        <f>SUM($O$2:Table1[[#This Row],[pctAllTimeExp]])</f>
        <v>0.96124609466470945</v>
      </c>
      <c r="Q292" t="b">
        <f>Table1[[#This Row],[cumPctAllTimeExp]]&lt;0.95</f>
        <v>0</v>
      </c>
    </row>
    <row r="293" spans="1:17" x14ac:dyDescent="0.25">
      <c r="A293">
        <v>314</v>
      </c>
      <c r="C293" t="s">
        <v>2508</v>
      </c>
      <c r="E293" t="s">
        <v>316</v>
      </c>
      <c r="F293" s="4">
        <v>4434.0600000000004</v>
      </c>
      <c r="G293" s="4">
        <v>8692.52</v>
      </c>
      <c r="H293" s="4">
        <v>5910.32</v>
      </c>
      <c r="I293" s="4">
        <v>24225.75</v>
      </c>
      <c r="J293" s="4">
        <v>0</v>
      </c>
      <c r="K293" s="4">
        <v>6707.2</v>
      </c>
      <c r="L293" s="4">
        <v>33352.699999999997</v>
      </c>
      <c r="M293" s="4">
        <v>5793.87</v>
      </c>
      <c r="N293" s="4">
        <f>SUM(Table1[[#This Row],[2025]:[2018]])</f>
        <v>89116.419999999984</v>
      </c>
      <c r="O293" s="2">
        <f>Table1[[#This Row],[ttl]]/SUM(Table1[ttl])</f>
        <v>1.796969321220928E-4</v>
      </c>
      <c r="P293" s="3">
        <f>SUM($O$2:Table1[[#This Row],[pctAllTimeExp]])</f>
        <v>0.9614257915968315</v>
      </c>
      <c r="Q293" t="b">
        <f>Table1[[#This Row],[cumPctAllTimeExp]]&lt;0.95</f>
        <v>0</v>
      </c>
    </row>
    <row r="294" spans="1:17" x14ac:dyDescent="0.25">
      <c r="A294">
        <v>185</v>
      </c>
      <c r="C294" t="s">
        <v>2508</v>
      </c>
      <c r="E294" t="s">
        <v>187</v>
      </c>
      <c r="F294" s="4">
        <v>17157.97</v>
      </c>
      <c r="G294" s="4">
        <v>10330</v>
      </c>
      <c r="H294" s="4">
        <v>27305</v>
      </c>
      <c r="I294" s="4">
        <v>0</v>
      </c>
      <c r="J294" s="4">
        <v>0</v>
      </c>
      <c r="K294" s="4">
        <v>9080</v>
      </c>
      <c r="L294" s="4">
        <v>5125</v>
      </c>
      <c r="M294" s="4">
        <v>19375</v>
      </c>
      <c r="N294" s="4">
        <f>SUM(Table1[[#This Row],[2025]:[2018]])</f>
        <v>88372.97</v>
      </c>
      <c r="O294" s="2">
        <f>Table1[[#This Row],[ttl]]/SUM(Table1[ttl])</f>
        <v>1.7819781799490765E-4</v>
      </c>
      <c r="P294" s="3">
        <f>SUM($O$2:Table1[[#This Row],[pctAllTimeExp]])</f>
        <v>0.96160398941482639</v>
      </c>
      <c r="Q294" t="b">
        <f>Table1[[#This Row],[cumPctAllTimeExp]]&lt;0.95</f>
        <v>0</v>
      </c>
    </row>
    <row r="295" spans="1:17" x14ac:dyDescent="0.25">
      <c r="A295">
        <v>1047</v>
      </c>
      <c r="C295" t="s">
        <v>2508</v>
      </c>
      <c r="E295" t="s">
        <v>1049</v>
      </c>
      <c r="F295" s="4">
        <v>0</v>
      </c>
      <c r="G295" s="4">
        <v>0</v>
      </c>
      <c r="H295" s="4">
        <v>3650</v>
      </c>
      <c r="I295" s="4">
        <v>0</v>
      </c>
      <c r="J295" s="4">
        <v>6289</v>
      </c>
      <c r="K295" s="4">
        <v>2200</v>
      </c>
      <c r="L295" s="4">
        <v>44520</v>
      </c>
      <c r="M295" s="4">
        <v>29817</v>
      </c>
      <c r="N295" s="4">
        <f>SUM(Table1[[#This Row],[2025]:[2018]])</f>
        <v>86476</v>
      </c>
      <c r="O295" s="2">
        <f>Table1[[#This Row],[ttl]]/SUM(Table1[ttl])</f>
        <v>1.7437271270760317E-4</v>
      </c>
      <c r="P295" s="3">
        <f>SUM($O$2:Table1[[#This Row],[pctAllTimeExp]])</f>
        <v>0.96177836212753398</v>
      </c>
      <c r="Q295" t="b">
        <f>Table1[[#This Row],[cumPctAllTimeExp]]&lt;0.95</f>
        <v>0</v>
      </c>
    </row>
    <row r="296" spans="1:17" x14ac:dyDescent="0.25">
      <c r="A296">
        <v>962</v>
      </c>
      <c r="C296" t="s">
        <v>2508</v>
      </c>
      <c r="E296" t="s">
        <v>964</v>
      </c>
      <c r="F296" s="4">
        <v>0</v>
      </c>
      <c r="G296" s="4">
        <v>0</v>
      </c>
      <c r="H296" s="4">
        <v>85970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f>SUM(Table1[[#This Row],[2025]:[2018]])</f>
        <v>85970</v>
      </c>
      <c r="O296" s="2">
        <f>Table1[[#This Row],[ttl]]/SUM(Table1[ttl])</f>
        <v>1.733523996423591E-4</v>
      </c>
      <c r="P296" s="3">
        <f>SUM($O$2:Table1[[#This Row],[pctAllTimeExp]])</f>
        <v>0.96195171452717632</v>
      </c>
      <c r="Q296" t="b">
        <f>Table1[[#This Row],[cumPctAllTimeExp]]&lt;0.95</f>
        <v>0</v>
      </c>
    </row>
    <row r="297" spans="1:17" x14ac:dyDescent="0.25">
      <c r="A297">
        <v>102</v>
      </c>
      <c r="C297" t="s">
        <v>2508</v>
      </c>
      <c r="E297" t="s">
        <v>104</v>
      </c>
      <c r="F297" s="4">
        <v>46049.25</v>
      </c>
      <c r="G297" s="4">
        <v>1192.06</v>
      </c>
      <c r="H297" s="4">
        <v>34673.949999999997</v>
      </c>
      <c r="I297" s="4">
        <v>0</v>
      </c>
      <c r="J297" s="4">
        <v>3643.17</v>
      </c>
      <c r="K297" s="4">
        <v>0</v>
      </c>
      <c r="L297" s="4">
        <v>0</v>
      </c>
      <c r="M297" s="4">
        <v>0</v>
      </c>
      <c r="N297" s="4">
        <f>SUM(Table1[[#This Row],[2025]:[2018]])</f>
        <v>85558.43</v>
      </c>
      <c r="O297" s="2">
        <f>Table1[[#This Row],[ttl]]/SUM(Table1[ttl])</f>
        <v>1.7252249796595096E-4</v>
      </c>
      <c r="P297" s="3">
        <f>SUM($O$2:Table1[[#This Row],[pctAllTimeExp]])</f>
        <v>0.96212423702514227</v>
      </c>
      <c r="Q297" t="b">
        <f>Table1[[#This Row],[cumPctAllTimeExp]]&lt;0.95</f>
        <v>0</v>
      </c>
    </row>
    <row r="298" spans="1:17" x14ac:dyDescent="0.25">
      <c r="A298">
        <v>443</v>
      </c>
      <c r="C298" t="s">
        <v>2508</v>
      </c>
      <c r="E298" t="s">
        <v>445</v>
      </c>
      <c r="F298" s="4">
        <v>1280</v>
      </c>
      <c r="G298" s="4">
        <v>33778</v>
      </c>
      <c r="H298" s="4">
        <v>6050</v>
      </c>
      <c r="I298" s="4">
        <v>15084</v>
      </c>
      <c r="J298" s="4">
        <v>1911</v>
      </c>
      <c r="K298" s="4">
        <v>21700</v>
      </c>
      <c r="L298" s="4">
        <v>0</v>
      </c>
      <c r="M298" s="4">
        <v>5750</v>
      </c>
      <c r="N298" s="4">
        <f>SUM(Table1[[#This Row],[2025]:[2018]])</f>
        <v>85553</v>
      </c>
      <c r="O298" s="2">
        <f>Table1[[#This Row],[ttl]]/SUM(Table1[ttl])</f>
        <v>1.7251154875657493E-4</v>
      </c>
      <c r="P298" s="3">
        <f>SUM($O$2:Table1[[#This Row],[pctAllTimeExp]])</f>
        <v>0.9622967485738988</v>
      </c>
      <c r="Q298" t="b">
        <f>Table1[[#This Row],[cumPctAllTimeExp]]&lt;0.95</f>
        <v>0</v>
      </c>
    </row>
    <row r="299" spans="1:17" x14ac:dyDescent="0.25">
      <c r="A299">
        <v>1038</v>
      </c>
      <c r="C299" t="s">
        <v>2508</v>
      </c>
      <c r="E299" t="s">
        <v>1040</v>
      </c>
      <c r="F299" s="4">
        <v>0</v>
      </c>
      <c r="G299" s="4">
        <v>0</v>
      </c>
      <c r="H299" s="4">
        <v>5200</v>
      </c>
      <c r="I299" s="4">
        <v>60450</v>
      </c>
      <c r="J299" s="4">
        <v>19750</v>
      </c>
      <c r="K299" s="4">
        <v>0</v>
      </c>
      <c r="L299" s="4">
        <v>0</v>
      </c>
      <c r="M299" s="4">
        <v>0</v>
      </c>
      <c r="N299" s="4">
        <f>SUM(Table1[[#This Row],[2025]:[2018]])</f>
        <v>85400</v>
      </c>
      <c r="O299" s="2">
        <f>Table1[[#This Row],[ttl]]/SUM(Table1[ttl])</f>
        <v>1.7220303512222246E-4</v>
      </c>
      <c r="P299" s="3">
        <f>SUM($O$2:Table1[[#This Row],[pctAllTimeExp]])</f>
        <v>0.96246895160902102</v>
      </c>
      <c r="Q299" t="b">
        <f>Table1[[#This Row],[cumPctAllTimeExp]]&lt;0.95</f>
        <v>0</v>
      </c>
    </row>
    <row r="300" spans="1:17" x14ac:dyDescent="0.25">
      <c r="A300">
        <v>997</v>
      </c>
      <c r="C300" t="s">
        <v>2508</v>
      </c>
      <c r="E300" t="s">
        <v>999</v>
      </c>
      <c r="F300" s="4">
        <v>0</v>
      </c>
      <c r="G300" s="4">
        <v>0</v>
      </c>
      <c r="H300" s="4">
        <v>15000</v>
      </c>
      <c r="I300" s="4">
        <v>15000</v>
      </c>
      <c r="J300" s="4">
        <v>11500</v>
      </c>
      <c r="K300" s="4">
        <v>11500</v>
      </c>
      <c r="L300" s="4">
        <v>18802.330000000002</v>
      </c>
      <c r="M300" s="4">
        <v>13254.69</v>
      </c>
      <c r="N300" s="4">
        <f>SUM(Table1[[#This Row],[2025]:[2018]])</f>
        <v>85057.02</v>
      </c>
      <c r="O300" s="2">
        <f>Table1[[#This Row],[ttl]]/SUM(Table1[ttl])</f>
        <v>1.7151144030973746E-4</v>
      </c>
      <c r="P300" s="3">
        <f>SUM($O$2:Table1[[#This Row],[pctAllTimeExp]])</f>
        <v>0.96264046304933071</v>
      </c>
      <c r="Q300" t="b">
        <f>Table1[[#This Row],[cumPctAllTimeExp]]&lt;0.95</f>
        <v>0</v>
      </c>
    </row>
    <row r="301" spans="1:17" x14ac:dyDescent="0.25">
      <c r="A301">
        <v>979</v>
      </c>
      <c r="C301" t="s">
        <v>2508</v>
      </c>
      <c r="E301" t="s">
        <v>981</v>
      </c>
      <c r="F301" s="4">
        <v>0</v>
      </c>
      <c r="G301" s="4">
        <v>0</v>
      </c>
      <c r="H301" s="4">
        <v>25240</v>
      </c>
      <c r="I301" s="4">
        <v>0</v>
      </c>
      <c r="J301" s="4">
        <v>20670</v>
      </c>
      <c r="K301" s="4">
        <v>19859.22</v>
      </c>
      <c r="L301" s="4">
        <v>0</v>
      </c>
      <c r="M301" s="4">
        <v>17500</v>
      </c>
      <c r="N301" s="4">
        <f>SUM(Table1[[#This Row],[2025]:[2018]])</f>
        <v>83269.22</v>
      </c>
      <c r="O301" s="2">
        <f>Table1[[#This Row],[ttl]]/SUM(Table1[ttl])</f>
        <v>1.679064685744739E-4</v>
      </c>
      <c r="P301" s="3">
        <f>SUM($O$2:Table1[[#This Row],[pctAllTimeExp]])</f>
        <v>0.96280836951790516</v>
      </c>
      <c r="Q301" t="b">
        <f>Table1[[#This Row],[cumPctAllTimeExp]]&lt;0.95</f>
        <v>0</v>
      </c>
    </row>
    <row r="302" spans="1:17" x14ac:dyDescent="0.25">
      <c r="A302">
        <v>974</v>
      </c>
      <c r="C302" t="s">
        <v>2508</v>
      </c>
      <c r="E302" t="s">
        <v>976</v>
      </c>
      <c r="F302" s="4">
        <v>0</v>
      </c>
      <c r="G302" s="4">
        <v>0</v>
      </c>
      <c r="H302" s="4">
        <v>32585.21</v>
      </c>
      <c r="I302" s="4">
        <v>0</v>
      </c>
      <c r="J302" s="4">
        <v>45288.55</v>
      </c>
      <c r="K302" s="4">
        <v>5127.2</v>
      </c>
      <c r="L302" s="4">
        <v>0</v>
      </c>
      <c r="M302" s="4">
        <v>0</v>
      </c>
      <c r="N302" s="4">
        <f>SUM(Table1[[#This Row],[2025]:[2018]])</f>
        <v>83000.960000000006</v>
      </c>
      <c r="O302" s="2">
        <f>Table1[[#This Row],[ttl]]/SUM(Table1[ttl])</f>
        <v>1.6736554133557591E-4</v>
      </c>
      <c r="P302" s="3">
        <f>SUM($O$2:Table1[[#This Row],[pctAllTimeExp]])</f>
        <v>0.96297573505924072</v>
      </c>
      <c r="Q302" t="b">
        <f>Table1[[#This Row],[cumPctAllTimeExp]]&lt;0.95</f>
        <v>0</v>
      </c>
    </row>
    <row r="303" spans="1:17" x14ac:dyDescent="0.25">
      <c r="A303">
        <v>1034</v>
      </c>
      <c r="C303" t="s">
        <v>2508</v>
      </c>
      <c r="E303" t="s">
        <v>1036</v>
      </c>
      <c r="F303" s="4">
        <v>0</v>
      </c>
      <c r="G303" s="4">
        <v>0</v>
      </c>
      <c r="H303" s="4">
        <v>5848.65</v>
      </c>
      <c r="I303" s="4">
        <v>5936.32</v>
      </c>
      <c r="J303" s="4">
        <v>16002.13</v>
      </c>
      <c r="K303" s="4">
        <v>11546.08</v>
      </c>
      <c r="L303" s="4">
        <v>37358</v>
      </c>
      <c r="M303" s="4">
        <v>5177.7</v>
      </c>
      <c r="N303" s="4">
        <f>SUM(Table1[[#This Row],[2025]:[2018]])</f>
        <v>81868.87999999999</v>
      </c>
      <c r="O303" s="2">
        <f>Table1[[#This Row],[ttl]]/SUM(Table1[ttl])</f>
        <v>1.650827824128456E-4</v>
      </c>
      <c r="P303" s="3">
        <f>SUM($O$2:Table1[[#This Row],[pctAllTimeExp]])</f>
        <v>0.96314081784165362</v>
      </c>
      <c r="Q303" t="b">
        <f>Table1[[#This Row],[cumPctAllTimeExp]]&lt;0.95</f>
        <v>0</v>
      </c>
    </row>
    <row r="304" spans="1:17" x14ac:dyDescent="0.25">
      <c r="A304">
        <v>390</v>
      </c>
      <c r="C304" t="s">
        <v>2508</v>
      </c>
      <c r="E304" t="s">
        <v>392</v>
      </c>
      <c r="F304" s="4">
        <v>2100</v>
      </c>
      <c r="G304" s="4">
        <v>0</v>
      </c>
      <c r="H304" s="4">
        <v>9152.4</v>
      </c>
      <c r="I304" s="4">
        <v>0</v>
      </c>
      <c r="J304" s="4">
        <v>0</v>
      </c>
      <c r="K304" s="4">
        <v>292.8</v>
      </c>
      <c r="L304" s="4">
        <v>43176.36</v>
      </c>
      <c r="M304" s="4">
        <v>25893</v>
      </c>
      <c r="N304" s="4">
        <f>SUM(Table1[[#This Row],[2025]:[2018]])</f>
        <v>80614.559999999998</v>
      </c>
      <c r="O304" s="2">
        <f>Table1[[#This Row],[ttl]]/SUM(Table1[ttl])</f>
        <v>1.6255353521127061E-4</v>
      </c>
      <c r="P304" s="3">
        <f>SUM($O$2:Table1[[#This Row],[pctAllTimeExp]])</f>
        <v>0.96330337137686484</v>
      </c>
      <c r="Q304" t="b">
        <f>Table1[[#This Row],[cumPctAllTimeExp]]&lt;0.95</f>
        <v>0</v>
      </c>
    </row>
    <row r="305" spans="1:17" x14ac:dyDescent="0.25">
      <c r="A305">
        <v>110</v>
      </c>
      <c r="C305" t="s">
        <v>2508</v>
      </c>
      <c r="E305" t="s">
        <v>112</v>
      </c>
      <c r="F305" s="4">
        <v>40500</v>
      </c>
      <c r="G305" s="4">
        <v>34981.79</v>
      </c>
      <c r="H305" s="4">
        <v>0</v>
      </c>
      <c r="I305" s="4">
        <v>0</v>
      </c>
      <c r="J305" s="4">
        <v>0</v>
      </c>
      <c r="K305" s="4">
        <v>0</v>
      </c>
      <c r="L305" s="4">
        <v>2592</v>
      </c>
      <c r="M305" s="4">
        <v>2208</v>
      </c>
      <c r="N305" s="4">
        <f>SUM(Table1[[#This Row],[2025]:[2018]])</f>
        <v>80281.790000000008</v>
      </c>
      <c r="O305" s="2">
        <f>Table1[[#This Row],[ttl]]/SUM(Table1[ttl])</f>
        <v>1.6188252813869895E-4</v>
      </c>
      <c r="P305" s="3">
        <f>SUM($O$2:Table1[[#This Row],[pctAllTimeExp]])</f>
        <v>0.96346525390500348</v>
      </c>
      <c r="Q305" t="b">
        <f>Table1[[#This Row],[cumPctAllTimeExp]]&lt;0.95</f>
        <v>0</v>
      </c>
    </row>
    <row r="306" spans="1:17" x14ac:dyDescent="0.25">
      <c r="A306">
        <v>1200</v>
      </c>
      <c r="C306" t="s">
        <v>2508</v>
      </c>
      <c r="E306" t="s">
        <v>1202</v>
      </c>
      <c r="F306" s="4">
        <v>0</v>
      </c>
      <c r="G306" s="4">
        <v>0</v>
      </c>
      <c r="H306" s="4">
        <v>0</v>
      </c>
      <c r="I306" s="4">
        <v>80200</v>
      </c>
      <c r="J306" s="4">
        <v>0</v>
      </c>
      <c r="K306" s="4">
        <v>0</v>
      </c>
      <c r="L306" s="4">
        <v>0</v>
      </c>
      <c r="M306" s="4">
        <v>0</v>
      </c>
      <c r="N306" s="4">
        <f>SUM(Table1[[#This Row],[2025]:[2018]])</f>
        <v>80200</v>
      </c>
      <c r="O306" s="2">
        <f>Table1[[#This Row],[ttl]]/SUM(Table1[ttl])</f>
        <v>1.6171760441220423E-4</v>
      </c>
      <c r="P306" s="3">
        <f>SUM($O$2:Table1[[#This Row],[pctAllTimeExp]])</f>
        <v>0.96362697150941568</v>
      </c>
      <c r="Q306" t="b">
        <f>Table1[[#This Row],[cumPctAllTimeExp]]&lt;0.95</f>
        <v>0</v>
      </c>
    </row>
    <row r="307" spans="1:17" x14ac:dyDescent="0.25">
      <c r="A307">
        <v>79</v>
      </c>
      <c r="C307" t="s">
        <v>2508</v>
      </c>
      <c r="E307" t="s">
        <v>81</v>
      </c>
      <c r="F307" s="4">
        <v>69253.679999999993</v>
      </c>
      <c r="G307" s="4">
        <v>10598.85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f>SUM(Table1[[#This Row],[2025]:[2018]])</f>
        <v>79852.53</v>
      </c>
      <c r="O307" s="2">
        <f>Table1[[#This Row],[ttl]]/SUM(Table1[ttl])</f>
        <v>1.6101695583358691E-4</v>
      </c>
      <c r="P307" s="3">
        <f>SUM($O$2:Table1[[#This Row],[pctAllTimeExp]])</f>
        <v>0.96378798846524927</v>
      </c>
      <c r="Q307" t="b">
        <f>Table1[[#This Row],[cumPctAllTimeExp]]&lt;0.95</f>
        <v>0</v>
      </c>
    </row>
    <row r="308" spans="1:17" x14ac:dyDescent="0.25">
      <c r="A308">
        <v>873</v>
      </c>
      <c r="C308" t="s">
        <v>2508</v>
      </c>
      <c r="E308" t="s">
        <v>875</v>
      </c>
      <c r="F308" s="4">
        <v>0</v>
      </c>
      <c r="G308" s="4">
        <v>529</v>
      </c>
      <c r="H308" s="4">
        <v>956</v>
      </c>
      <c r="I308" s="4">
        <v>37687.660000000003</v>
      </c>
      <c r="J308" s="4">
        <v>40088</v>
      </c>
      <c r="K308" s="4">
        <v>0</v>
      </c>
      <c r="L308" s="4">
        <v>0</v>
      </c>
      <c r="M308" s="4">
        <v>0</v>
      </c>
      <c r="N308" s="4">
        <f>SUM(Table1[[#This Row],[2025]:[2018]])</f>
        <v>79260.66</v>
      </c>
      <c r="O308" s="2">
        <f>Table1[[#This Row],[ttl]]/SUM(Table1[ttl])</f>
        <v>1.5982349201159877E-4</v>
      </c>
      <c r="P308" s="3">
        <f>SUM($O$2:Table1[[#This Row],[pctAllTimeExp]])</f>
        <v>0.96394781195726087</v>
      </c>
      <c r="Q308" t="b">
        <f>Table1[[#This Row],[cumPctAllTimeExp]]&lt;0.95</f>
        <v>0</v>
      </c>
    </row>
    <row r="309" spans="1:17" x14ac:dyDescent="0.25">
      <c r="A309">
        <v>374</v>
      </c>
      <c r="C309" t="s">
        <v>2508</v>
      </c>
      <c r="E309" t="s">
        <v>376</v>
      </c>
      <c r="F309" s="4">
        <v>2448</v>
      </c>
      <c r="G309" s="4">
        <v>2216.59</v>
      </c>
      <c r="H309" s="4">
        <v>7720.44</v>
      </c>
      <c r="I309" s="4">
        <v>8293.02</v>
      </c>
      <c r="J309" s="4">
        <v>27978.84</v>
      </c>
      <c r="K309" s="4">
        <v>9784.6200000000008</v>
      </c>
      <c r="L309" s="4">
        <v>13219.85</v>
      </c>
      <c r="M309" s="4">
        <v>7197.54</v>
      </c>
      <c r="N309" s="4">
        <f>SUM(Table1[[#This Row],[2025]:[2018]])</f>
        <v>78858.899999999994</v>
      </c>
      <c r="O309" s="2">
        <f>Table1[[#This Row],[ttl]]/SUM(Table1[ttl])</f>
        <v>1.5901337150351087E-4</v>
      </c>
      <c r="P309" s="3">
        <f>SUM($O$2:Table1[[#This Row],[pctAllTimeExp]])</f>
        <v>0.96410682532876435</v>
      </c>
      <c r="Q309" t="b">
        <f>Table1[[#This Row],[cumPctAllTimeExp]]&lt;0.95</f>
        <v>0</v>
      </c>
    </row>
    <row r="310" spans="1:17" x14ac:dyDescent="0.25">
      <c r="A310">
        <v>275</v>
      </c>
      <c r="C310" t="s">
        <v>2508</v>
      </c>
      <c r="E310" t="s">
        <v>277</v>
      </c>
      <c r="F310" s="4">
        <v>6400</v>
      </c>
      <c r="G310" s="4">
        <v>54113</v>
      </c>
      <c r="H310" s="4">
        <v>0</v>
      </c>
      <c r="I310" s="4">
        <v>16700</v>
      </c>
      <c r="J310" s="4">
        <v>1240</v>
      </c>
      <c r="K310" s="4">
        <v>0</v>
      </c>
      <c r="L310" s="4">
        <v>0</v>
      </c>
      <c r="M310" s="4">
        <v>0</v>
      </c>
      <c r="N310" s="4">
        <f>SUM(Table1[[#This Row],[2025]:[2018]])</f>
        <v>78453</v>
      </c>
      <c r="O310" s="2">
        <f>Table1[[#This Row],[ttl]]/SUM(Table1[ttl])</f>
        <v>1.5819490297943464E-4</v>
      </c>
      <c r="P310" s="3">
        <f>SUM($O$2:Table1[[#This Row],[pctAllTimeExp]])</f>
        <v>0.96426502023174376</v>
      </c>
      <c r="Q310" t="b">
        <f>Table1[[#This Row],[cumPctAllTimeExp]]&lt;0.95</f>
        <v>0</v>
      </c>
    </row>
    <row r="311" spans="1:17" x14ac:dyDescent="0.25">
      <c r="A311">
        <v>1980</v>
      </c>
      <c r="C311" t="s">
        <v>2508</v>
      </c>
      <c r="E311" t="s">
        <v>1982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19764.36</v>
      </c>
      <c r="M311" s="4">
        <v>58466.239999999998</v>
      </c>
      <c r="N311" s="4">
        <f>SUM(Table1[[#This Row],[2025]:[2018]])</f>
        <v>78230.600000000006</v>
      </c>
      <c r="O311" s="2">
        <f>Table1[[#This Row],[ttl]]/SUM(Table1[ttl])</f>
        <v>1.5774644917368312E-4</v>
      </c>
      <c r="P311" s="3">
        <f>SUM($O$2:Table1[[#This Row],[pctAllTimeExp]])</f>
        <v>0.96442276668091742</v>
      </c>
      <c r="Q311" t="b">
        <f>Table1[[#This Row],[cumPctAllTimeExp]]&lt;0.95</f>
        <v>0</v>
      </c>
    </row>
    <row r="312" spans="1:17" x14ac:dyDescent="0.25">
      <c r="A312">
        <v>1970</v>
      </c>
      <c r="C312" t="s">
        <v>2508</v>
      </c>
      <c r="E312" t="s">
        <v>1972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78000</v>
      </c>
      <c r="M312" s="4">
        <v>0</v>
      </c>
      <c r="N312" s="4">
        <f>SUM(Table1[[#This Row],[2025]:[2018]])</f>
        <v>78000</v>
      </c>
      <c r="O312" s="2">
        <f>Table1[[#This Row],[ttl]]/SUM(Table1[ttl])</f>
        <v>1.5728146065027346E-4</v>
      </c>
      <c r="P312" s="3">
        <f>SUM($O$2:Table1[[#This Row],[pctAllTimeExp]])</f>
        <v>0.96458004814156773</v>
      </c>
      <c r="Q312" t="b">
        <f>Table1[[#This Row],[cumPctAllTimeExp]]&lt;0.95</f>
        <v>0</v>
      </c>
    </row>
    <row r="313" spans="1:17" x14ac:dyDescent="0.25">
      <c r="A313">
        <v>725</v>
      </c>
      <c r="C313" t="s">
        <v>2508</v>
      </c>
      <c r="E313" t="s">
        <v>727</v>
      </c>
      <c r="F313" s="4">
        <v>0</v>
      </c>
      <c r="G313" s="4">
        <v>18010</v>
      </c>
      <c r="H313" s="4">
        <v>16515</v>
      </c>
      <c r="I313" s="4">
        <v>17835</v>
      </c>
      <c r="J313" s="4">
        <v>4970</v>
      </c>
      <c r="K313" s="4">
        <v>9800</v>
      </c>
      <c r="L313" s="4">
        <v>10725</v>
      </c>
      <c r="M313" s="4">
        <v>0</v>
      </c>
      <c r="N313" s="4">
        <f>SUM(Table1[[#This Row],[2025]:[2018]])</f>
        <v>77855</v>
      </c>
      <c r="O313" s="2">
        <f>Table1[[#This Row],[ttl]]/SUM(Table1[ttl])</f>
        <v>1.5698907844778257E-4</v>
      </c>
      <c r="P313" s="3">
        <f>SUM($O$2:Table1[[#This Row],[pctAllTimeExp]])</f>
        <v>0.96473703722001547</v>
      </c>
      <c r="Q313" t="b">
        <f>Table1[[#This Row],[cumPctAllTimeExp]]&lt;0.95</f>
        <v>0</v>
      </c>
    </row>
    <row r="314" spans="1:17" x14ac:dyDescent="0.25">
      <c r="A314">
        <v>226</v>
      </c>
      <c r="C314" t="s">
        <v>2508</v>
      </c>
      <c r="E314" t="s">
        <v>228</v>
      </c>
      <c r="F314" s="4">
        <v>9622.41</v>
      </c>
      <c r="G314" s="4">
        <v>4700.33</v>
      </c>
      <c r="H314" s="4">
        <v>7750.42</v>
      </c>
      <c r="I314" s="4">
        <v>11066.44</v>
      </c>
      <c r="J314" s="4">
        <v>15436.85</v>
      </c>
      <c r="K314" s="4">
        <v>22146.53</v>
      </c>
      <c r="L314" s="4">
        <v>6584.53</v>
      </c>
      <c r="M314" s="4">
        <v>0</v>
      </c>
      <c r="N314" s="4">
        <f>SUM(Table1[[#This Row],[2025]:[2018]])</f>
        <v>77307.509999999995</v>
      </c>
      <c r="O314" s="2">
        <f>Table1[[#This Row],[ttl]]/SUM(Table1[ttl])</f>
        <v>1.5588510374404642E-4</v>
      </c>
      <c r="P314" s="3">
        <f>SUM($O$2:Table1[[#This Row],[pctAllTimeExp]])</f>
        <v>0.96489292232375956</v>
      </c>
      <c r="Q314" t="b">
        <f>Table1[[#This Row],[cumPctAllTimeExp]]&lt;0.95</f>
        <v>0</v>
      </c>
    </row>
    <row r="315" spans="1:17" x14ac:dyDescent="0.25">
      <c r="A315">
        <v>1003</v>
      </c>
      <c r="C315" t="s">
        <v>2508</v>
      </c>
      <c r="E315" t="s">
        <v>1005</v>
      </c>
      <c r="F315" s="4">
        <v>0</v>
      </c>
      <c r="G315" s="4">
        <v>0</v>
      </c>
      <c r="H315" s="4">
        <v>12820</v>
      </c>
      <c r="I315" s="4">
        <v>1685</v>
      </c>
      <c r="J315" s="4">
        <v>1260</v>
      </c>
      <c r="K315" s="4">
        <v>36570</v>
      </c>
      <c r="L315" s="4">
        <v>24585</v>
      </c>
      <c r="M315" s="4">
        <v>0</v>
      </c>
      <c r="N315" s="4">
        <f>SUM(Table1[[#This Row],[2025]:[2018]])</f>
        <v>76920</v>
      </c>
      <c r="O315" s="2">
        <f>Table1[[#This Row],[ttl]]/SUM(Table1[ttl])</f>
        <v>1.5510371734896197E-4</v>
      </c>
      <c r="P315" s="3">
        <f>SUM($O$2:Table1[[#This Row],[pctAllTimeExp]])</f>
        <v>0.96504802604110851</v>
      </c>
      <c r="Q315" t="b">
        <f>Table1[[#This Row],[cumPctAllTimeExp]]&lt;0.95</f>
        <v>0</v>
      </c>
    </row>
    <row r="316" spans="1:17" x14ac:dyDescent="0.25">
      <c r="A316">
        <v>963</v>
      </c>
      <c r="C316" t="s">
        <v>2508</v>
      </c>
      <c r="E316" t="s">
        <v>965</v>
      </c>
      <c r="F316" s="4">
        <v>0</v>
      </c>
      <c r="G316" s="4">
        <v>0</v>
      </c>
      <c r="H316" s="4">
        <v>76896.95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f>SUM(Table1[[#This Row],[2025]:[2018]])</f>
        <v>76896.95</v>
      </c>
      <c r="O316" s="2">
        <f>Table1[[#This Row],[ttl]]/SUM(Table1[ttl])</f>
        <v>1.5505723866091083E-4</v>
      </c>
      <c r="P316" s="3">
        <f>SUM($O$2:Table1[[#This Row],[pctAllTimeExp]])</f>
        <v>0.96520308327976945</v>
      </c>
      <c r="Q316" t="b">
        <f>Table1[[#This Row],[cumPctAllTimeExp]]&lt;0.95</f>
        <v>0</v>
      </c>
    </row>
    <row r="317" spans="1:17" x14ac:dyDescent="0.25">
      <c r="A317">
        <v>1659</v>
      </c>
      <c r="C317" t="s">
        <v>2508</v>
      </c>
      <c r="E317" t="s">
        <v>1661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40000</v>
      </c>
      <c r="L317" s="4">
        <v>36000</v>
      </c>
      <c r="M317" s="4">
        <v>0</v>
      </c>
      <c r="N317" s="4">
        <f>SUM(Table1[[#This Row],[2025]:[2018]])</f>
        <v>76000</v>
      </c>
      <c r="O317" s="2">
        <f>Table1[[#This Row],[ttl]]/SUM(Table1[ttl])</f>
        <v>1.5324860268488183E-4</v>
      </c>
      <c r="P317" s="3">
        <f>SUM($O$2:Table1[[#This Row],[pctAllTimeExp]])</f>
        <v>0.96535633188245429</v>
      </c>
      <c r="Q317" t="b">
        <f>Table1[[#This Row],[cumPctAllTimeExp]]&lt;0.95</f>
        <v>0</v>
      </c>
    </row>
    <row r="318" spans="1:17" x14ac:dyDescent="0.25">
      <c r="A318">
        <v>1013</v>
      </c>
      <c r="C318" t="s">
        <v>2508</v>
      </c>
      <c r="E318" t="s">
        <v>1015</v>
      </c>
      <c r="F318" s="4">
        <v>0</v>
      </c>
      <c r="G318" s="4">
        <v>0</v>
      </c>
      <c r="H318" s="4">
        <v>9284</v>
      </c>
      <c r="I318" s="4">
        <v>6845</v>
      </c>
      <c r="J318" s="4">
        <v>0</v>
      </c>
      <c r="K318" s="4">
        <v>59754</v>
      </c>
      <c r="L318" s="4">
        <v>0</v>
      </c>
      <c r="M318" s="4">
        <v>0</v>
      </c>
      <c r="N318" s="4">
        <f>SUM(Table1[[#This Row],[2025]:[2018]])</f>
        <v>75883</v>
      </c>
      <c r="O318" s="2">
        <f>Table1[[#This Row],[ttl]]/SUM(Table1[ttl])</f>
        <v>1.5301268049390643E-4</v>
      </c>
      <c r="P318" s="3">
        <f>SUM($O$2:Table1[[#This Row],[pctAllTimeExp]])</f>
        <v>0.96550934456294824</v>
      </c>
      <c r="Q318" t="b">
        <f>Table1[[#This Row],[cumPctAllTimeExp]]&lt;0.95</f>
        <v>0</v>
      </c>
    </row>
    <row r="319" spans="1:17" x14ac:dyDescent="0.25">
      <c r="A319">
        <v>292</v>
      </c>
      <c r="C319" t="s">
        <v>2508</v>
      </c>
      <c r="E319" t="s">
        <v>294</v>
      </c>
      <c r="F319" s="4">
        <v>5545.62</v>
      </c>
      <c r="G319" s="4">
        <v>2544</v>
      </c>
      <c r="H319" s="4">
        <v>46968.71</v>
      </c>
      <c r="I319" s="4">
        <v>6945.95</v>
      </c>
      <c r="J319" s="4">
        <v>0</v>
      </c>
      <c r="K319" s="4">
        <v>12398.12</v>
      </c>
      <c r="L319" s="4">
        <v>924</v>
      </c>
      <c r="M319" s="4">
        <v>432</v>
      </c>
      <c r="N319" s="4">
        <f>SUM(Table1[[#This Row],[2025]:[2018]])</f>
        <v>75758.399999999994</v>
      </c>
      <c r="O319" s="2">
        <f>Table1[[#This Row],[ttl]]/SUM(Table1[ttl])</f>
        <v>1.527614334426625E-4</v>
      </c>
      <c r="P319" s="3">
        <f>SUM($O$2:Table1[[#This Row],[pctAllTimeExp]])</f>
        <v>0.96566210599639091</v>
      </c>
      <c r="Q319" t="b">
        <f>Table1[[#This Row],[cumPctAllTimeExp]]&lt;0.95</f>
        <v>0</v>
      </c>
    </row>
    <row r="320" spans="1:17" x14ac:dyDescent="0.25">
      <c r="A320">
        <v>171</v>
      </c>
      <c r="C320" t="s">
        <v>2508</v>
      </c>
      <c r="E320" t="s">
        <v>173</v>
      </c>
      <c r="F320" s="4">
        <v>19187.11</v>
      </c>
      <c r="G320" s="4">
        <v>17793.75</v>
      </c>
      <c r="H320" s="4">
        <v>10571.08</v>
      </c>
      <c r="I320" s="4">
        <v>15605.29</v>
      </c>
      <c r="J320" s="4">
        <v>12333.22</v>
      </c>
      <c r="K320" s="4">
        <v>180</v>
      </c>
      <c r="L320" s="4">
        <v>0</v>
      </c>
      <c r="M320" s="4">
        <v>0</v>
      </c>
      <c r="N320" s="4">
        <f>SUM(Table1[[#This Row],[2025]:[2018]])</f>
        <v>75670.45</v>
      </c>
      <c r="O320" s="2">
        <f>Table1[[#This Row],[ttl]]/SUM(Table1[ttl])</f>
        <v>1.5258408851363443E-4</v>
      </c>
      <c r="P320" s="3">
        <f>SUM($O$2:Table1[[#This Row],[pctAllTimeExp]])</f>
        <v>0.9658146900849045</v>
      </c>
      <c r="Q320" t="b">
        <f>Table1[[#This Row],[cumPctAllTimeExp]]&lt;0.95</f>
        <v>0</v>
      </c>
    </row>
    <row r="321" spans="1:17" x14ac:dyDescent="0.25">
      <c r="A321">
        <v>964</v>
      </c>
      <c r="C321" t="s">
        <v>2508</v>
      </c>
      <c r="E321" t="s">
        <v>966</v>
      </c>
      <c r="F321" s="4">
        <v>0</v>
      </c>
      <c r="G321" s="4">
        <v>0</v>
      </c>
      <c r="H321" s="4">
        <v>75000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f>SUM(Table1[[#This Row],[2025]:[2018]])</f>
        <v>75000</v>
      </c>
      <c r="O321" s="2">
        <f>Table1[[#This Row],[ttl]]/SUM(Table1[ttl])</f>
        <v>1.5123217370218602E-4</v>
      </c>
      <c r="P321" s="3">
        <f>SUM($O$2:Table1[[#This Row],[pctAllTimeExp]])</f>
        <v>0.96596592225860667</v>
      </c>
      <c r="Q321" t="b">
        <f>Table1[[#This Row],[cumPctAllTimeExp]]&lt;0.95</f>
        <v>0</v>
      </c>
    </row>
    <row r="322" spans="1:17" x14ac:dyDescent="0.25">
      <c r="A322">
        <v>965</v>
      </c>
      <c r="C322" t="s">
        <v>2508</v>
      </c>
      <c r="E322" t="s">
        <v>967</v>
      </c>
      <c r="F322" s="4">
        <v>0</v>
      </c>
      <c r="G322" s="4">
        <v>0</v>
      </c>
      <c r="H322" s="4">
        <v>74729.66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f>SUM(Table1[[#This Row],[2025]:[2018]])</f>
        <v>74729.66</v>
      </c>
      <c r="O322" s="2">
        <f>Table1[[#This Row],[ttl]]/SUM(Table1[ttl])</f>
        <v>1.5068705229100404E-4</v>
      </c>
      <c r="P322" s="3">
        <f>SUM($O$2:Table1[[#This Row],[pctAllTimeExp]])</f>
        <v>0.96611660931089771</v>
      </c>
      <c r="Q322" t="b">
        <f>Table1[[#This Row],[cumPctAllTimeExp]]&lt;0.95</f>
        <v>0</v>
      </c>
    </row>
    <row r="323" spans="1:17" x14ac:dyDescent="0.25">
      <c r="A323">
        <v>990</v>
      </c>
      <c r="C323" t="s">
        <v>2508</v>
      </c>
      <c r="E323" t="s">
        <v>992</v>
      </c>
      <c r="F323" s="4">
        <v>0</v>
      </c>
      <c r="G323" s="4">
        <v>0</v>
      </c>
      <c r="H323" s="4">
        <v>17470.47</v>
      </c>
      <c r="I323" s="4">
        <v>0</v>
      </c>
      <c r="J323" s="4">
        <v>0</v>
      </c>
      <c r="K323" s="4">
        <v>0</v>
      </c>
      <c r="L323" s="4">
        <v>0</v>
      </c>
      <c r="M323" s="4">
        <v>56541.09</v>
      </c>
      <c r="N323" s="4">
        <f>SUM(Table1[[#This Row],[2025]:[2018]])</f>
        <v>74011.56</v>
      </c>
      <c r="O323" s="2">
        <f>Table1[[#This Row],[ttl]]/SUM(Table1[ttl])</f>
        <v>1.4923905463853015E-4</v>
      </c>
      <c r="P323" s="3">
        <f>SUM($O$2:Table1[[#This Row],[pctAllTimeExp]])</f>
        <v>0.9662658483655362</v>
      </c>
      <c r="Q323" t="b">
        <f>Table1[[#This Row],[cumPctAllTimeExp]]&lt;0.95</f>
        <v>0</v>
      </c>
    </row>
    <row r="324" spans="1:17" x14ac:dyDescent="0.25">
      <c r="A324">
        <v>789</v>
      </c>
      <c r="C324" t="s">
        <v>2508</v>
      </c>
      <c r="E324" t="s">
        <v>791</v>
      </c>
      <c r="F324" s="4">
        <v>0</v>
      </c>
      <c r="G324" s="4">
        <v>2940.4</v>
      </c>
      <c r="H324" s="4">
        <v>18488.599999999999</v>
      </c>
      <c r="I324" s="4">
        <v>2190</v>
      </c>
      <c r="J324" s="4">
        <v>488.1</v>
      </c>
      <c r="K324" s="4">
        <v>27661.52</v>
      </c>
      <c r="L324" s="4">
        <v>11985.37</v>
      </c>
      <c r="M324" s="4">
        <v>10119.4</v>
      </c>
      <c r="N324" s="4">
        <f>SUM(Table1[[#This Row],[2025]:[2018]])</f>
        <v>73873.39</v>
      </c>
      <c r="O324" s="2">
        <f>Table1[[#This Row],[ttl]]/SUM(Table1[ttl])</f>
        <v>1.4896044464599107E-4</v>
      </c>
      <c r="P324" s="3">
        <f>SUM($O$2:Table1[[#This Row],[pctAllTimeExp]])</f>
        <v>0.96641480881018216</v>
      </c>
      <c r="Q324" t="b">
        <f>Table1[[#This Row],[cumPctAllTimeExp]]&lt;0.95</f>
        <v>0</v>
      </c>
    </row>
    <row r="325" spans="1:17" x14ac:dyDescent="0.25">
      <c r="A325">
        <v>709</v>
      </c>
      <c r="C325" t="s">
        <v>2508</v>
      </c>
      <c r="E325" t="s">
        <v>711</v>
      </c>
      <c r="F325" s="4">
        <v>0</v>
      </c>
      <c r="G325" s="4">
        <v>38980</v>
      </c>
      <c r="H325" s="4">
        <v>0</v>
      </c>
      <c r="I325" s="4">
        <v>0</v>
      </c>
      <c r="J325" s="4">
        <v>0</v>
      </c>
      <c r="K325" s="4">
        <v>15485</v>
      </c>
      <c r="L325" s="4">
        <v>18517.89</v>
      </c>
      <c r="M325" s="4">
        <v>0</v>
      </c>
      <c r="N325" s="4">
        <f>SUM(Table1[[#This Row],[2025]:[2018]])</f>
        <v>72982.89</v>
      </c>
      <c r="O325" s="2">
        <f>Table1[[#This Row],[ttl]]/SUM(Table1[ttl])</f>
        <v>1.4716481463690045E-4</v>
      </c>
      <c r="P325" s="3">
        <f>SUM($O$2:Table1[[#This Row],[pctAllTimeExp]])</f>
        <v>0.9665619736248191</v>
      </c>
      <c r="Q325" t="b">
        <f>Table1[[#This Row],[cumPctAllTimeExp]]&lt;0.95</f>
        <v>0</v>
      </c>
    </row>
    <row r="326" spans="1:17" x14ac:dyDescent="0.25">
      <c r="A326">
        <v>1248</v>
      </c>
      <c r="C326" t="s">
        <v>2508</v>
      </c>
      <c r="E326" t="s">
        <v>1250</v>
      </c>
      <c r="F326" s="4">
        <v>0</v>
      </c>
      <c r="G326" s="4">
        <v>0</v>
      </c>
      <c r="H326" s="4">
        <v>0</v>
      </c>
      <c r="I326" s="4">
        <v>3133</v>
      </c>
      <c r="J326" s="4">
        <v>0</v>
      </c>
      <c r="K326" s="4">
        <v>69532</v>
      </c>
      <c r="L326" s="4">
        <v>0</v>
      </c>
      <c r="M326" s="4">
        <v>0</v>
      </c>
      <c r="N326" s="4">
        <f>SUM(Table1[[#This Row],[2025]:[2018]])</f>
        <v>72665</v>
      </c>
      <c r="O326" s="2">
        <f>Table1[[#This Row],[ttl]]/SUM(Table1[ttl])</f>
        <v>1.4652381202759129E-4</v>
      </c>
      <c r="P326" s="3">
        <f>SUM($O$2:Table1[[#This Row],[pctAllTimeExp]])</f>
        <v>0.96670849743684673</v>
      </c>
      <c r="Q326" t="b">
        <f>Table1[[#This Row],[cumPctAllTimeExp]]&lt;0.95</f>
        <v>0</v>
      </c>
    </row>
    <row r="327" spans="1:17" x14ac:dyDescent="0.25">
      <c r="A327">
        <v>1657</v>
      </c>
      <c r="C327" t="s">
        <v>2508</v>
      </c>
      <c r="E327" t="s">
        <v>1659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46351.99</v>
      </c>
      <c r="L327" s="4">
        <v>25880.93</v>
      </c>
      <c r="M327" s="4">
        <v>0</v>
      </c>
      <c r="N327" s="4">
        <f>SUM(Table1[[#This Row],[2025]:[2018]])</f>
        <v>72232.92</v>
      </c>
      <c r="O327" s="2">
        <f>Table1[[#This Row],[ttl]]/SUM(Table1[ttl])</f>
        <v>1.4565255339274807E-4</v>
      </c>
      <c r="P327" s="3">
        <f>SUM($O$2:Table1[[#This Row],[pctAllTimeExp]])</f>
        <v>0.96685414999023944</v>
      </c>
      <c r="Q327" t="b">
        <f>Table1[[#This Row],[cumPctAllTimeExp]]&lt;0.95</f>
        <v>0</v>
      </c>
    </row>
    <row r="328" spans="1:17" x14ac:dyDescent="0.25">
      <c r="A328">
        <v>814</v>
      </c>
      <c r="C328" t="s">
        <v>2508</v>
      </c>
      <c r="E328" t="s">
        <v>816</v>
      </c>
      <c r="F328" s="4">
        <v>0</v>
      </c>
      <c r="G328" s="4">
        <v>1535</v>
      </c>
      <c r="H328" s="4">
        <v>33566.620000000003</v>
      </c>
      <c r="I328" s="4">
        <v>37115.370000000003</v>
      </c>
      <c r="J328" s="4">
        <v>0</v>
      </c>
      <c r="K328" s="4">
        <v>0</v>
      </c>
      <c r="L328" s="4">
        <v>0</v>
      </c>
      <c r="M328" s="4">
        <v>0</v>
      </c>
      <c r="N328" s="4">
        <f>SUM(Table1[[#This Row],[2025]:[2018]])</f>
        <v>72216.990000000005</v>
      </c>
      <c r="O328" s="2">
        <f>Table1[[#This Row],[ttl]]/SUM(Table1[ttl])</f>
        <v>1.4562043167905375E-4</v>
      </c>
      <c r="P328" s="3">
        <f>SUM($O$2:Table1[[#This Row],[pctAllTimeExp]])</f>
        <v>0.96699977042191854</v>
      </c>
      <c r="Q328" t="b">
        <f>Table1[[#This Row],[cumPctAllTimeExp]]&lt;0.95</f>
        <v>0</v>
      </c>
    </row>
    <row r="329" spans="1:17" x14ac:dyDescent="0.25">
      <c r="A329">
        <v>968</v>
      </c>
      <c r="C329" t="s">
        <v>2508</v>
      </c>
      <c r="E329" t="s">
        <v>970</v>
      </c>
      <c r="F329" s="4">
        <v>0</v>
      </c>
      <c r="G329" s="4">
        <v>0</v>
      </c>
      <c r="H329" s="4">
        <v>51000</v>
      </c>
      <c r="I329" s="4">
        <v>0</v>
      </c>
      <c r="J329" s="4">
        <v>0</v>
      </c>
      <c r="K329" s="4">
        <v>0</v>
      </c>
      <c r="L329" s="4">
        <v>20000</v>
      </c>
      <c r="M329" s="4">
        <v>0</v>
      </c>
      <c r="N329" s="4">
        <f>SUM(Table1[[#This Row],[2025]:[2018]])</f>
        <v>71000</v>
      </c>
      <c r="O329" s="2">
        <f>Table1[[#This Row],[ttl]]/SUM(Table1[ttl])</f>
        <v>1.4316645777140275E-4</v>
      </c>
      <c r="P329" s="3">
        <f>SUM($O$2:Table1[[#This Row],[pctAllTimeExp]])</f>
        <v>0.96714293687968989</v>
      </c>
      <c r="Q329" t="b">
        <f>Table1[[#This Row],[cumPctAllTimeExp]]&lt;0.95</f>
        <v>0</v>
      </c>
    </row>
    <row r="330" spans="1:17" x14ac:dyDescent="0.25">
      <c r="A330">
        <v>162</v>
      </c>
      <c r="C330" t="s">
        <v>2508</v>
      </c>
      <c r="E330" t="s">
        <v>164</v>
      </c>
      <c r="F330" s="4">
        <v>21358</v>
      </c>
      <c r="G330" s="4">
        <v>8460</v>
      </c>
      <c r="H330" s="4">
        <v>4000</v>
      </c>
      <c r="I330" s="4">
        <v>7425.35</v>
      </c>
      <c r="J330" s="4">
        <v>5964.75</v>
      </c>
      <c r="K330" s="4">
        <v>4150.7</v>
      </c>
      <c r="L330" s="4">
        <v>8085</v>
      </c>
      <c r="M330" s="4">
        <v>11269.45</v>
      </c>
      <c r="N330" s="4">
        <f>SUM(Table1[[#This Row],[2025]:[2018]])</f>
        <v>70713.25</v>
      </c>
      <c r="O330" s="2">
        <f>Table1[[#This Row],[ttl]]/SUM(Table1[ttl])</f>
        <v>1.4258824676061473E-4</v>
      </c>
      <c r="P330" s="3">
        <f>SUM($O$2:Table1[[#This Row],[pctAllTimeExp]])</f>
        <v>0.9672855251264505</v>
      </c>
      <c r="Q330" t="b">
        <f>Table1[[#This Row],[cumPctAllTimeExp]]&lt;0.95</f>
        <v>0</v>
      </c>
    </row>
    <row r="331" spans="1:17" x14ac:dyDescent="0.25">
      <c r="A331">
        <v>114</v>
      </c>
      <c r="C331" t="s">
        <v>2508</v>
      </c>
      <c r="E331" t="s">
        <v>116</v>
      </c>
      <c r="F331" s="4">
        <v>38477.58</v>
      </c>
      <c r="G331" s="4">
        <v>30704.44</v>
      </c>
      <c r="H331" s="4">
        <v>1281.4000000000001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f>SUM(Table1[[#This Row],[2025]:[2018]])</f>
        <v>70463.42</v>
      </c>
      <c r="O331" s="2">
        <f>Table1[[#This Row],[ttl]]/SUM(Table1[ttl])</f>
        <v>1.4208448230786783E-4</v>
      </c>
      <c r="P331" s="3">
        <f>SUM($O$2:Table1[[#This Row],[pctAllTimeExp]])</f>
        <v>0.9674276096087584</v>
      </c>
      <c r="Q331" t="b">
        <f>Table1[[#This Row],[cumPctAllTimeExp]]&lt;0.95</f>
        <v>0</v>
      </c>
    </row>
    <row r="332" spans="1:17" x14ac:dyDescent="0.25">
      <c r="A332">
        <v>1679</v>
      </c>
      <c r="C332" t="s">
        <v>2508</v>
      </c>
      <c r="E332" t="s">
        <v>1681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16198</v>
      </c>
      <c r="L332" s="4">
        <v>0</v>
      </c>
      <c r="M332" s="4">
        <v>54253.72</v>
      </c>
      <c r="N332" s="4">
        <f>SUM(Table1[[#This Row],[2025]:[2018]])</f>
        <v>70451.72</v>
      </c>
      <c r="O332" s="2">
        <f>Table1[[#This Row],[ttl]]/SUM(Table1[ttl])</f>
        <v>1.420608900887703E-4</v>
      </c>
      <c r="P332" s="3">
        <f>SUM($O$2:Table1[[#This Row],[pctAllTimeExp]])</f>
        <v>0.96756967049884712</v>
      </c>
      <c r="Q332" t="b">
        <f>Table1[[#This Row],[cumPctAllTimeExp]]&lt;0.95</f>
        <v>0</v>
      </c>
    </row>
    <row r="333" spans="1:17" x14ac:dyDescent="0.25">
      <c r="A333">
        <v>585</v>
      </c>
      <c r="C333" t="s">
        <v>2508</v>
      </c>
      <c r="E333" t="s">
        <v>587</v>
      </c>
      <c r="F333" s="4">
        <v>415</v>
      </c>
      <c r="G333" s="4">
        <v>245</v>
      </c>
      <c r="H333" s="4">
        <v>41949.35</v>
      </c>
      <c r="I333" s="4">
        <v>9987.0499999999993</v>
      </c>
      <c r="J333" s="4">
        <v>5118.3500000000004</v>
      </c>
      <c r="K333" s="4">
        <v>5979.55</v>
      </c>
      <c r="L333" s="4">
        <v>2698.65</v>
      </c>
      <c r="M333" s="4">
        <v>2985</v>
      </c>
      <c r="N333" s="4">
        <f>SUM(Table1[[#This Row],[2025]:[2018]])</f>
        <v>69377.95</v>
      </c>
      <c r="O333" s="2">
        <f>Table1[[#This Row],[ttl]]/SUM(Table1[ttl])</f>
        <v>1.39895709140021E-4</v>
      </c>
      <c r="P333" s="3">
        <f>SUM($O$2:Table1[[#This Row],[pctAllTimeExp]])</f>
        <v>0.96770956620798709</v>
      </c>
      <c r="Q333" t="b">
        <f>Table1[[#This Row],[cumPctAllTimeExp]]&lt;0.95</f>
        <v>0</v>
      </c>
    </row>
    <row r="334" spans="1:17" x14ac:dyDescent="0.25">
      <c r="A334">
        <v>774</v>
      </c>
      <c r="C334" t="s">
        <v>2508</v>
      </c>
      <c r="E334" t="s">
        <v>776</v>
      </c>
      <c r="F334" s="4">
        <v>0</v>
      </c>
      <c r="G334" s="4">
        <v>4213.78</v>
      </c>
      <c r="H334" s="4">
        <v>29300.94</v>
      </c>
      <c r="I334" s="4">
        <v>20545.47</v>
      </c>
      <c r="J334" s="4">
        <v>15084.2</v>
      </c>
      <c r="K334" s="4">
        <v>0</v>
      </c>
      <c r="L334" s="4">
        <v>0</v>
      </c>
      <c r="M334" s="4">
        <v>0</v>
      </c>
      <c r="N334" s="4">
        <f>SUM(Table1[[#This Row],[2025]:[2018]])</f>
        <v>69144.39</v>
      </c>
      <c r="O334" s="2">
        <f>Table1[[#This Row],[ttl]]/SUM(Table1[ttl])</f>
        <v>1.3942475198682258E-4</v>
      </c>
      <c r="P334" s="3">
        <f>SUM($O$2:Table1[[#This Row],[pctAllTimeExp]])</f>
        <v>0.9678489909599739</v>
      </c>
      <c r="Q334" t="b">
        <f>Table1[[#This Row],[cumPctAllTimeExp]]&lt;0.95</f>
        <v>0</v>
      </c>
    </row>
    <row r="335" spans="1:17" x14ac:dyDescent="0.25">
      <c r="A335">
        <v>276</v>
      </c>
      <c r="C335" t="s">
        <v>2508</v>
      </c>
      <c r="E335" t="s">
        <v>278</v>
      </c>
      <c r="F335" s="4">
        <v>6385.79</v>
      </c>
      <c r="G335" s="4">
        <v>7287.51</v>
      </c>
      <c r="H335" s="4">
        <v>8264.81</v>
      </c>
      <c r="I335" s="4">
        <v>8252.4599999999991</v>
      </c>
      <c r="J335" s="4">
        <v>7795.67</v>
      </c>
      <c r="K335" s="4">
        <v>8231.1299999999992</v>
      </c>
      <c r="L335" s="4">
        <v>9401.0499999999993</v>
      </c>
      <c r="M335" s="4">
        <v>13279.06</v>
      </c>
      <c r="N335" s="4">
        <f>SUM(Table1[[#This Row],[2025]:[2018]])</f>
        <v>68897.48</v>
      </c>
      <c r="O335" s="2">
        <f>Table1[[#This Row],[ttl]]/SUM(Table1[ttl])</f>
        <v>1.3892687550670516E-4</v>
      </c>
      <c r="P335" s="3">
        <f>SUM($O$2:Table1[[#This Row],[pctAllTimeExp]])</f>
        <v>0.96798791783548055</v>
      </c>
      <c r="Q335" t="b">
        <f>Table1[[#This Row],[cumPctAllTimeExp]]&lt;0.95</f>
        <v>0</v>
      </c>
    </row>
    <row r="336" spans="1:17" x14ac:dyDescent="0.25">
      <c r="A336">
        <v>167</v>
      </c>
      <c r="C336" t="s">
        <v>2508</v>
      </c>
      <c r="E336" t="s">
        <v>169</v>
      </c>
      <c r="F336" s="4">
        <v>19892</v>
      </c>
      <c r="G336" s="4">
        <v>16678</v>
      </c>
      <c r="H336" s="4">
        <v>132</v>
      </c>
      <c r="I336" s="4">
        <v>13879</v>
      </c>
      <c r="J336" s="4">
        <v>12959</v>
      </c>
      <c r="K336" s="4">
        <v>264</v>
      </c>
      <c r="L336" s="4">
        <v>1716</v>
      </c>
      <c r="M336" s="4">
        <v>2835</v>
      </c>
      <c r="N336" s="4">
        <f>SUM(Table1[[#This Row],[2025]:[2018]])</f>
        <v>68355</v>
      </c>
      <c r="O336" s="2">
        <f>Table1[[#This Row],[ttl]]/SUM(Table1[ttl])</f>
        <v>1.3783300311217232E-4</v>
      </c>
      <c r="P336" s="3">
        <f>SUM($O$2:Table1[[#This Row],[pctAllTimeExp]])</f>
        <v>0.96812575083859276</v>
      </c>
      <c r="Q336" t="b">
        <f>Table1[[#This Row],[cumPctAllTimeExp]]&lt;0.95</f>
        <v>0</v>
      </c>
    </row>
    <row r="337" spans="1:17" x14ac:dyDescent="0.25">
      <c r="A337">
        <v>195</v>
      </c>
      <c r="C337" t="s">
        <v>2508</v>
      </c>
      <c r="E337" t="s">
        <v>197</v>
      </c>
      <c r="F337" s="4">
        <v>14846.37</v>
      </c>
      <c r="G337" s="4">
        <v>0</v>
      </c>
      <c r="H337" s="4">
        <v>0</v>
      </c>
      <c r="I337" s="4">
        <v>17000</v>
      </c>
      <c r="J337" s="4">
        <v>0</v>
      </c>
      <c r="K337" s="4">
        <v>2580</v>
      </c>
      <c r="L337" s="4">
        <v>1045</v>
      </c>
      <c r="M337" s="4">
        <v>32537.96</v>
      </c>
      <c r="N337" s="4">
        <f>SUM(Table1[[#This Row],[2025]:[2018]])</f>
        <v>68009.33</v>
      </c>
      <c r="O337" s="2">
        <f>Table1[[#This Row],[ttl]]/SUM(Table1[ttl])</f>
        <v>1.3713598410572387E-4</v>
      </c>
      <c r="P337" s="3">
        <f>SUM($O$2:Table1[[#This Row],[pctAllTimeExp]])</f>
        <v>0.96826288682269845</v>
      </c>
      <c r="Q337" t="b">
        <f>Table1[[#This Row],[cumPctAllTimeExp]]&lt;0.95</f>
        <v>0</v>
      </c>
    </row>
    <row r="338" spans="1:17" x14ac:dyDescent="0.25">
      <c r="A338">
        <v>701</v>
      </c>
      <c r="C338" t="s">
        <v>2508</v>
      </c>
      <c r="E338" t="s">
        <v>703</v>
      </c>
      <c r="F338" s="4">
        <v>0</v>
      </c>
      <c r="G338" s="4">
        <v>67790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f>SUM(Table1[[#This Row],[2025]:[2018]])</f>
        <v>67790</v>
      </c>
      <c r="O338" s="2">
        <f>Table1[[#This Row],[ttl]]/SUM(Table1[ttl])</f>
        <v>1.3669372073694919E-4</v>
      </c>
      <c r="P338" s="3">
        <f>SUM($O$2:Table1[[#This Row],[pctAllTimeExp]])</f>
        <v>0.96839958054343545</v>
      </c>
      <c r="Q338" t="b">
        <f>Table1[[#This Row],[cumPctAllTimeExp]]&lt;0.95</f>
        <v>0</v>
      </c>
    </row>
    <row r="339" spans="1:17" x14ac:dyDescent="0.25">
      <c r="A339">
        <v>1201</v>
      </c>
      <c r="C339" t="s">
        <v>2508</v>
      </c>
      <c r="E339" t="s">
        <v>1203</v>
      </c>
      <c r="F339" s="4">
        <v>0</v>
      </c>
      <c r="G339" s="4">
        <v>0</v>
      </c>
      <c r="H339" s="4">
        <v>0</v>
      </c>
      <c r="I339" s="4">
        <v>67466.179999999993</v>
      </c>
      <c r="J339" s="4">
        <v>0</v>
      </c>
      <c r="K339" s="4">
        <v>0</v>
      </c>
      <c r="L339" s="4">
        <v>0</v>
      </c>
      <c r="M339" s="4">
        <v>0</v>
      </c>
      <c r="N339" s="4">
        <f>SUM(Table1[[#This Row],[2025]:[2018]])</f>
        <v>67466.179999999993</v>
      </c>
      <c r="O339" s="2">
        <f>Table1[[#This Row],[ttl]]/SUM(Table1[ttl])</f>
        <v>1.3604076070377263E-4</v>
      </c>
      <c r="P339" s="3">
        <f>SUM($O$2:Table1[[#This Row],[pctAllTimeExp]])</f>
        <v>0.96853562130413917</v>
      </c>
      <c r="Q339" t="b">
        <f>Table1[[#This Row],[cumPctAllTimeExp]]&lt;0.95</f>
        <v>0</v>
      </c>
    </row>
    <row r="340" spans="1:17" x14ac:dyDescent="0.25">
      <c r="A340">
        <v>81</v>
      </c>
      <c r="C340" t="s">
        <v>2508</v>
      </c>
      <c r="E340" t="s">
        <v>83</v>
      </c>
      <c r="F340" s="4">
        <v>67400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f>SUM(Table1[[#This Row],[2025]:[2018]])</f>
        <v>67400</v>
      </c>
      <c r="O340" s="2">
        <f>Table1[[#This Row],[ttl]]/SUM(Table1[ttl])</f>
        <v>1.3590731343369783E-4</v>
      </c>
      <c r="P340" s="3">
        <f>SUM($O$2:Table1[[#This Row],[pctAllTimeExp]])</f>
        <v>0.96867152861757289</v>
      </c>
      <c r="Q340" t="b">
        <f>Table1[[#This Row],[cumPctAllTimeExp]]&lt;0.95</f>
        <v>0</v>
      </c>
    </row>
    <row r="341" spans="1:17" x14ac:dyDescent="0.25">
      <c r="A341">
        <v>1685</v>
      </c>
      <c r="C341" t="s">
        <v>2508</v>
      </c>
      <c r="E341" t="s">
        <v>1687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12029.63</v>
      </c>
      <c r="L341" s="4">
        <v>22290.13</v>
      </c>
      <c r="M341" s="4">
        <v>33041.58</v>
      </c>
      <c r="N341" s="4">
        <f>SUM(Table1[[#This Row],[2025]:[2018]])</f>
        <v>67361.34</v>
      </c>
      <c r="O341" s="2">
        <f>Table1[[#This Row],[ttl]]/SUM(Table1[ttl])</f>
        <v>1.3582935828922681E-4</v>
      </c>
      <c r="P341" s="3">
        <f>SUM($O$2:Table1[[#This Row],[pctAllTimeExp]])</f>
        <v>0.96880735797586215</v>
      </c>
      <c r="Q341" t="b">
        <f>Table1[[#This Row],[cumPctAllTimeExp]]&lt;0.95</f>
        <v>0</v>
      </c>
    </row>
    <row r="342" spans="1:17" x14ac:dyDescent="0.25">
      <c r="A342">
        <v>1222</v>
      </c>
      <c r="C342" t="s">
        <v>2508</v>
      </c>
      <c r="E342" t="s">
        <v>1224</v>
      </c>
      <c r="F342" s="4">
        <v>0</v>
      </c>
      <c r="G342" s="4">
        <v>0</v>
      </c>
      <c r="H342" s="4">
        <v>0</v>
      </c>
      <c r="I342" s="4">
        <v>8783</v>
      </c>
      <c r="J342" s="4">
        <v>44126.5</v>
      </c>
      <c r="K342" s="4">
        <v>0</v>
      </c>
      <c r="L342" s="4">
        <v>11771.77</v>
      </c>
      <c r="M342" s="4">
        <v>2618.0500000000002</v>
      </c>
      <c r="N342" s="4">
        <f>SUM(Table1[[#This Row],[2025]:[2018]])</f>
        <v>67299.320000000007</v>
      </c>
      <c r="O342" s="2">
        <f>Table1[[#This Row],[ttl]]/SUM(Table1[ttl])</f>
        <v>1.3570429936372004E-4</v>
      </c>
      <c r="P342" s="3">
        <f>SUM($O$2:Table1[[#This Row],[pctAllTimeExp]])</f>
        <v>0.96894306227522586</v>
      </c>
      <c r="Q342" t="b">
        <f>Table1[[#This Row],[cumPctAllTimeExp]]&lt;0.95</f>
        <v>0</v>
      </c>
    </row>
    <row r="343" spans="1:17" x14ac:dyDescent="0.25">
      <c r="A343">
        <v>1410</v>
      </c>
      <c r="C343" t="s">
        <v>2508</v>
      </c>
      <c r="E343" t="s">
        <v>1412</v>
      </c>
      <c r="F343" s="4">
        <v>0</v>
      </c>
      <c r="G343" s="4">
        <v>0</v>
      </c>
      <c r="H343" s="4">
        <v>0</v>
      </c>
      <c r="I343" s="4">
        <v>0</v>
      </c>
      <c r="J343" s="4">
        <v>39855</v>
      </c>
      <c r="K343" s="4">
        <v>1050</v>
      </c>
      <c r="L343" s="4">
        <v>25050</v>
      </c>
      <c r="M343" s="4">
        <v>0</v>
      </c>
      <c r="N343" s="4">
        <f>SUM(Table1[[#This Row],[2025]:[2018]])</f>
        <v>65955</v>
      </c>
      <c r="O343" s="2">
        <f>Table1[[#This Row],[ttl]]/SUM(Table1[ttl])</f>
        <v>1.3299357355370237E-4</v>
      </c>
      <c r="P343" s="3">
        <f>SUM($O$2:Table1[[#This Row],[pctAllTimeExp]])</f>
        <v>0.96907605584877954</v>
      </c>
      <c r="Q343" t="b">
        <f>Table1[[#This Row],[cumPctAllTimeExp]]&lt;0.95</f>
        <v>0</v>
      </c>
    </row>
    <row r="344" spans="1:17" x14ac:dyDescent="0.25">
      <c r="A344">
        <v>319</v>
      </c>
      <c r="C344" t="s">
        <v>2508</v>
      </c>
      <c r="E344" t="s">
        <v>321</v>
      </c>
      <c r="F344" s="4">
        <v>4122</v>
      </c>
      <c r="G344" s="4">
        <v>11135</v>
      </c>
      <c r="H344" s="4">
        <v>5636</v>
      </c>
      <c r="I344" s="4">
        <v>9657</v>
      </c>
      <c r="J344" s="4">
        <v>6838</v>
      </c>
      <c r="K344" s="4">
        <v>0</v>
      </c>
      <c r="L344" s="4">
        <v>26657</v>
      </c>
      <c r="M344" s="4">
        <v>0</v>
      </c>
      <c r="N344" s="4">
        <f>SUM(Table1[[#This Row],[2025]:[2018]])</f>
        <v>64045</v>
      </c>
      <c r="O344" s="2">
        <f>Table1[[#This Row],[ttl]]/SUM(Table1[ttl])</f>
        <v>1.2914219419675338E-4</v>
      </c>
      <c r="P344" s="3">
        <f>SUM($O$2:Table1[[#This Row],[pctAllTimeExp]])</f>
        <v>0.96920519804297633</v>
      </c>
      <c r="Q344" t="b">
        <f>Table1[[#This Row],[cumPctAllTimeExp]]&lt;0.95</f>
        <v>0</v>
      </c>
    </row>
    <row r="345" spans="1:17" x14ac:dyDescent="0.25">
      <c r="A345">
        <v>284</v>
      </c>
      <c r="C345" t="s">
        <v>2508</v>
      </c>
      <c r="E345" t="s">
        <v>286</v>
      </c>
      <c r="F345" s="4">
        <v>5900.81</v>
      </c>
      <c r="G345" s="4">
        <v>27689</v>
      </c>
      <c r="H345" s="4">
        <v>0</v>
      </c>
      <c r="I345" s="4">
        <v>30174.06</v>
      </c>
      <c r="J345" s="4">
        <v>0</v>
      </c>
      <c r="K345" s="4">
        <v>0</v>
      </c>
      <c r="L345" s="4">
        <v>0</v>
      </c>
      <c r="M345" s="4">
        <v>0</v>
      </c>
      <c r="N345" s="4">
        <f>SUM(Table1[[#This Row],[2025]:[2018]])</f>
        <v>63763.869999999995</v>
      </c>
      <c r="O345" s="2">
        <f>Table1[[#This Row],[ttl]]/SUM(Table1[ttl])</f>
        <v>1.285753155168481E-4</v>
      </c>
      <c r="P345" s="3">
        <f>SUM($O$2:Table1[[#This Row],[pctAllTimeExp]])</f>
        <v>0.96933377335849313</v>
      </c>
      <c r="Q345" t="b">
        <f>Table1[[#This Row],[cumPctAllTimeExp]]&lt;0.95</f>
        <v>0</v>
      </c>
    </row>
    <row r="346" spans="1:17" x14ac:dyDescent="0.25">
      <c r="A346">
        <v>1705</v>
      </c>
      <c r="C346" t="s">
        <v>2508</v>
      </c>
      <c r="E346" t="s">
        <v>1707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5400</v>
      </c>
      <c r="L346" s="4">
        <v>2362.5</v>
      </c>
      <c r="M346" s="4">
        <v>55660.58</v>
      </c>
      <c r="N346" s="4">
        <f>SUM(Table1[[#This Row],[2025]:[2018]])</f>
        <v>63423.08</v>
      </c>
      <c r="O346" s="2">
        <f>Table1[[#This Row],[ttl]]/SUM(Table1[ttl])</f>
        <v>1.278881366838352E-4</v>
      </c>
      <c r="P346" s="3">
        <f>SUM($O$2:Table1[[#This Row],[pctAllTimeExp]])</f>
        <v>0.96946166149517699</v>
      </c>
      <c r="Q346" t="b">
        <f>Table1[[#This Row],[cumPctAllTimeExp]]&lt;0.95</f>
        <v>0</v>
      </c>
    </row>
    <row r="347" spans="1:17" x14ac:dyDescent="0.25">
      <c r="A347">
        <v>544</v>
      </c>
      <c r="C347" t="s">
        <v>2508</v>
      </c>
      <c r="E347" t="s">
        <v>546</v>
      </c>
      <c r="F347" s="4">
        <v>558.95000000000005</v>
      </c>
      <c r="G347" s="4">
        <v>4452.5</v>
      </c>
      <c r="H347" s="4">
        <v>37606.15</v>
      </c>
      <c r="I347" s="4">
        <v>10281.1</v>
      </c>
      <c r="J347" s="4">
        <v>3539.75</v>
      </c>
      <c r="K347" s="4">
        <v>1465</v>
      </c>
      <c r="L347" s="4">
        <v>1676.95</v>
      </c>
      <c r="M347" s="4">
        <v>1801.7</v>
      </c>
      <c r="N347" s="4">
        <f>SUM(Table1[[#This Row],[2025]:[2018]])</f>
        <v>61382.099999999991</v>
      </c>
      <c r="O347" s="2">
        <f>Table1[[#This Row],[ttl]]/SUM(Table1[ttl])</f>
        <v>1.2377264545873268E-4</v>
      </c>
      <c r="P347" s="3">
        <f>SUM($O$2:Table1[[#This Row],[pctAllTimeExp]])</f>
        <v>0.96958543414063569</v>
      </c>
      <c r="Q347" t="b">
        <f>Table1[[#This Row],[cumPctAllTimeExp]]&lt;0.95</f>
        <v>0</v>
      </c>
    </row>
    <row r="348" spans="1:17" x14ac:dyDescent="0.25">
      <c r="A348">
        <v>999</v>
      </c>
      <c r="C348" t="s">
        <v>2508</v>
      </c>
      <c r="E348" t="s">
        <v>1001</v>
      </c>
      <c r="F348" s="4">
        <v>0</v>
      </c>
      <c r="G348" s="4">
        <v>0</v>
      </c>
      <c r="H348" s="4">
        <v>13719.44</v>
      </c>
      <c r="I348" s="4">
        <v>13697.16</v>
      </c>
      <c r="J348" s="4">
        <v>9866.73</v>
      </c>
      <c r="K348" s="4">
        <v>8315.4500000000007</v>
      </c>
      <c r="L348" s="4">
        <v>7830.6</v>
      </c>
      <c r="M348" s="4">
        <v>7908.56</v>
      </c>
      <c r="N348" s="4">
        <f>SUM(Table1[[#This Row],[2025]:[2018]])</f>
        <v>61337.939999999995</v>
      </c>
      <c r="O348" s="2">
        <f>Table1[[#This Row],[ttl]]/SUM(Table1[ttl])</f>
        <v>1.2368359995485685E-4</v>
      </c>
      <c r="P348" s="3">
        <f>SUM($O$2:Table1[[#This Row],[pctAllTimeExp]])</f>
        <v>0.96970911774059054</v>
      </c>
      <c r="Q348" t="b">
        <f>Table1[[#This Row],[cumPctAllTimeExp]]&lt;0.95</f>
        <v>0</v>
      </c>
    </row>
    <row r="349" spans="1:17" x14ac:dyDescent="0.25">
      <c r="A349">
        <v>1971</v>
      </c>
      <c r="C349" t="s">
        <v>2508</v>
      </c>
      <c r="E349" t="s">
        <v>1973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61012</v>
      </c>
      <c r="M349" s="4">
        <v>0</v>
      </c>
      <c r="N349" s="4">
        <f>SUM(Table1[[#This Row],[2025]:[2018]])</f>
        <v>61012</v>
      </c>
      <c r="O349" s="2">
        <f>Table1[[#This Row],[ttl]]/SUM(Table1[ttl])</f>
        <v>1.2302636509223697E-4</v>
      </c>
      <c r="P349" s="3">
        <f>SUM($O$2:Table1[[#This Row],[pctAllTimeExp]])</f>
        <v>0.96983214410568275</v>
      </c>
      <c r="Q349" t="b">
        <f>Table1[[#This Row],[cumPctAllTimeExp]]&lt;0.95</f>
        <v>0</v>
      </c>
    </row>
    <row r="350" spans="1:17" x14ac:dyDescent="0.25">
      <c r="A350">
        <v>1973</v>
      </c>
      <c r="C350" t="s">
        <v>2508</v>
      </c>
      <c r="E350" t="s">
        <v>1975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41438.6</v>
      </c>
      <c r="M350" s="4">
        <v>18986.060000000001</v>
      </c>
      <c r="N350" s="4">
        <f>SUM(Table1[[#This Row],[2025]:[2018]])</f>
        <v>60424.66</v>
      </c>
      <c r="O350" s="2">
        <f>Table1[[#This Row],[ttl]]/SUM(Table1[ttl])</f>
        <v>1.2184203569354043E-4</v>
      </c>
      <c r="P350" s="3">
        <f>SUM($O$2:Table1[[#This Row],[pctAllTimeExp]])</f>
        <v>0.96995398614137629</v>
      </c>
      <c r="Q350" t="b">
        <f>Table1[[#This Row],[cumPctAllTimeExp]]&lt;0.95</f>
        <v>0</v>
      </c>
    </row>
    <row r="351" spans="1:17" x14ac:dyDescent="0.25">
      <c r="A351">
        <v>157</v>
      </c>
      <c r="C351" t="s">
        <v>2508</v>
      </c>
      <c r="E351" t="s">
        <v>159</v>
      </c>
      <c r="F351" s="4">
        <v>22340.46</v>
      </c>
      <c r="G351" s="4">
        <v>16650</v>
      </c>
      <c r="H351" s="4">
        <v>12500</v>
      </c>
      <c r="I351" s="4">
        <v>0</v>
      </c>
      <c r="J351" s="4">
        <v>0</v>
      </c>
      <c r="K351" s="4">
        <v>0</v>
      </c>
      <c r="L351" s="4">
        <v>0</v>
      </c>
      <c r="M351" s="4">
        <v>8845.9</v>
      </c>
      <c r="N351" s="4">
        <f>SUM(Table1[[#This Row],[2025]:[2018]])</f>
        <v>60336.36</v>
      </c>
      <c r="O351" s="2">
        <f>Table1[[#This Row],[ttl]]/SUM(Table1[ttl])</f>
        <v>1.2166398501436837E-4</v>
      </c>
      <c r="P351" s="3">
        <f>SUM($O$2:Table1[[#This Row],[pctAllTimeExp]])</f>
        <v>0.97007565012639063</v>
      </c>
      <c r="Q351" t="b">
        <f>Table1[[#This Row],[cumPctAllTimeExp]]&lt;0.95</f>
        <v>0</v>
      </c>
    </row>
    <row r="352" spans="1:17" x14ac:dyDescent="0.25">
      <c r="A352">
        <v>243</v>
      </c>
      <c r="C352" t="s">
        <v>2508</v>
      </c>
      <c r="E352" t="s">
        <v>245</v>
      </c>
      <c r="F352" s="4">
        <v>8300</v>
      </c>
      <c r="G352" s="4">
        <v>8740</v>
      </c>
      <c r="H352" s="4">
        <v>0</v>
      </c>
      <c r="I352" s="4">
        <v>6300</v>
      </c>
      <c r="J352" s="4">
        <v>16000</v>
      </c>
      <c r="K352" s="4">
        <v>12190</v>
      </c>
      <c r="L352" s="4">
        <v>1020</v>
      </c>
      <c r="M352" s="4">
        <v>7700</v>
      </c>
      <c r="N352" s="4">
        <f>SUM(Table1[[#This Row],[2025]:[2018]])</f>
        <v>60250</v>
      </c>
      <c r="O352" s="2">
        <f>Table1[[#This Row],[ttl]]/SUM(Table1[ttl])</f>
        <v>1.2148984620742277E-4</v>
      </c>
      <c r="P352" s="3">
        <f>SUM($O$2:Table1[[#This Row],[pctAllTimeExp]])</f>
        <v>0.97019713997259804</v>
      </c>
      <c r="Q352" t="b">
        <f>Table1[[#This Row],[cumPctAllTimeExp]]&lt;0.95</f>
        <v>0</v>
      </c>
    </row>
    <row r="353" spans="1:17" x14ac:dyDescent="0.25">
      <c r="A353">
        <v>87</v>
      </c>
      <c r="C353" t="s">
        <v>2508</v>
      </c>
      <c r="E353" t="s">
        <v>89</v>
      </c>
      <c r="F353" s="4">
        <v>60044.43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f>SUM(Table1[[#This Row],[2025]:[2018]])</f>
        <v>60044.43</v>
      </c>
      <c r="O353" s="2">
        <f>Table1[[#This Row],[ttl]]/SUM(Table1[ttl])</f>
        <v>1.2107532890144998E-4</v>
      </c>
      <c r="P353" s="3">
        <f>SUM($O$2:Table1[[#This Row],[pctAllTimeExp]])</f>
        <v>0.97031821530149953</v>
      </c>
      <c r="Q353" t="b">
        <f>Table1[[#This Row],[cumPctAllTimeExp]]&lt;0.95</f>
        <v>0</v>
      </c>
    </row>
    <row r="354" spans="1:17" x14ac:dyDescent="0.25">
      <c r="A354">
        <v>2246</v>
      </c>
      <c r="C354" t="s">
        <v>2508</v>
      </c>
      <c r="E354" t="s">
        <v>2248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60000</v>
      </c>
      <c r="N354" s="4">
        <f>SUM(Table1[[#This Row],[2025]:[2018]])</f>
        <v>60000</v>
      </c>
      <c r="O354" s="2">
        <f>Table1[[#This Row],[ttl]]/SUM(Table1[ttl])</f>
        <v>1.2098573896174881E-4</v>
      </c>
      <c r="P354" s="3">
        <f>SUM($O$2:Table1[[#This Row],[pctAllTimeExp]])</f>
        <v>0.97043920104046133</v>
      </c>
      <c r="Q354" t="b">
        <f>Table1[[#This Row],[cumPctAllTimeExp]]&lt;0.95</f>
        <v>0</v>
      </c>
    </row>
    <row r="355" spans="1:17" x14ac:dyDescent="0.25">
      <c r="A355">
        <v>717</v>
      </c>
      <c r="C355" t="s">
        <v>2508</v>
      </c>
      <c r="E355" t="s">
        <v>719</v>
      </c>
      <c r="F355" s="4">
        <v>0</v>
      </c>
      <c r="G355" s="4">
        <v>25475</v>
      </c>
      <c r="H355" s="4">
        <v>24655</v>
      </c>
      <c r="I355" s="4">
        <v>9375</v>
      </c>
      <c r="J355" s="4">
        <v>0</v>
      </c>
      <c r="K355" s="4">
        <v>0</v>
      </c>
      <c r="L355" s="4">
        <v>0</v>
      </c>
      <c r="M355" s="4">
        <v>0</v>
      </c>
      <c r="N355" s="4">
        <f>SUM(Table1[[#This Row],[2025]:[2018]])</f>
        <v>59505</v>
      </c>
      <c r="O355" s="2">
        <f>Table1[[#This Row],[ttl]]/SUM(Table1[ttl])</f>
        <v>1.1998760661531438E-4</v>
      </c>
      <c r="P355" s="3">
        <f>SUM($O$2:Table1[[#This Row],[pctAllTimeExp]])</f>
        <v>0.97055918864707669</v>
      </c>
      <c r="Q355" t="b">
        <f>Table1[[#This Row],[cumPctAllTimeExp]]&lt;0.95</f>
        <v>0</v>
      </c>
    </row>
    <row r="356" spans="1:17" x14ac:dyDescent="0.25">
      <c r="A356">
        <v>563</v>
      </c>
      <c r="C356" t="s">
        <v>2508</v>
      </c>
      <c r="E356" t="s">
        <v>565</v>
      </c>
      <c r="F356" s="4">
        <v>481.6</v>
      </c>
      <c r="G356" s="4">
        <v>3579.5</v>
      </c>
      <c r="H356" s="4">
        <v>0</v>
      </c>
      <c r="I356" s="4">
        <v>0</v>
      </c>
      <c r="J356" s="4">
        <v>0</v>
      </c>
      <c r="K356" s="4">
        <v>8136</v>
      </c>
      <c r="L356" s="4">
        <v>47071</v>
      </c>
      <c r="M356" s="4">
        <v>0</v>
      </c>
      <c r="N356" s="4">
        <f>SUM(Table1[[#This Row],[2025]:[2018]])</f>
        <v>59268.1</v>
      </c>
      <c r="O356" s="2">
        <f>Table1[[#This Row],[ttl]]/SUM(Table1[ttl])</f>
        <v>1.1950991458931374E-4</v>
      </c>
      <c r="P356" s="3">
        <f>SUM($O$2:Table1[[#This Row],[pctAllTimeExp]])</f>
        <v>0.970678698561666</v>
      </c>
      <c r="Q356" t="b">
        <f>Table1[[#This Row],[cumPctAllTimeExp]]&lt;0.95</f>
        <v>0</v>
      </c>
    </row>
    <row r="357" spans="1:17" x14ac:dyDescent="0.25">
      <c r="A357">
        <v>261</v>
      </c>
      <c r="C357" t="s">
        <v>2508</v>
      </c>
      <c r="E357" t="s">
        <v>263</v>
      </c>
      <c r="F357" s="4">
        <v>7366.64</v>
      </c>
      <c r="G357" s="4">
        <v>7610.68</v>
      </c>
      <c r="H357" s="4">
        <v>19818.3</v>
      </c>
      <c r="I357" s="4">
        <v>8337.48</v>
      </c>
      <c r="J357" s="4">
        <v>4894.8999999999996</v>
      </c>
      <c r="K357" s="4">
        <v>3323.4</v>
      </c>
      <c r="L357" s="4">
        <v>3641.25</v>
      </c>
      <c r="M357" s="4">
        <v>4251.16</v>
      </c>
      <c r="N357" s="4">
        <f>SUM(Table1[[#This Row],[2025]:[2018]])</f>
        <v>59243.81</v>
      </c>
      <c r="O357" s="2">
        <f>Table1[[#This Row],[ttl]]/SUM(Table1[ttl])</f>
        <v>1.1946093552932405E-4</v>
      </c>
      <c r="P357" s="3">
        <f>SUM($O$2:Table1[[#This Row],[pctAllTimeExp]])</f>
        <v>0.97079815949719528</v>
      </c>
      <c r="Q357" t="b">
        <f>Table1[[#This Row],[cumPctAllTimeExp]]&lt;0.95</f>
        <v>0</v>
      </c>
    </row>
    <row r="358" spans="1:17" x14ac:dyDescent="0.25">
      <c r="A358">
        <v>207</v>
      </c>
      <c r="C358" t="s">
        <v>2508</v>
      </c>
      <c r="E358" t="s">
        <v>209</v>
      </c>
      <c r="F358" s="4">
        <v>13222.1</v>
      </c>
      <c r="G358" s="4">
        <v>16735.8</v>
      </c>
      <c r="H358" s="4">
        <v>14225.6</v>
      </c>
      <c r="I358" s="4">
        <v>11821.51</v>
      </c>
      <c r="J358" s="4">
        <v>3091.25</v>
      </c>
      <c r="K358" s="4">
        <v>0</v>
      </c>
      <c r="L358" s="4">
        <v>0</v>
      </c>
      <c r="M358" s="4">
        <v>0</v>
      </c>
      <c r="N358" s="4">
        <f>SUM(Table1[[#This Row],[2025]:[2018]])</f>
        <v>59096.26</v>
      </c>
      <c r="O358" s="2">
        <f>Table1[[#This Row],[ttl]]/SUM(Table1[ttl])</f>
        <v>1.191634114329273E-4</v>
      </c>
      <c r="P358" s="3">
        <f>SUM($O$2:Table1[[#This Row],[pctAllTimeExp]])</f>
        <v>0.9709173229086282</v>
      </c>
      <c r="Q358" t="b">
        <f>Table1[[#This Row],[cumPctAllTimeExp]]&lt;0.95</f>
        <v>0</v>
      </c>
    </row>
    <row r="359" spans="1:17" x14ac:dyDescent="0.25">
      <c r="A359">
        <v>415</v>
      </c>
      <c r="C359" t="s">
        <v>2508</v>
      </c>
      <c r="E359" t="s">
        <v>417</v>
      </c>
      <c r="F359" s="4">
        <v>1654.02</v>
      </c>
      <c r="G359" s="4">
        <v>7482.26</v>
      </c>
      <c r="H359" s="4">
        <v>9436.2000000000007</v>
      </c>
      <c r="I359" s="4">
        <v>9263.17</v>
      </c>
      <c r="J359" s="4">
        <v>8962.09</v>
      </c>
      <c r="K359" s="4">
        <v>10195.1</v>
      </c>
      <c r="L359" s="4">
        <v>6939.02</v>
      </c>
      <c r="M359" s="4">
        <v>5056</v>
      </c>
      <c r="N359" s="4">
        <f>SUM(Table1[[#This Row],[2025]:[2018]])</f>
        <v>58987.86</v>
      </c>
      <c r="O359" s="2">
        <f>Table1[[#This Row],[ttl]]/SUM(Table1[ttl])</f>
        <v>1.1894483053120307E-4</v>
      </c>
      <c r="P359" s="3">
        <f>SUM($O$2:Table1[[#This Row],[pctAllTimeExp]])</f>
        <v>0.97103626773915941</v>
      </c>
      <c r="Q359" t="b">
        <f>Table1[[#This Row],[cumPctAllTimeExp]]&lt;0.95</f>
        <v>0</v>
      </c>
    </row>
    <row r="360" spans="1:17" x14ac:dyDescent="0.25">
      <c r="A360">
        <v>1407</v>
      </c>
      <c r="C360" t="s">
        <v>2508</v>
      </c>
      <c r="E360" t="s">
        <v>1409</v>
      </c>
      <c r="F360" s="4">
        <v>0</v>
      </c>
      <c r="G360" s="4">
        <v>0</v>
      </c>
      <c r="H360" s="4">
        <v>0</v>
      </c>
      <c r="I360" s="4">
        <v>0</v>
      </c>
      <c r="J360" s="4">
        <v>58939.6</v>
      </c>
      <c r="K360" s="4">
        <v>0</v>
      </c>
      <c r="L360" s="4">
        <v>0</v>
      </c>
      <c r="M360" s="4">
        <v>0</v>
      </c>
      <c r="N360" s="4">
        <f>SUM(Table1[[#This Row],[2025]:[2018]])</f>
        <v>58939.6</v>
      </c>
      <c r="O360" s="2">
        <f>Table1[[#This Row],[ttl]]/SUM(Table1[ttl])</f>
        <v>1.1884751766849816E-4</v>
      </c>
      <c r="P360" s="3">
        <f>SUM($O$2:Table1[[#This Row],[pctAllTimeExp]])</f>
        <v>0.97115511525682796</v>
      </c>
      <c r="Q360" t="b">
        <f>Table1[[#This Row],[cumPctAllTimeExp]]&lt;0.95</f>
        <v>0</v>
      </c>
    </row>
    <row r="361" spans="1:17" x14ac:dyDescent="0.25">
      <c r="A361">
        <v>1251</v>
      </c>
      <c r="C361" t="s">
        <v>2508</v>
      </c>
      <c r="E361" t="s">
        <v>1253</v>
      </c>
      <c r="F361" s="4">
        <v>0</v>
      </c>
      <c r="G361" s="4">
        <v>0</v>
      </c>
      <c r="H361" s="4">
        <v>0</v>
      </c>
      <c r="I361" s="4">
        <v>2797.5</v>
      </c>
      <c r="J361" s="4">
        <v>2327.5</v>
      </c>
      <c r="K361" s="4">
        <v>5783</v>
      </c>
      <c r="L361" s="4">
        <v>1110</v>
      </c>
      <c r="M361" s="4">
        <v>46605</v>
      </c>
      <c r="N361" s="4">
        <f>SUM(Table1[[#This Row],[2025]:[2018]])</f>
        <v>58623</v>
      </c>
      <c r="O361" s="2">
        <f>Table1[[#This Row],[ttl]]/SUM(Table1[ttl])</f>
        <v>1.1820911625257668E-4</v>
      </c>
      <c r="P361" s="3">
        <f>SUM($O$2:Table1[[#This Row],[pctAllTimeExp]])</f>
        <v>0.97127332437308056</v>
      </c>
      <c r="Q361" t="b">
        <f>Table1[[#This Row],[cumPctAllTimeExp]]&lt;0.95</f>
        <v>0</v>
      </c>
    </row>
    <row r="362" spans="1:17" x14ac:dyDescent="0.25">
      <c r="A362">
        <v>90</v>
      </c>
      <c r="C362" t="s">
        <v>2508</v>
      </c>
      <c r="E362" t="s">
        <v>92</v>
      </c>
      <c r="F362" s="4">
        <v>57250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f>SUM(Table1[[#This Row],[2025]:[2018]])</f>
        <v>57250</v>
      </c>
      <c r="O362" s="2">
        <f>Table1[[#This Row],[ttl]]/SUM(Table1[ttl])</f>
        <v>1.1544055925933533E-4</v>
      </c>
      <c r="P362" s="3">
        <f>SUM($O$2:Table1[[#This Row],[pctAllTimeExp]])</f>
        <v>0.97138876493233994</v>
      </c>
      <c r="Q362" t="b">
        <f>Table1[[#This Row],[cumPctAllTimeExp]]&lt;0.95</f>
        <v>0</v>
      </c>
    </row>
    <row r="363" spans="1:17" x14ac:dyDescent="0.25">
      <c r="A363">
        <v>482</v>
      </c>
      <c r="C363" t="s">
        <v>2508</v>
      </c>
      <c r="E363" t="s">
        <v>484</v>
      </c>
      <c r="F363" s="4">
        <v>939.2</v>
      </c>
      <c r="G363" s="4">
        <v>0</v>
      </c>
      <c r="H363" s="4">
        <v>8875.7900000000009</v>
      </c>
      <c r="I363" s="4">
        <v>9428.5</v>
      </c>
      <c r="J363" s="4">
        <v>9581.18</v>
      </c>
      <c r="K363" s="4">
        <v>8289.7099999999991</v>
      </c>
      <c r="L363" s="4">
        <v>6598</v>
      </c>
      <c r="M363" s="4">
        <v>13399</v>
      </c>
      <c r="N363" s="4">
        <f>SUM(Table1[[#This Row],[2025]:[2018]])</f>
        <v>57111.380000000005</v>
      </c>
      <c r="O363" s="2">
        <f>Table1[[#This Row],[ttl]]/SUM(Table1[ttl])</f>
        <v>1.1516104187375403E-4</v>
      </c>
      <c r="P363" s="3">
        <f>SUM($O$2:Table1[[#This Row],[pctAllTimeExp]])</f>
        <v>0.97150392597421364</v>
      </c>
      <c r="Q363" t="b">
        <f>Table1[[#This Row],[cumPctAllTimeExp]]&lt;0.95</f>
        <v>0</v>
      </c>
    </row>
    <row r="364" spans="1:17" x14ac:dyDescent="0.25">
      <c r="A364">
        <v>158</v>
      </c>
      <c r="C364" t="s">
        <v>2508</v>
      </c>
      <c r="E364" t="s">
        <v>160</v>
      </c>
      <c r="F364" s="4">
        <v>22253.83</v>
      </c>
      <c r="G364" s="4">
        <v>261.8</v>
      </c>
      <c r="H364" s="4">
        <v>32582.04</v>
      </c>
      <c r="I364" s="4">
        <v>700.02</v>
      </c>
      <c r="J364" s="4">
        <v>352.8</v>
      </c>
      <c r="K364" s="4">
        <v>0</v>
      </c>
      <c r="L364" s="4">
        <v>0</v>
      </c>
      <c r="M364" s="4">
        <v>0</v>
      </c>
      <c r="N364" s="4">
        <f>SUM(Table1[[#This Row],[2025]:[2018]])</f>
        <v>56150.49</v>
      </c>
      <c r="O364" s="2">
        <f>Table1[[#This Row],[ttl]]/SUM(Table1[ttl])</f>
        <v>1.1322347542857144E-4</v>
      </c>
      <c r="P364" s="3">
        <f>SUM($O$2:Table1[[#This Row],[pctAllTimeExp]])</f>
        <v>0.97161714944964217</v>
      </c>
      <c r="Q364" t="b">
        <f>Table1[[#This Row],[cumPctAllTimeExp]]&lt;0.95</f>
        <v>0</v>
      </c>
    </row>
    <row r="365" spans="1:17" x14ac:dyDescent="0.25">
      <c r="A365">
        <v>227</v>
      </c>
      <c r="C365" t="s">
        <v>2508</v>
      </c>
      <c r="E365" t="s">
        <v>229</v>
      </c>
      <c r="F365" s="4">
        <v>9525.85</v>
      </c>
      <c r="G365" s="4">
        <v>3783.25</v>
      </c>
      <c r="H365" s="4">
        <v>8821.44</v>
      </c>
      <c r="I365" s="4">
        <v>5307.35</v>
      </c>
      <c r="J365" s="4">
        <v>4502.75</v>
      </c>
      <c r="K365" s="4">
        <v>4234.41</v>
      </c>
      <c r="L365" s="4">
        <v>6444.9</v>
      </c>
      <c r="M365" s="4">
        <v>13216.35</v>
      </c>
      <c r="N365" s="4">
        <f>SUM(Table1[[#This Row],[2025]:[2018]])</f>
        <v>55836.3</v>
      </c>
      <c r="O365" s="2">
        <f>Table1[[#This Row],[ttl]]/SUM(Table1[ttl])</f>
        <v>1.1258993360649825E-4</v>
      </c>
      <c r="P365" s="3">
        <f>SUM($O$2:Table1[[#This Row],[pctAllTimeExp]])</f>
        <v>0.97172973938324869</v>
      </c>
      <c r="Q365" t="b">
        <f>Table1[[#This Row],[cumPctAllTimeExp]]&lt;0.95</f>
        <v>0</v>
      </c>
    </row>
    <row r="366" spans="1:17" x14ac:dyDescent="0.25">
      <c r="A366">
        <v>641</v>
      </c>
      <c r="C366" t="s">
        <v>2508</v>
      </c>
      <c r="E366" t="s">
        <v>643</v>
      </c>
      <c r="F366" s="4">
        <v>166.83</v>
      </c>
      <c r="G366" s="4">
        <v>0</v>
      </c>
      <c r="H366" s="4">
        <v>4358.25</v>
      </c>
      <c r="I366" s="4">
        <v>48817.3</v>
      </c>
      <c r="J366" s="4">
        <v>0</v>
      </c>
      <c r="K366" s="4">
        <v>0</v>
      </c>
      <c r="L366" s="4">
        <v>2040.53</v>
      </c>
      <c r="M366" s="4">
        <v>0</v>
      </c>
      <c r="N366" s="4">
        <f>SUM(Table1[[#This Row],[2025]:[2018]])</f>
        <v>55382.91</v>
      </c>
      <c r="O366" s="2">
        <f>Table1[[#This Row],[ttl]]/SUM(Table1[ttl])</f>
        <v>1.116757048700338E-4</v>
      </c>
      <c r="P366" s="3">
        <f>SUM($O$2:Table1[[#This Row],[pctAllTimeExp]])</f>
        <v>0.97184141508811872</v>
      </c>
      <c r="Q366" t="b">
        <f>Table1[[#This Row],[cumPctAllTimeExp]]&lt;0.95</f>
        <v>0</v>
      </c>
    </row>
    <row r="367" spans="1:17" x14ac:dyDescent="0.25">
      <c r="A367">
        <v>218</v>
      </c>
      <c r="C367" t="s">
        <v>2508</v>
      </c>
      <c r="E367" t="s">
        <v>220</v>
      </c>
      <c r="F367" s="4">
        <v>11558</v>
      </c>
      <c r="G367" s="4">
        <v>10390</v>
      </c>
      <c r="H367" s="4">
        <v>11290</v>
      </c>
      <c r="I367" s="4">
        <v>10750</v>
      </c>
      <c r="J367" s="4">
        <v>10750</v>
      </c>
      <c r="K367" s="4">
        <v>0</v>
      </c>
      <c r="L367" s="4">
        <v>0</v>
      </c>
      <c r="M367" s="4">
        <v>0</v>
      </c>
      <c r="N367" s="4">
        <f>SUM(Table1[[#This Row],[2025]:[2018]])</f>
        <v>54738</v>
      </c>
      <c r="O367" s="2">
        <f>Table1[[#This Row],[ttl]]/SUM(Table1[ttl])</f>
        <v>1.1037528965480344E-4</v>
      </c>
      <c r="P367" s="3">
        <f>SUM($O$2:Table1[[#This Row],[pctAllTimeExp]])</f>
        <v>0.97195179037777357</v>
      </c>
      <c r="Q367" t="b">
        <f>Table1[[#This Row],[cumPctAllTimeExp]]&lt;0.95</f>
        <v>0</v>
      </c>
    </row>
    <row r="368" spans="1:17" x14ac:dyDescent="0.25">
      <c r="A368">
        <v>132</v>
      </c>
      <c r="C368" t="s">
        <v>2508</v>
      </c>
      <c r="E368" t="s">
        <v>134</v>
      </c>
      <c r="F368" s="4">
        <v>28960.15</v>
      </c>
      <c r="G368" s="4">
        <v>25768.07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f>SUM(Table1[[#This Row],[2025]:[2018]])</f>
        <v>54728.22</v>
      </c>
      <c r="O368" s="2">
        <f>Table1[[#This Row],[ttl]]/SUM(Table1[ttl])</f>
        <v>1.1035556897935267E-4</v>
      </c>
      <c r="P368" s="3">
        <f>SUM($O$2:Table1[[#This Row],[pctAllTimeExp]])</f>
        <v>0.97206214594675289</v>
      </c>
      <c r="Q368" t="b">
        <f>Table1[[#This Row],[cumPctAllTimeExp]]&lt;0.95</f>
        <v>0</v>
      </c>
    </row>
    <row r="369" spans="1:17" x14ac:dyDescent="0.25">
      <c r="A369">
        <v>1437</v>
      </c>
      <c r="C369" t="s">
        <v>2508</v>
      </c>
      <c r="E369" t="s">
        <v>1439</v>
      </c>
      <c r="F369" s="4">
        <v>0</v>
      </c>
      <c r="G369" s="4">
        <v>0</v>
      </c>
      <c r="H369" s="4">
        <v>0</v>
      </c>
      <c r="I369" s="4">
        <v>0</v>
      </c>
      <c r="J369" s="4">
        <v>6251.25</v>
      </c>
      <c r="K369" s="4">
        <v>48261.68</v>
      </c>
      <c r="L369" s="4">
        <v>0</v>
      </c>
      <c r="M369" s="4">
        <v>0</v>
      </c>
      <c r="N369" s="4">
        <f>SUM(Table1[[#This Row],[2025]:[2018]])</f>
        <v>54512.93</v>
      </c>
      <c r="O369" s="2">
        <f>Table1[[#This Row],[ttl]]/SUM(Table1[ttl])</f>
        <v>1.099214519836681E-4</v>
      </c>
      <c r="P369" s="3">
        <f>SUM($O$2:Table1[[#This Row],[pctAllTimeExp]])</f>
        <v>0.97217206739873652</v>
      </c>
      <c r="Q369" t="b">
        <f>Table1[[#This Row],[cumPctAllTimeExp]]&lt;0.95</f>
        <v>0</v>
      </c>
    </row>
    <row r="370" spans="1:17" x14ac:dyDescent="0.25">
      <c r="A370">
        <v>1010</v>
      </c>
      <c r="C370" t="s">
        <v>2508</v>
      </c>
      <c r="E370" t="s">
        <v>1012</v>
      </c>
      <c r="F370" s="4">
        <v>0</v>
      </c>
      <c r="G370" s="4">
        <v>0</v>
      </c>
      <c r="H370" s="4">
        <v>9818.99</v>
      </c>
      <c r="I370" s="4">
        <v>9305</v>
      </c>
      <c r="J370" s="4">
        <v>11717</v>
      </c>
      <c r="K370" s="4">
        <v>6684.5</v>
      </c>
      <c r="L370" s="4">
        <v>3674.5</v>
      </c>
      <c r="M370" s="4">
        <v>12872.5</v>
      </c>
      <c r="N370" s="4">
        <f>SUM(Table1[[#This Row],[2025]:[2018]])</f>
        <v>54072.49</v>
      </c>
      <c r="O370" s="2">
        <f>Table1[[#This Row],[ttl]]/SUM(Table1[ttl])</f>
        <v>1.0903333600252955E-4</v>
      </c>
      <c r="P370" s="3">
        <f>SUM($O$2:Table1[[#This Row],[pctAllTimeExp]])</f>
        <v>0.97228110073473906</v>
      </c>
      <c r="Q370" t="b">
        <f>Table1[[#This Row],[cumPctAllTimeExp]]&lt;0.95</f>
        <v>0</v>
      </c>
    </row>
    <row r="371" spans="1:17" x14ac:dyDescent="0.25">
      <c r="A371">
        <v>221</v>
      </c>
      <c r="C371" t="s">
        <v>2508</v>
      </c>
      <c r="E371" t="s">
        <v>223</v>
      </c>
      <c r="F371" s="4">
        <v>10306.700000000001</v>
      </c>
      <c r="G371" s="4">
        <v>5499.08</v>
      </c>
      <c r="H371" s="4">
        <v>5813.93</v>
      </c>
      <c r="I371" s="4">
        <v>2447.66</v>
      </c>
      <c r="J371" s="4">
        <v>9750.77</v>
      </c>
      <c r="K371" s="4">
        <v>4619.91</v>
      </c>
      <c r="L371" s="4">
        <v>6425.25</v>
      </c>
      <c r="M371" s="4">
        <v>9105.7000000000007</v>
      </c>
      <c r="N371" s="4">
        <f>SUM(Table1[[#This Row],[2025]:[2018]])</f>
        <v>53969</v>
      </c>
      <c r="O371" s="2">
        <f>Table1[[#This Row],[ttl]]/SUM(Table1[ttl])</f>
        <v>1.0882465576711036E-4</v>
      </c>
      <c r="P371" s="3">
        <f>SUM($O$2:Table1[[#This Row],[pctAllTimeExp]])</f>
        <v>0.97238992539050617</v>
      </c>
      <c r="Q371" t="b">
        <f>Table1[[#This Row],[cumPctAllTimeExp]]&lt;0.95</f>
        <v>0</v>
      </c>
    </row>
    <row r="372" spans="1:17" x14ac:dyDescent="0.25">
      <c r="A372">
        <v>1972</v>
      </c>
      <c r="C372" t="s">
        <v>2508</v>
      </c>
      <c r="E372" t="s">
        <v>1974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53939</v>
      </c>
      <c r="M372" s="4">
        <v>0</v>
      </c>
      <c r="N372" s="4">
        <f>SUM(Table1[[#This Row],[2025]:[2018]])</f>
        <v>53939</v>
      </c>
      <c r="O372" s="2">
        <f>Table1[[#This Row],[ttl]]/SUM(Table1[ttl])</f>
        <v>1.0876416289762949E-4</v>
      </c>
      <c r="P372" s="3">
        <f>SUM($O$2:Table1[[#This Row],[pctAllTimeExp]])</f>
        <v>0.97249868955340379</v>
      </c>
      <c r="Q372" t="b">
        <f>Table1[[#This Row],[cumPctAllTimeExp]]&lt;0.95</f>
        <v>0</v>
      </c>
    </row>
    <row r="373" spans="1:17" x14ac:dyDescent="0.25">
      <c r="A373">
        <v>92</v>
      </c>
      <c r="C373" t="s">
        <v>2508</v>
      </c>
      <c r="E373" t="s">
        <v>94</v>
      </c>
      <c r="F373" s="4">
        <v>53921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f>SUM(Table1[[#This Row],[2025]:[2018]])</f>
        <v>53921</v>
      </c>
      <c r="O373" s="2">
        <f>Table1[[#This Row],[ttl]]/SUM(Table1[ttl])</f>
        <v>1.0872786717594096E-4</v>
      </c>
      <c r="P373" s="3">
        <f>SUM($O$2:Table1[[#This Row],[pctAllTimeExp]])</f>
        <v>0.97260741742057977</v>
      </c>
      <c r="Q373" t="b">
        <f>Table1[[#This Row],[cumPctAllTimeExp]]&lt;0.95</f>
        <v>0</v>
      </c>
    </row>
    <row r="374" spans="1:17" x14ac:dyDescent="0.25">
      <c r="A374">
        <v>1005</v>
      </c>
      <c r="C374" t="s">
        <v>2508</v>
      </c>
      <c r="E374" t="s">
        <v>1007</v>
      </c>
      <c r="F374" s="4">
        <v>0</v>
      </c>
      <c r="G374" s="4">
        <v>0</v>
      </c>
      <c r="H374" s="4">
        <v>11870.4</v>
      </c>
      <c r="I374" s="4">
        <v>0</v>
      </c>
      <c r="J374" s="4">
        <v>0</v>
      </c>
      <c r="K374" s="4">
        <v>42000</v>
      </c>
      <c r="L374" s="4">
        <v>0</v>
      </c>
      <c r="M374" s="4">
        <v>0</v>
      </c>
      <c r="N374" s="4">
        <f>SUM(Table1[[#This Row],[2025]:[2018]])</f>
        <v>53870.400000000001</v>
      </c>
      <c r="O374" s="2">
        <f>Table1[[#This Row],[ttl]]/SUM(Table1[ttl])</f>
        <v>1.0862583586941655E-4</v>
      </c>
      <c r="P374" s="3">
        <f>SUM($O$2:Table1[[#This Row],[pctAllTimeExp]])</f>
        <v>0.97271604325644923</v>
      </c>
      <c r="Q374" t="b">
        <f>Table1[[#This Row],[cumPctAllTimeExp]]&lt;0.95</f>
        <v>0</v>
      </c>
    </row>
    <row r="375" spans="1:17" x14ac:dyDescent="0.25">
      <c r="A375">
        <v>138</v>
      </c>
      <c r="C375" t="s">
        <v>2508</v>
      </c>
      <c r="E375" t="s">
        <v>140</v>
      </c>
      <c r="F375" s="4">
        <v>26327.919999999998</v>
      </c>
      <c r="G375" s="4">
        <v>27505.75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f>SUM(Table1[[#This Row],[2025]:[2018]])</f>
        <v>53833.67</v>
      </c>
      <c r="O375" s="2">
        <f>Table1[[#This Row],[ttl]]/SUM(Table1[ttl])</f>
        <v>1.0855177243288213E-4</v>
      </c>
      <c r="P375" s="3">
        <f>SUM($O$2:Table1[[#This Row],[pctAllTimeExp]])</f>
        <v>0.97282459502888208</v>
      </c>
      <c r="Q375" t="b">
        <f>Table1[[#This Row],[cumPctAllTimeExp]]&lt;0.95</f>
        <v>0</v>
      </c>
    </row>
    <row r="376" spans="1:17" x14ac:dyDescent="0.25">
      <c r="A376">
        <v>989</v>
      </c>
      <c r="C376" t="s">
        <v>2508</v>
      </c>
      <c r="E376" t="s">
        <v>991</v>
      </c>
      <c r="F376" s="4">
        <v>0</v>
      </c>
      <c r="G376" s="4">
        <v>0</v>
      </c>
      <c r="H376" s="4">
        <v>17540</v>
      </c>
      <c r="I376" s="4">
        <v>36072.720000000001</v>
      </c>
      <c r="J376" s="4">
        <v>0</v>
      </c>
      <c r="K376" s="4">
        <v>0</v>
      </c>
      <c r="L376" s="4">
        <v>0</v>
      </c>
      <c r="M376" s="4">
        <v>0</v>
      </c>
      <c r="N376" s="4">
        <f>SUM(Table1[[#This Row],[2025]:[2018]])</f>
        <v>53612.72</v>
      </c>
      <c r="O376" s="2">
        <f>Table1[[#This Row],[ttl]]/SUM(Table1[ttl])</f>
        <v>1.0810624244915549E-4</v>
      </c>
      <c r="P376" s="3">
        <f>SUM($O$2:Table1[[#This Row],[pctAllTimeExp]])</f>
        <v>0.97293270127133125</v>
      </c>
      <c r="Q376" t="b">
        <f>Table1[[#This Row],[cumPctAllTimeExp]]&lt;0.95</f>
        <v>0</v>
      </c>
    </row>
    <row r="377" spans="1:17" x14ac:dyDescent="0.25">
      <c r="A377">
        <v>200</v>
      </c>
      <c r="C377" t="s">
        <v>2508</v>
      </c>
      <c r="E377" t="s">
        <v>202</v>
      </c>
      <c r="F377" s="4">
        <v>14300</v>
      </c>
      <c r="G377" s="4">
        <v>0</v>
      </c>
      <c r="H377" s="4">
        <v>3000</v>
      </c>
      <c r="I377" s="4">
        <v>0</v>
      </c>
      <c r="J377" s="4">
        <v>17000</v>
      </c>
      <c r="K377" s="4">
        <v>9500</v>
      </c>
      <c r="L377" s="4">
        <v>9700</v>
      </c>
      <c r="M377" s="4">
        <v>0</v>
      </c>
      <c r="N377" s="4">
        <f>SUM(Table1[[#This Row],[2025]:[2018]])</f>
        <v>53500</v>
      </c>
      <c r="O377" s="2">
        <f>Table1[[#This Row],[ttl]]/SUM(Table1[ttl])</f>
        <v>1.0787895057422602E-4</v>
      </c>
      <c r="P377" s="3">
        <f>SUM($O$2:Table1[[#This Row],[pctAllTimeExp]])</f>
        <v>0.97304058022190543</v>
      </c>
      <c r="Q377" t="b">
        <f>Table1[[#This Row],[cumPctAllTimeExp]]&lt;0.95</f>
        <v>0</v>
      </c>
    </row>
    <row r="378" spans="1:17" x14ac:dyDescent="0.25">
      <c r="A378">
        <v>267</v>
      </c>
      <c r="C378" t="s">
        <v>2508</v>
      </c>
      <c r="E378" t="s">
        <v>269</v>
      </c>
      <c r="F378" s="4">
        <v>6984</v>
      </c>
      <c r="G378" s="4">
        <v>6783</v>
      </c>
      <c r="H378" s="4">
        <v>7301.44</v>
      </c>
      <c r="I378" s="4">
        <v>11395</v>
      </c>
      <c r="J378" s="4">
        <v>5629</v>
      </c>
      <c r="K378" s="4">
        <v>5460</v>
      </c>
      <c r="L378" s="4">
        <v>4951</v>
      </c>
      <c r="M378" s="4">
        <v>4821</v>
      </c>
      <c r="N378" s="4">
        <f>SUM(Table1[[#This Row],[2025]:[2018]])</f>
        <v>53324.44</v>
      </c>
      <c r="O378" s="2">
        <f>Table1[[#This Row],[ttl]]/SUM(Table1[ttl])</f>
        <v>1.0752494630202395E-4</v>
      </c>
      <c r="P378" s="3">
        <f>SUM($O$2:Table1[[#This Row],[pctAllTimeExp]])</f>
        <v>0.97314810516820749</v>
      </c>
      <c r="Q378" t="b">
        <f>Table1[[#This Row],[cumPctAllTimeExp]]&lt;0.95</f>
        <v>0</v>
      </c>
    </row>
    <row r="379" spans="1:17" x14ac:dyDescent="0.25">
      <c r="A379">
        <v>1460</v>
      </c>
      <c r="C379" t="s">
        <v>2508</v>
      </c>
      <c r="E379" t="s">
        <v>1462</v>
      </c>
      <c r="F379" s="4">
        <v>0</v>
      </c>
      <c r="G379" s="4">
        <v>0</v>
      </c>
      <c r="H379" s="4">
        <v>0</v>
      </c>
      <c r="I379" s="4">
        <v>0</v>
      </c>
      <c r="J379" s="4">
        <v>2283</v>
      </c>
      <c r="K379" s="4">
        <v>1570</v>
      </c>
      <c r="L379" s="4">
        <v>48600</v>
      </c>
      <c r="M379" s="4">
        <v>350</v>
      </c>
      <c r="N379" s="4">
        <f>SUM(Table1[[#This Row],[2025]:[2018]])</f>
        <v>52803</v>
      </c>
      <c r="O379" s="2">
        <f>Table1[[#This Row],[ttl]]/SUM(Table1[ttl])</f>
        <v>1.0647349957328704E-4</v>
      </c>
      <c r="P379" s="3">
        <f>SUM($O$2:Table1[[#This Row],[pctAllTimeExp]])</f>
        <v>0.97325457866778076</v>
      </c>
      <c r="Q379" t="b">
        <f>Table1[[#This Row],[cumPctAllTimeExp]]&lt;0.95</f>
        <v>0</v>
      </c>
    </row>
    <row r="380" spans="1:17" x14ac:dyDescent="0.25">
      <c r="A380">
        <v>298</v>
      </c>
      <c r="C380" t="s">
        <v>2508</v>
      </c>
      <c r="E380" t="s">
        <v>300</v>
      </c>
      <c r="F380" s="4">
        <v>5060</v>
      </c>
      <c r="G380" s="4">
        <v>16890</v>
      </c>
      <c r="H380" s="4">
        <v>8230</v>
      </c>
      <c r="I380" s="4">
        <v>7243</v>
      </c>
      <c r="J380" s="4">
        <v>2187</v>
      </c>
      <c r="K380" s="4">
        <v>6610</v>
      </c>
      <c r="L380" s="4">
        <v>5345</v>
      </c>
      <c r="M380" s="4">
        <v>1040</v>
      </c>
      <c r="N380" s="4">
        <f>SUM(Table1[[#This Row],[2025]:[2018]])</f>
        <v>52605</v>
      </c>
      <c r="O380" s="2">
        <f>Table1[[#This Row],[ttl]]/SUM(Table1[ttl])</f>
        <v>1.0607424663471326E-4</v>
      </c>
      <c r="P380" s="3">
        <f>SUM($O$2:Table1[[#This Row],[pctAllTimeExp]])</f>
        <v>0.97336065291441543</v>
      </c>
      <c r="Q380" t="b">
        <f>Table1[[#This Row],[cumPctAllTimeExp]]&lt;0.95</f>
        <v>0</v>
      </c>
    </row>
    <row r="381" spans="1:17" x14ac:dyDescent="0.25">
      <c r="A381">
        <v>250</v>
      </c>
      <c r="C381" t="s">
        <v>2508</v>
      </c>
      <c r="E381" t="s">
        <v>252</v>
      </c>
      <c r="F381" s="4">
        <v>7842.68</v>
      </c>
      <c r="G381" s="4">
        <v>9074.14</v>
      </c>
      <c r="H381" s="4">
        <v>8066.93</v>
      </c>
      <c r="I381" s="4">
        <v>8753.68</v>
      </c>
      <c r="J381" s="4">
        <v>7975.14</v>
      </c>
      <c r="K381" s="4">
        <v>6728.92</v>
      </c>
      <c r="L381" s="4">
        <v>4156.75</v>
      </c>
      <c r="M381" s="4">
        <v>0</v>
      </c>
      <c r="N381" s="4">
        <f>SUM(Table1[[#This Row],[2025]:[2018]])</f>
        <v>52598.239999999998</v>
      </c>
      <c r="O381" s="2">
        <f>Table1[[#This Row],[ttl]]/SUM(Table1[ttl])</f>
        <v>1.0606061557479024E-4</v>
      </c>
      <c r="P381" s="3">
        <f>SUM($O$2:Table1[[#This Row],[pctAllTimeExp]])</f>
        <v>0.97346671352999026</v>
      </c>
      <c r="Q381" t="b">
        <f>Table1[[#This Row],[cumPctAllTimeExp]]&lt;0.95</f>
        <v>0</v>
      </c>
    </row>
    <row r="382" spans="1:17" x14ac:dyDescent="0.25">
      <c r="A382">
        <v>93</v>
      </c>
      <c r="C382" t="s">
        <v>2508</v>
      </c>
      <c r="E382" t="s">
        <v>95</v>
      </c>
      <c r="F382" s="4">
        <v>52391.199999999997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f>SUM(Table1[[#This Row],[2025]:[2018]])</f>
        <v>52391.199999999997</v>
      </c>
      <c r="O382" s="2">
        <f>Table1[[#This Row],[ttl]]/SUM(Table1[ttl])</f>
        <v>1.0564313411821289E-4</v>
      </c>
      <c r="P382" s="3">
        <f>SUM($O$2:Table1[[#This Row],[pctAllTimeExp]])</f>
        <v>0.97357235666410846</v>
      </c>
      <c r="Q382" t="b">
        <f>Table1[[#This Row],[cumPctAllTimeExp]]&lt;0.95</f>
        <v>0</v>
      </c>
    </row>
    <row r="383" spans="1:17" x14ac:dyDescent="0.25">
      <c r="A383">
        <v>240</v>
      </c>
      <c r="C383" t="s">
        <v>2508</v>
      </c>
      <c r="E383" t="s">
        <v>242</v>
      </c>
      <c r="F383" s="4">
        <v>8464.4699999999993</v>
      </c>
      <c r="G383" s="4">
        <v>8365.9699999999993</v>
      </c>
      <c r="H383" s="4">
        <v>7509.07</v>
      </c>
      <c r="I383" s="4">
        <v>5580.75</v>
      </c>
      <c r="J383" s="4">
        <v>6811.34</v>
      </c>
      <c r="K383" s="4">
        <v>5237.33</v>
      </c>
      <c r="L383" s="4">
        <v>5237.33</v>
      </c>
      <c r="M383" s="4">
        <v>4991</v>
      </c>
      <c r="N383" s="4">
        <f>SUM(Table1[[#This Row],[2025]:[2018]])</f>
        <v>52197.26</v>
      </c>
      <c r="O383" s="2">
        <f>Table1[[#This Row],[ttl]]/SUM(Table1[ttl])</f>
        <v>1.0525206788130888E-4</v>
      </c>
      <c r="P383" s="3">
        <f>SUM($O$2:Table1[[#This Row],[pctAllTimeExp]])</f>
        <v>0.97367760873198972</v>
      </c>
      <c r="Q383" t="b">
        <f>Table1[[#This Row],[cumPctAllTimeExp]]&lt;0.95</f>
        <v>0</v>
      </c>
    </row>
    <row r="384" spans="1:17" x14ac:dyDescent="0.25">
      <c r="A384">
        <v>542</v>
      </c>
      <c r="C384" t="s">
        <v>2508</v>
      </c>
      <c r="E384" t="s">
        <v>544</v>
      </c>
      <c r="F384" s="4">
        <v>576.79</v>
      </c>
      <c r="G384" s="4">
        <v>690.91</v>
      </c>
      <c r="H384" s="4">
        <v>2002.36</v>
      </c>
      <c r="I384" s="4">
        <v>14668.99</v>
      </c>
      <c r="J384" s="4">
        <v>7004</v>
      </c>
      <c r="K384" s="4">
        <v>7239.02</v>
      </c>
      <c r="L384" s="4">
        <v>10512.43</v>
      </c>
      <c r="M384" s="4">
        <v>9495.57</v>
      </c>
      <c r="N384" s="4">
        <f>SUM(Table1[[#This Row],[2025]:[2018]])</f>
        <v>52190.07</v>
      </c>
      <c r="O384" s="2">
        <f>Table1[[#This Row],[ttl]]/SUM(Table1[ttl])</f>
        <v>1.0523756975692329E-4</v>
      </c>
      <c r="P384" s="3">
        <f>SUM($O$2:Table1[[#This Row],[pctAllTimeExp]])</f>
        <v>0.97378284630174661</v>
      </c>
      <c r="Q384" t="b">
        <f>Table1[[#This Row],[cumPctAllTimeExp]]&lt;0.95</f>
        <v>0</v>
      </c>
    </row>
    <row r="385" spans="1:17" x14ac:dyDescent="0.25">
      <c r="A385">
        <v>436</v>
      </c>
      <c r="C385" t="s">
        <v>2508</v>
      </c>
      <c r="E385" t="s">
        <v>438</v>
      </c>
      <c r="F385" s="4">
        <v>1375</v>
      </c>
      <c r="G385" s="4">
        <v>0</v>
      </c>
      <c r="H385" s="4">
        <v>4435</v>
      </c>
      <c r="I385" s="4">
        <v>2035</v>
      </c>
      <c r="J385" s="4">
        <v>1190</v>
      </c>
      <c r="K385" s="4">
        <v>9640</v>
      </c>
      <c r="L385" s="4">
        <v>14445</v>
      </c>
      <c r="M385" s="4">
        <v>18788</v>
      </c>
      <c r="N385" s="4">
        <f>SUM(Table1[[#This Row],[2025]:[2018]])</f>
        <v>51908</v>
      </c>
      <c r="O385" s="2">
        <f>Table1[[#This Row],[ttl]]/SUM(Table1[ttl])</f>
        <v>1.0466879563377429E-4</v>
      </c>
      <c r="P385" s="3">
        <f>SUM($O$2:Table1[[#This Row],[pctAllTimeExp]])</f>
        <v>0.97388751509738036</v>
      </c>
      <c r="Q385" t="b">
        <f>Table1[[#This Row],[cumPctAllTimeExp]]&lt;0.95</f>
        <v>0</v>
      </c>
    </row>
    <row r="386" spans="1:17" x14ac:dyDescent="0.25">
      <c r="A386">
        <v>1683</v>
      </c>
      <c r="C386" t="s">
        <v>2508</v>
      </c>
      <c r="E386" t="s">
        <v>1685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14800</v>
      </c>
      <c r="L386" s="4">
        <v>29600</v>
      </c>
      <c r="M386" s="4">
        <v>7400</v>
      </c>
      <c r="N386" s="4">
        <f>SUM(Table1[[#This Row],[2025]:[2018]])</f>
        <v>51800</v>
      </c>
      <c r="O386" s="2">
        <f>Table1[[#This Row],[ttl]]/SUM(Table1[ttl])</f>
        <v>1.0445102130364314E-4</v>
      </c>
      <c r="P386" s="3">
        <f>SUM($O$2:Table1[[#This Row],[pctAllTimeExp]])</f>
        <v>0.97399196611868399</v>
      </c>
      <c r="Q386" t="b">
        <f>Table1[[#This Row],[cumPctAllTimeExp]]&lt;0.95</f>
        <v>0</v>
      </c>
    </row>
    <row r="387" spans="1:17" x14ac:dyDescent="0.25">
      <c r="A387">
        <v>1227</v>
      </c>
      <c r="C387" t="s">
        <v>2508</v>
      </c>
      <c r="E387" t="s">
        <v>1229</v>
      </c>
      <c r="F387" s="4">
        <v>0</v>
      </c>
      <c r="G387" s="4">
        <v>0</v>
      </c>
      <c r="H387" s="4">
        <v>0</v>
      </c>
      <c r="I387" s="4">
        <v>6420.8</v>
      </c>
      <c r="J387" s="4">
        <v>0</v>
      </c>
      <c r="K387" s="4">
        <v>34083.43</v>
      </c>
      <c r="L387" s="4">
        <v>10994.5</v>
      </c>
      <c r="M387" s="4">
        <v>0</v>
      </c>
      <c r="N387" s="4">
        <f>SUM(Table1[[#This Row],[2025]:[2018]])</f>
        <v>51498.73</v>
      </c>
      <c r="O387" s="2">
        <f>Table1[[#This Row],[ttl]]/SUM(Table1[ttl])</f>
        <v>1.0384353174402638E-4</v>
      </c>
      <c r="P387" s="3">
        <f>SUM($O$2:Table1[[#This Row],[pctAllTimeExp]])</f>
        <v>0.97409580965042797</v>
      </c>
      <c r="Q387" t="b">
        <f>Table1[[#This Row],[cumPctAllTimeExp]]&lt;0.95</f>
        <v>0</v>
      </c>
    </row>
    <row r="388" spans="1:17" x14ac:dyDescent="0.25">
      <c r="A388">
        <v>312</v>
      </c>
      <c r="C388" t="s">
        <v>2508</v>
      </c>
      <c r="E388" t="s">
        <v>314</v>
      </c>
      <c r="F388" s="4">
        <v>4480</v>
      </c>
      <c r="G388" s="4">
        <v>0</v>
      </c>
      <c r="H388" s="4">
        <v>6555.74</v>
      </c>
      <c r="I388" s="4">
        <v>12961</v>
      </c>
      <c r="J388" s="4">
        <v>5768</v>
      </c>
      <c r="K388" s="4">
        <v>4018</v>
      </c>
      <c r="L388" s="4">
        <v>8786.09</v>
      </c>
      <c r="M388" s="4">
        <v>8801</v>
      </c>
      <c r="N388" s="4">
        <f>SUM(Table1[[#This Row],[2025]:[2018]])</f>
        <v>51369.83</v>
      </c>
      <c r="O388" s="2">
        <f>Table1[[#This Row],[ttl]]/SUM(Table1[ttl])</f>
        <v>1.0358361404815689E-4</v>
      </c>
      <c r="P388" s="3">
        <f>SUM($O$2:Table1[[#This Row],[pctAllTimeExp]])</f>
        <v>0.97419939326447613</v>
      </c>
      <c r="Q388" t="b">
        <f>Table1[[#This Row],[cumPctAllTimeExp]]&lt;0.95</f>
        <v>0</v>
      </c>
    </row>
    <row r="389" spans="1:17" x14ac:dyDescent="0.25">
      <c r="A389">
        <v>124</v>
      </c>
      <c r="C389" t="s">
        <v>2508</v>
      </c>
      <c r="E389" t="s">
        <v>126</v>
      </c>
      <c r="F389" s="4">
        <v>34250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8307</v>
      </c>
      <c r="M389" s="4">
        <v>8143</v>
      </c>
      <c r="N389" s="4">
        <f>SUM(Table1[[#This Row],[2025]:[2018]])</f>
        <v>50700</v>
      </c>
      <c r="O389" s="2">
        <f>Table1[[#This Row],[ttl]]/SUM(Table1[ttl])</f>
        <v>1.0223294942267774E-4</v>
      </c>
      <c r="P389" s="3">
        <f>SUM($O$2:Table1[[#This Row],[pctAllTimeExp]])</f>
        <v>0.97430162621389882</v>
      </c>
      <c r="Q389" t="b">
        <f>Table1[[#This Row],[cumPctAllTimeExp]]&lt;0.95</f>
        <v>0</v>
      </c>
    </row>
    <row r="390" spans="1:17" x14ac:dyDescent="0.25">
      <c r="A390">
        <v>1501</v>
      </c>
      <c r="C390" t="s">
        <v>2508</v>
      </c>
      <c r="E390" t="s">
        <v>1503</v>
      </c>
      <c r="F390" s="4">
        <v>0</v>
      </c>
      <c r="G390" s="4">
        <v>0</v>
      </c>
      <c r="H390" s="4">
        <v>0</v>
      </c>
      <c r="I390" s="4">
        <v>0</v>
      </c>
      <c r="J390" s="4">
        <v>697.2</v>
      </c>
      <c r="K390" s="4">
        <v>25880.91</v>
      </c>
      <c r="L390" s="4">
        <v>23647.05</v>
      </c>
      <c r="M390" s="4">
        <v>0</v>
      </c>
      <c r="N390" s="4">
        <f>SUM(Table1[[#This Row],[2025]:[2018]])</f>
        <v>50225.16</v>
      </c>
      <c r="O390" s="2">
        <f>Table1[[#This Row],[ttl]]/SUM(Table1[ttl])</f>
        <v>1.0127546828453448E-4</v>
      </c>
      <c r="P390" s="3">
        <f>SUM($O$2:Table1[[#This Row],[pctAllTimeExp]])</f>
        <v>0.97440290168218335</v>
      </c>
      <c r="Q390" t="b">
        <f>Table1[[#This Row],[cumPctAllTimeExp]]&lt;0.95</f>
        <v>0</v>
      </c>
    </row>
    <row r="391" spans="1:17" x14ac:dyDescent="0.25">
      <c r="A391">
        <v>128</v>
      </c>
      <c r="C391" t="s">
        <v>2508</v>
      </c>
      <c r="E391" t="s">
        <v>130</v>
      </c>
      <c r="F391" s="4">
        <v>30696.98</v>
      </c>
      <c r="G391" s="4">
        <v>12976.51</v>
      </c>
      <c r="H391" s="4">
        <v>224.47</v>
      </c>
      <c r="I391" s="4">
        <v>0</v>
      </c>
      <c r="J391" s="4">
        <v>0</v>
      </c>
      <c r="K391" s="4">
        <v>4341.25</v>
      </c>
      <c r="L391" s="4">
        <v>1703.23</v>
      </c>
      <c r="M391" s="4">
        <v>0</v>
      </c>
      <c r="N391" s="4">
        <f>SUM(Table1[[#This Row],[2025]:[2018]])</f>
        <v>49942.44</v>
      </c>
      <c r="O391" s="2">
        <f>Table1[[#This Row],[ttl]]/SUM(Table1[ttl])</f>
        <v>1.0070538348254671E-4</v>
      </c>
      <c r="P391" s="3">
        <f>SUM($O$2:Table1[[#This Row],[pctAllTimeExp]])</f>
        <v>0.97450360706566586</v>
      </c>
      <c r="Q391" t="b">
        <f>Table1[[#This Row],[cumPctAllTimeExp]]&lt;0.95</f>
        <v>0</v>
      </c>
    </row>
    <row r="392" spans="1:17" x14ac:dyDescent="0.25">
      <c r="A392">
        <v>266</v>
      </c>
      <c r="C392" t="s">
        <v>2508</v>
      </c>
      <c r="E392" t="s">
        <v>268</v>
      </c>
      <c r="F392" s="4">
        <v>6997.86</v>
      </c>
      <c r="G392" s="4">
        <v>2551.37</v>
      </c>
      <c r="H392" s="4">
        <v>3443.09</v>
      </c>
      <c r="I392" s="4">
        <v>6007.57</v>
      </c>
      <c r="J392" s="4">
        <v>5602.45</v>
      </c>
      <c r="K392" s="4">
        <v>6115.94</v>
      </c>
      <c r="L392" s="4">
        <v>10357.39</v>
      </c>
      <c r="M392" s="4">
        <v>7968.7</v>
      </c>
      <c r="N392" s="4">
        <f>SUM(Table1[[#This Row],[2025]:[2018]])</f>
        <v>49044.369999999995</v>
      </c>
      <c r="O392" s="2">
        <f>Table1[[#This Row],[ttl]]/SUM(Table1[ttl])</f>
        <v>9.8894489106057066E-5</v>
      </c>
      <c r="P392" s="3">
        <f>SUM($O$2:Table1[[#This Row],[pctAllTimeExp]])</f>
        <v>0.97460250155477191</v>
      </c>
      <c r="Q392" t="b">
        <f>Table1[[#This Row],[cumPctAllTimeExp]]&lt;0.95</f>
        <v>0</v>
      </c>
    </row>
    <row r="393" spans="1:17" x14ac:dyDescent="0.25">
      <c r="A393">
        <v>2247</v>
      </c>
      <c r="C393" t="s">
        <v>2508</v>
      </c>
      <c r="E393" t="s">
        <v>2249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49018.1</v>
      </c>
      <c r="N393" s="4">
        <f>SUM(Table1[[#This Row],[2025]:[2018]])</f>
        <v>49018.1</v>
      </c>
      <c r="O393" s="2">
        <f>Table1[[#This Row],[ttl]]/SUM(Table1[ttl])</f>
        <v>9.8841517516681647E-5</v>
      </c>
      <c r="P393" s="3">
        <f>SUM($O$2:Table1[[#This Row],[pctAllTimeExp]])</f>
        <v>0.97470134307228862</v>
      </c>
      <c r="Q393" t="b">
        <f>Table1[[#This Row],[cumPctAllTimeExp]]&lt;0.95</f>
        <v>0</v>
      </c>
    </row>
    <row r="394" spans="1:17" x14ac:dyDescent="0.25">
      <c r="A394">
        <v>136</v>
      </c>
      <c r="C394" t="s">
        <v>2508</v>
      </c>
      <c r="E394" t="s">
        <v>138</v>
      </c>
      <c r="F394" s="4">
        <v>27080.41</v>
      </c>
      <c r="G394" s="4">
        <v>14734.64</v>
      </c>
      <c r="H394" s="4">
        <v>6932.76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f>SUM(Table1[[#This Row],[2025]:[2018]])</f>
        <v>48747.810000000005</v>
      </c>
      <c r="O394" s="2">
        <f>Table1[[#This Row],[ttl]]/SUM(Table1[ttl])</f>
        <v>9.8296496926948817E-5</v>
      </c>
      <c r="P394" s="3">
        <f>SUM($O$2:Table1[[#This Row],[pctAllTimeExp]])</f>
        <v>0.97479963956921556</v>
      </c>
      <c r="Q394" t="b">
        <f>Table1[[#This Row],[cumPctAllTimeExp]]&lt;0.95</f>
        <v>0</v>
      </c>
    </row>
    <row r="395" spans="1:17" x14ac:dyDescent="0.25">
      <c r="A395">
        <v>1675</v>
      </c>
      <c r="C395" t="s">
        <v>2508</v>
      </c>
      <c r="E395" t="s">
        <v>1677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20500</v>
      </c>
      <c r="L395" s="4">
        <v>28000</v>
      </c>
      <c r="M395" s="4">
        <v>0</v>
      </c>
      <c r="N395" s="4">
        <f>SUM(Table1[[#This Row],[2025]:[2018]])</f>
        <v>48500</v>
      </c>
      <c r="O395" s="2">
        <f>Table1[[#This Row],[ttl]]/SUM(Table1[ttl])</f>
        <v>9.7796805660746948E-5</v>
      </c>
      <c r="P395" s="3">
        <f>SUM($O$2:Table1[[#This Row],[pctAllTimeExp]])</f>
        <v>0.97489743637487636</v>
      </c>
      <c r="Q395" t="b">
        <f>Table1[[#This Row],[cumPctAllTimeExp]]&lt;0.95</f>
        <v>0</v>
      </c>
    </row>
    <row r="396" spans="1:17" x14ac:dyDescent="0.25">
      <c r="A396">
        <v>1027</v>
      </c>
      <c r="C396" t="s">
        <v>2508</v>
      </c>
      <c r="E396" t="s">
        <v>1029</v>
      </c>
      <c r="F396" s="4">
        <v>0</v>
      </c>
      <c r="G396" s="4">
        <v>0</v>
      </c>
      <c r="H396" s="4">
        <v>6500</v>
      </c>
      <c r="I396" s="4">
        <v>27776</v>
      </c>
      <c r="J396" s="4">
        <v>2200</v>
      </c>
      <c r="K396" s="4">
        <v>886</v>
      </c>
      <c r="L396" s="4">
        <v>9600</v>
      </c>
      <c r="M396" s="4">
        <v>1250</v>
      </c>
      <c r="N396" s="4">
        <f>SUM(Table1[[#This Row],[2025]:[2018]])</f>
        <v>48212</v>
      </c>
      <c r="O396" s="2">
        <f>Table1[[#This Row],[ttl]]/SUM(Table1[ttl])</f>
        <v>9.721607411373056E-5</v>
      </c>
      <c r="P396" s="3">
        <f>SUM($O$2:Table1[[#This Row],[pctAllTimeExp]])</f>
        <v>0.97499465244899008</v>
      </c>
      <c r="Q396" t="b">
        <f>Table1[[#This Row],[cumPctAllTimeExp]]&lt;0.95</f>
        <v>0</v>
      </c>
    </row>
    <row r="397" spans="1:17" x14ac:dyDescent="0.25">
      <c r="A397">
        <v>780</v>
      </c>
      <c r="C397" t="s">
        <v>2508</v>
      </c>
      <c r="E397" t="s">
        <v>782</v>
      </c>
      <c r="F397" s="4">
        <v>0</v>
      </c>
      <c r="G397" s="4">
        <v>3798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44168</v>
      </c>
      <c r="N397" s="4">
        <f>SUM(Table1[[#This Row],[2025]:[2018]])</f>
        <v>47966</v>
      </c>
      <c r="O397" s="2">
        <f>Table1[[#This Row],[ttl]]/SUM(Table1[ttl])</f>
        <v>9.6720032583987384E-5</v>
      </c>
      <c r="P397" s="3">
        <f>SUM($O$2:Table1[[#This Row],[pctAllTimeExp]])</f>
        <v>0.97509137248157407</v>
      </c>
      <c r="Q397" t="b">
        <f>Table1[[#This Row],[cumPctAllTimeExp]]&lt;0.95</f>
        <v>0</v>
      </c>
    </row>
    <row r="398" spans="1:17" x14ac:dyDescent="0.25">
      <c r="A398">
        <v>345</v>
      </c>
      <c r="C398" t="s">
        <v>2508</v>
      </c>
      <c r="E398" t="s">
        <v>347</v>
      </c>
      <c r="F398" s="4">
        <v>3308</v>
      </c>
      <c r="G398" s="4">
        <v>5905.5</v>
      </c>
      <c r="H398" s="4">
        <v>3216.75</v>
      </c>
      <c r="I398" s="4">
        <v>15613.5</v>
      </c>
      <c r="J398" s="4">
        <v>3535.5</v>
      </c>
      <c r="K398" s="4">
        <v>6792.25</v>
      </c>
      <c r="L398" s="4">
        <v>5505.75</v>
      </c>
      <c r="M398" s="4">
        <v>4050</v>
      </c>
      <c r="N398" s="4">
        <f>SUM(Table1[[#This Row],[2025]:[2018]])</f>
        <v>47927.25</v>
      </c>
      <c r="O398" s="2">
        <f>Table1[[#This Row],[ttl]]/SUM(Table1[ttl])</f>
        <v>9.6641895960907921E-5</v>
      </c>
      <c r="P398" s="3">
        <f>SUM($O$2:Table1[[#This Row],[pctAllTimeExp]])</f>
        <v>0.975188014377535</v>
      </c>
      <c r="Q398" t="b">
        <f>Table1[[#This Row],[cumPctAllTimeExp]]&lt;0.95</f>
        <v>0</v>
      </c>
    </row>
    <row r="399" spans="1:17" x14ac:dyDescent="0.25">
      <c r="A399">
        <v>1202</v>
      </c>
      <c r="C399" t="s">
        <v>2508</v>
      </c>
      <c r="E399" t="s">
        <v>1204</v>
      </c>
      <c r="F399" s="4">
        <v>0</v>
      </c>
      <c r="G399" s="4">
        <v>0</v>
      </c>
      <c r="H399" s="4">
        <v>0</v>
      </c>
      <c r="I399" s="4">
        <v>47876.88</v>
      </c>
      <c r="J399" s="4">
        <v>0</v>
      </c>
      <c r="K399" s="4">
        <v>0</v>
      </c>
      <c r="L399" s="4">
        <v>0</v>
      </c>
      <c r="M399" s="4">
        <v>0</v>
      </c>
      <c r="N399" s="4">
        <f>SUM(Table1[[#This Row],[2025]:[2018]])</f>
        <v>47876.88</v>
      </c>
      <c r="O399" s="2">
        <f>Table1[[#This Row],[ttl]]/SUM(Table1[ttl])</f>
        <v>9.6540328433049536E-5</v>
      </c>
      <c r="P399" s="3">
        <f>SUM($O$2:Table1[[#This Row],[pctAllTimeExp]])</f>
        <v>0.97528455470596809</v>
      </c>
      <c r="Q399" t="b">
        <f>Table1[[#This Row],[cumPctAllTimeExp]]&lt;0.95</f>
        <v>0</v>
      </c>
    </row>
    <row r="400" spans="1:17" x14ac:dyDescent="0.25">
      <c r="A400">
        <v>409</v>
      </c>
      <c r="C400" t="s">
        <v>2508</v>
      </c>
      <c r="E400" t="s">
        <v>411</v>
      </c>
      <c r="F400" s="4">
        <v>1752</v>
      </c>
      <c r="G400" s="4">
        <v>5668</v>
      </c>
      <c r="H400" s="4">
        <v>5464</v>
      </c>
      <c r="I400" s="4">
        <v>7495.25</v>
      </c>
      <c r="J400" s="4">
        <v>10328.75</v>
      </c>
      <c r="K400" s="4">
        <v>6705</v>
      </c>
      <c r="L400" s="4">
        <v>6206</v>
      </c>
      <c r="M400" s="4">
        <v>4166</v>
      </c>
      <c r="N400" s="4">
        <f>SUM(Table1[[#This Row],[2025]:[2018]])</f>
        <v>47785</v>
      </c>
      <c r="O400" s="2">
        <f>Table1[[#This Row],[ttl]]/SUM(Table1[ttl])</f>
        <v>9.6355058938119449E-5</v>
      </c>
      <c r="P400" s="3">
        <f>SUM($O$2:Table1[[#This Row],[pctAllTimeExp]])</f>
        <v>0.97538090976490621</v>
      </c>
      <c r="Q400" t="b">
        <f>Table1[[#This Row],[cumPctAllTimeExp]]&lt;0.95</f>
        <v>0</v>
      </c>
    </row>
    <row r="401" spans="1:17" x14ac:dyDescent="0.25">
      <c r="A401">
        <v>304</v>
      </c>
      <c r="C401" t="s">
        <v>2508</v>
      </c>
      <c r="E401" t="s">
        <v>306</v>
      </c>
      <c r="F401" s="4">
        <v>4950</v>
      </c>
      <c r="G401" s="4">
        <v>0</v>
      </c>
      <c r="H401" s="4">
        <v>0</v>
      </c>
      <c r="I401" s="4">
        <v>0</v>
      </c>
      <c r="J401" s="4">
        <v>9225</v>
      </c>
      <c r="K401" s="4">
        <v>0</v>
      </c>
      <c r="L401" s="4">
        <v>15173.5</v>
      </c>
      <c r="M401" s="4">
        <v>18174.82</v>
      </c>
      <c r="N401" s="4">
        <f>SUM(Table1[[#This Row],[2025]:[2018]])</f>
        <v>47523.32</v>
      </c>
      <c r="O401" s="2">
        <f>Table1[[#This Row],[ttl]]/SUM(Table1[ttl])</f>
        <v>9.582739980192761E-5</v>
      </c>
      <c r="P401" s="3">
        <f>SUM($O$2:Table1[[#This Row],[pctAllTimeExp]])</f>
        <v>0.97547673716470817</v>
      </c>
      <c r="Q401" t="b">
        <f>Table1[[#This Row],[cumPctAllTimeExp]]&lt;0.95</f>
        <v>0</v>
      </c>
    </row>
    <row r="402" spans="1:17" x14ac:dyDescent="0.25">
      <c r="A402">
        <v>1246</v>
      </c>
      <c r="C402" t="s">
        <v>2508</v>
      </c>
      <c r="E402" t="s">
        <v>1248</v>
      </c>
      <c r="F402" s="4">
        <v>0</v>
      </c>
      <c r="G402" s="4">
        <v>0</v>
      </c>
      <c r="H402" s="4">
        <v>0</v>
      </c>
      <c r="I402" s="4">
        <v>3924.69</v>
      </c>
      <c r="J402" s="4">
        <v>28545.87</v>
      </c>
      <c r="K402" s="4">
        <v>5930.71</v>
      </c>
      <c r="L402" s="4">
        <v>8703.48</v>
      </c>
      <c r="M402" s="4">
        <v>0</v>
      </c>
      <c r="N402" s="4">
        <f>SUM(Table1[[#This Row],[2025]:[2018]])</f>
        <v>47104.75</v>
      </c>
      <c r="O402" s="2">
        <f>Table1[[#This Row],[ttl]]/SUM(Table1[ttl])</f>
        <v>9.4983383122640623E-5</v>
      </c>
      <c r="P402" s="3">
        <f>SUM($O$2:Table1[[#This Row],[pctAllTimeExp]])</f>
        <v>0.97557172054783081</v>
      </c>
      <c r="Q402" t="b">
        <f>Table1[[#This Row],[cumPctAllTimeExp]]&lt;0.95</f>
        <v>0</v>
      </c>
    </row>
    <row r="403" spans="1:17" x14ac:dyDescent="0.25">
      <c r="A403">
        <v>1256</v>
      </c>
      <c r="C403" t="s">
        <v>2508</v>
      </c>
      <c r="E403" t="s">
        <v>1258</v>
      </c>
      <c r="F403" s="4">
        <v>0</v>
      </c>
      <c r="G403" s="4">
        <v>0</v>
      </c>
      <c r="H403" s="4">
        <v>0</v>
      </c>
      <c r="I403" s="4">
        <v>2015</v>
      </c>
      <c r="J403" s="4">
        <v>15513.75</v>
      </c>
      <c r="K403" s="4">
        <v>18871.25</v>
      </c>
      <c r="L403" s="4">
        <v>7886.25</v>
      </c>
      <c r="M403" s="4">
        <v>2017.5</v>
      </c>
      <c r="N403" s="4">
        <f>SUM(Table1[[#This Row],[2025]:[2018]])</f>
        <v>46303.75</v>
      </c>
      <c r="O403" s="2">
        <f>Table1[[#This Row],[ttl]]/SUM(Table1[ttl])</f>
        <v>9.3368223507501276E-5</v>
      </c>
      <c r="P403" s="3">
        <f>SUM($O$2:Table1[[#This Row],[pctAllTimeExp]])</f>
        <v>0.97566508877133828</v>
      </c>
      <c r="Q403" t="b">
        <f>Table1[[#This Row],[cumPctAllTimeExp]]&lt;0.95</f>
        <v>0</v>
      </c>
    </row>
    <row r="404" spans="1:17" x14ac:dyDescent="0.25">
      <c r="A404">
        <v>265</v>
      </c>
      <c r="C404" t="s">
        <v>2508</v>
      </c>
      <c r="E404" t="s">
        <v>267</v>
      </c>
      <c r="F404" s="4">
        <v>7000</v>
      </c>
      <c r="G404" s="4">
        <v>0</v>
      </c>
      <c r="H404" s="4">
        <v>5000</v>
      </c>
      <c r="I404" s="4">
        <v>1850</v>
      </c>
      <c r="J404" s="4">
        <v>3450</v>
      </c>
      <c r="K404" s="4">
        <v>13595</v>
      </c>
      <c r="L404" s="4">
        <v>10050</v>
      </c>
      <c r="M404" s="4">
        <v>5300</v>
      </c>
      <c r="N404" s="4">
        <f>SUM(Table1[[#This Row],[2025]:[2018]])</f>
        <v>46245</v>
      </c>
      <c r="O404" s="2">
        <f>Table1[[#This Row],[ttl]]/SUM(Table1[ttl])</f>
        <v>9.3249758304767897E-5</v>
      </c>
      <c r="P404" s="3">
        <f>SUM($O$2:Table1[[#This Row],[pctAllTimeExp]])</f>
        <v>0.975758338529643</v>
      </c>
      <c r="Q404" t="b">
        <f>Table1[[#This Row],[cumPctAllTimeExp]]&lt;0.95</f>
        <v>0</v>
      </c>
    </row>
    <row r="405" spans="1:17" x14ac:dyDescent="0.25">
      <c r="A405">
        <v>996</v>
      </c>
      <c r="C405" t="s">
        <v>2508</v>
      </c>
      <c r="E405" t="s">
        <v>998</v>
      </c>
      <c r="F405" s="4">
        <v>0</v>
      </c>
      <c r="G405" s="4">
        <v>0</v>
      </c>
      <c r="H405" s="4">
        <v>15609.7</v>
      </c>
      <c r="I405" s="4">
        <v>0</v>
      </c>
      <c r="J405" s="4">
        <v>30599.94</v>
      </c>
      <c r="K405" s="4">
        <v>0</v>
      </c>
      <c r="L405" s="4">
        <v>0</v>
      </c>
      <c r="M405" s="4">
        <v>0</v>
      </c>
      <c r="N405" s="4">
        <f>SUM(Table1[[#This Row],[2025]:[2018]])</f>
        <v>46209.64</v>
      </c>
      <c r="O405" s="2">
        <f>Table1[[#This Row],[ttl]]/SUM(Table1[ttl])</f>
        <v>9.3178457375939769E-5</v>
      </c>
      <c r="P405" s="3">
        <f>SUM($O$2:Table1[[#This Row],[pctAllTimeExp]])</f>
        <v>0.97585151698701889</v>
      </c>
      <c r="Q405" t="b">
        <f>Table1[[#This Row],[cumPctAllTimeExp]]&lt;0.95</f>
        <v>0</v>
      </c>
    </row>
    <row r="406" spans="1:17" x14ac:dyDescent="0.25">
      <c r="A406">
        <v>1487</v>
      </c>
      <c r="C406" t="s">
        <v>2508</v>
      </c>
      <c r="E406" t="s">
        <v>1489</v>
      </c>
      <c r="F406" s="4">
        <v>0</v>
      </c>
      <c r="G406" s="4">
        <v>0</v>
      </c>
      <c r="H406" s="4">
        <v>0</v>
      </c>
      <c r="I406" s="4">
        <v>0</v>
      </c>
      <c r="J406" s="4">
        <v>995</v>
      </c>
      <c r="K406" s="4">
        <v>0</v>
      </c>
      <c r="L406" s="4">
        <v>0</v>
      </c>
      <c r="M406" s="4">
        <v>45162</v>
      </c>
      <c r="N406" s="4">
        <f>SUM(Table1[[#This Row],[2025]:[2018]])</f>
        <v>46157</v>
      </c>
      <c r="O406" s="2">
        <f>Table1[[#This Row],[ttl]]/SUM(Table1[ttl])</f>
        <v>9.3072312554290669E-5</v>
      </c>
      <c r="P406" s="3">
        <f>SUM($O$2:Table1[[#This Row],[pctAllTimeExp]])</f>
        <v>0.97594458929957317</v>
      </c>
      <c r="Q406" t="b">
        <f>Table1[[#This Row],[cumPctAllTimeExp]]&lt;0.95</f>
        <v>0</v>
      </c>
    </row>
    <row r="407" spans="1:17" x14ac:dyDescent="0.25">
      <c r="A407">
        <v>294</v>
      </c>
      <c r="C407" t="s">
        <v>2508</v>
      </c>
      <c r="E407" t="s">
        <v>296</v>
      </c>
      <c r="F407" s="4">
        <v>5338.98</v>
      </c>
      <c r="G407" s="4">
        <v>5860.4</v>
      </c>
      <c r="H407" s="4">
        <v>7804.6</v>
      </c>
      <c r="I407" s="4">
        <v>5481.6</v>
      </c>
      <c r="J407" s="4">
        <v>5880.05</v>
      </c>
      <c r="K407" s="4">
        <v>3664</v>
      </c>
      <c r="L407" s="4">
        <v>5106</v>
      </c>
      <c r="M407" s="4">
        <v>6692.35</v>
      </c>
      <c r="N407" s="4">
        <f>SUM(Table1[[#This Row],[2025]:[2018]])</f>
        <v>45827.98</v>
      </c>
      <c r="O407" s="2">
        <f>Table1[[#This Row],[ttl]]/SUM(Table1[ttl])</f>
        <v>9.2408867090404089E-5</v>
      </c>
      <c r="P407" s="3">
        <f>SUM($O$2:Table1[[#This Row],[pctAllTimeExp]])</f>
        <v>0.97603699816666356</v>
      </c>
      <c r="Q407" t="b">
        <f>Table1[[#This Row],[cumPctAllTimeExp]]&lt;0.95</f>
        <v>0</v>
      </c>
    </row>
    <row r="408" spans="1:17" x14ac:dyDescent="0.25">
      <c r="A408">
        <v>707</v>
      </c>
      <c r="C408" t="s">
        <v>2508</v>
      </c>
      <c r="E408" t="s">
        <v>709</v>
      </c>
      <c r="F408" s="4">
        <v>0</v>
      </c>
      <c r="G408" s="4">
        <v>45821.51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f>SUM(Table1[[#This Row],[2025]:[2018]])</f>
        <v>45821.51</v>
      </c>
      <c r="O408" s="2">
        <f>Table1[[#This Row],[ttl]]/SUM(Table1[ttl])</f>
        <v>9.239582079488605E-5</v>
      </c>
      <c r="P408" s="3">
        <f>SUM($O$2:Table1[[#This Row],[pctAllTimeExp]])</f>
        <v>0.97612939398745846</v>
      </c>
      <c r="Q408" t="b">
        <f>Table1[[#This Row],[cumPctAllTimeExp]]&lt;0.95</f>
        <v>0</v>
      </c>
    </row>
    <row r="409" spans="1:17" x14ac:dyDescent="0.25">
      <c r="A409">
        <v>233</v>
      </c>
      <c r="C409" t="s">
        <v>2508</v>
      </c>
      <c r="E409" t="s">
        <v>235</v>
      </c>
      <c r="F409" s="4">
        <v>8961.14</v>
      </c>
      <c r="G409" s="4">
        <v>15836.06</v>
      </c>
      <c r="H409" s="4">
        <v>5649.24</v>
      </c>
      <c r="I409" s="4">
        <v>15122.84</v>
      </c>
      <c r="J409" s="4">
        <v>0</v>
      </c>
      <c r="K409" s="4">
        <v>0</v>
      </c>
      <c r="L409" s="4">
        <v>0</v>
      </c>
      <c r="M409" s="4">
        <v>0</v>
      </c>
      <c r="N409" s="4">
        <f>SUM(Table1[[#This Row],[2025]:[2018]])</f>
        <v>45569.279999999999</v>
      </c>
      <c r="O409" s="2">
        <f>Table1[[#This Row],[ttl]]/SUM(Table1[ttl])</f>
        <v>9.188721691258068E-5</v>
      </c>
      <c r="P409" s="3">
        <f>SUM($O$2:Table1[[#This Row],[pctAllTimeExp]])</f>
        <v>0.97622128120437102</v>
      </c>
      <c r="Q409" t="b">
        <f>Table1[[#This Row],[cumPctAllTimeExp]]&lt;0.95</f>
        <v>0</v>
      </c>
    </row>
    <row r="410" spans="1:17" x14ac:dyDescent="0.25">
      <c r="A410">
        <v>182</v>
      </c>
      <c r="C410" t="s">
        <v>2508</v>
      </c>
      <c r="E410" t="s">
        <v>184</v>
      </c>
      <c r="F410" s="4">
        <v>17425</v>
      </c>
      <c r="G410" s="4">
        <v>6654</v>
      </c>
      <c r="H410" s="4">
        <v>11799</v>
      </c>
      <c r="I410" s="4">
        <v>9466.5</v>
      </c>
      <c r="J410" s="4">
        <v>0</v>
      </c>
      <c r="K410" s="4">
        <v>0</v>
      </c>
      <c r="L410" s="4">
        <v>0</v>
      </c>
      <c r="M410" s="4">
        <v>0</v>
      </c>
      <c r="N410" s="4">
        <f>SUM(Table1[[#This Row],[2025]:[2018]])</f>
        <v>45344.5</v>
      </c>
      <c r="O410" s="2">
        <f>Table1[[#This Row],[ttl]]/SUM(Table1[ttl])</f>
        <v>9.1433964005850315E-5</v>
      </c>
      <c r="P410" s="3">
        <f>SUM($O$2:Table1[[#This Row],[pctAllTimeExp]])</f>
        <v>0.97631271516837692</v>
      </c>
      <c r="Q410" t="b">
        <f>Table1[[#This Row],[cumPctAllTimeExp]]&lt;0.95</f>
        <v>0</v>
      </c>
    </row>
    <row r="411" spans="1:17" x14ac:dyDescent="0.25">
      <c r="A411">
        <v>730</v>
      </c>
      <c r="C411" t="s">
        <v>2508</v>
      </c>
      <c r="E411" t="s">
        <v>732</v>
      </c>
      <c r="F411" s="4">
        <v>0</v>
      </c>
      <c r="G411" s="4">
        <v>15000</v>
      </c>
      <c r="H411" s="4">
        <v>30000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f>SUM(Table1[[#This Row],[2025]:[2018]])</f>
        <v>45000</v>
      </c>
      <c r="O411" s="2">
        <f>Table1[[#This Row],[ttl]]/SUM(Table1[ttl])</f>
        <v>9.0739304221311608E-5</v>
      </c>
      <c r="P411" s="3">
        <f>SUM($O$2:Table1[[#This Row],[pctAllTimeExp]])</f>
        <v>0.97640345447259824</v>
      </c>
      <c r="Q411" t="b">
        <f>Table1[[#This Row],[cumPctAllTimeExp]]&lt;0.95</f>
        <v>0</v>
      </c>
    </row>
    <row r="412" spans="1:17" x14ac:dyDescent="0.25">
      <c r="A412">
        <v>295</v>
      </c>
      <c r="C412" t="s">
        <v>2508</v>
      </c>
      <c r="E412" t="s">
        <v>297</v>
      </c>
      <c r="F412" s="4">
        <v>5316.31</v>
      </c>
      <c r="G412" s="4">
        <v>15365.1</v>
      </c>
      <c r="H412" s="4">
        <v>8902.2999999999993</v>
      </c>
      <c r="I412" s="4">
        <v>2262.98</v>
      </c>
      <c r="J412" s="4">
        <v>0</v>
      </c>
      <c r="K412" s="4">
        <v>109.92</v>
      </c>
      <c r="L412" s="4">
        <v>2720.28</v>
      </c>
      <c r="M412" s="4">
        <v>10254.92</v>
      </c>
      <c r="N412" s="4">
        <f>SUM(Table1[[#This Row],[2025]:[2018]])</f>
        <v>44931.81</v>
      </c>
      <c r="O412" s="2">
        <f>Table1[[#This Row],[ttl]]/SUM(Table1[ttl])</f>
        <v>9.0601803928981581E-5</v>
      </c>
      <c r="P412" s="3">
        <f>SUM($O$2:Table1[[#This Row],[pctAllTimeExp]])</f>
        <v>0.97649405627652719</v>
      </c>
      <c r="Q412" t="b">
        <f>Table1[[#This Row],[cumPctAllTimeExp]]&lt;0.95</f>
        <v>0</v>
      </c>
    </row>
    <row r="413" spans="1:17" x14ac:dyDescent="0.25">
      <c r="A413">
        <v>231</v>
      </c>
      <c r="C413" t="s">
        <v>2508</v>
      </c>
      <c r="E413" t="s">
        <v>233</v>
      </c>
      <c r="F413" s="4">
        <v>9058.82</v>
      </c>
      <c r="G413" s="4">
        <v>405</v>
      </c>
      <c r="H413" s="4">
        <v>3497.5</v>
      </c>
      <c r="I413" s="4">
        <v>1043.05</v>
      </c>
      <c r="J413" s="4">
        <v>13507.21</v>
      </c>
      <c r="K413" s="4">
        <v>15995</v>
      </c>
      <c r="L413" s="4">
        <v>333.45</v>
      </c>
      <c r="M413" s="4">
        <v>519.44000000000005</v>
      </c>
      <c r="N413" s="4">
        <f>SUM(Table1[[#This Row],[2025]:[2018]])</f>
        <v>44359.47</v>
      </c>
      <c r="O413" s="2">
        <f>Table1[[#This Row],[ttl]]/SUM(Table1[ttl])</f>
        <v>8.9447720965025459E-5</v>
      </c>
      <c r="P413" s="3">
        <f>SUM($O$2:Table1[[#This Row],[pctAllTimeExp]])</f>
        <v>0.97658350399749216</v>
      </c>
      <c r="Q413" t="b">
        <f>Table1[[#This Row],[cumPctAllTimeExp]]&lt;0.95</f>
        <v>0</v>
      </c>
    </row>
    <row r="414" spans="1:17" x14ac:dyDescent="0.25">
      <c r="A414">
        <v>1678</v>
      </c>
      <c r="C414" t="s">
        <v>2508</v>
      </c>
      <c r="E414" t="s">
        <v>1680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16846.8</v>
      </c>
      <c r="L414" s="4">
        <v>15146.4</v>
      </c>
      <c r="M414" s="4">
        <v>12224.4</v>
      </c>
      <c r="N414" s="4">
        <f>SUM(Table1[[#This Row],[2025]:[2018]])</f>
        <v>44217.599999999999</v>
      </c>
      <c r="O414" s="2">
        <f>Table1[[#This Row],[ttl]]/SUM(Table1[ttl])</f>
        <v>8.9161650185250402E-5</v>
      </c>
      <c r="P414" s="3">
        <f>SUM($O$2:Table1[[#This Row],[pctAllTimeExp]])</f>
        <v>0.97667266564767741</v>
      </c>
      <c r="Q414" t="b">
        <f>Table1[[#This Row],[cumPctAllTimeExp]]&lt;0.95</f>
        <v>0</v>
      </c>
    </row>
    <row r="415" spans="1:17" x14ac:dyDescent="0.25">
      <c r="A415">
        <v>882</v>
      </c>
      <c r="C415" t="s">
        <v>2508</v>
      </c>
      <c r="E415" t="s">
        <v>884</v>
      </c>
      <c r="F415" s="4">
        <v>0</v>
      </c>
      <c r="G415" s="4">
        <v>450</v>
      </c>
      <c r="H415" s="4">
        <v>25830</v>
      </c>
      <c r="I415" s="4">
        <v>150</v>
      </c>
      <c r="J415" s="4">
        <v>12225</v>
      </c>
      <c r="K415" s="4">
        <v>115</v>
      </c>
      <c r="L415" s="4">
        <v>0</v>
      </c>
      <c r="M415" s="4">
        <v>5375</v>
      </c>
      <c r="N415" s="4">
        <f>SUM(Table1[[#This Row],[2025]:[2018]])</f>
        <v>44145</v>
      </c>
      <c r="O415" s="2">
        <f>Table1[[#This Row],[ttl]]/SUM(Table1[ttl])</f>
        <v>8.9015257441106682E-5</v>
      </c>
      <c r="P415" s="3">
        <f>SUM($O$2:Table1[[#This Row],[pctAllTimeExp]])</f>
        <v>0.9767616809051185</v>
      </c>
      <c r="Q415" t="b">
        <f>Table1[[#This Row],[cumPctAllTimeExp]]&lt;0.95</f>
        <v>0</v>
      </c>
    </row>
    <row r="416" spans="1:17" x14ac:dyDescent="0.25">
      <c r="A416">
        <v>230</v>
      </c>
      <c r="C416" t="s">
        <v>2508</v>
      </c>
      <c r="E416" t="s">
        <v>232</v>
      </c>
      <c r="F416" s="4">
        <v>9087.7000000000007</v>
      </c>
      <c r="G416" s="4">
        <v>33700.589999999997</v>
      </c>
      <c r="H416" s="4">
        <v>516.66</v>
      </c>
      <c r="I416" s="4">
        <v>670</v>
      </c>
      <c r="J416" s="4">
        <v>0</v>
      </c>
      <c r="K416" s="4">
        <v>0</v>
      </c>
      <c r="L416" s="4">
        <v>0</v>
      </c>
      <c r="M416" s="4">
        <v>0</v>
      </c>
      <c r="N416" s="4">
        <f>SUM(Table1[[#This Row],[2025]:[2018]])</f>
        <v>43974.95</v>
      </c>
      <c r="O416" s="2">
        <f>Table1[[#This Row],[ttl]]/SUM(Table1[ttl])</f>
        <v>8.8672363692599251E-5</v>
      </c>
      <c r="P416" s="3">
        <f>SUM($O$2:Table1[[#This Row],[pctAllTimeExp]])</f>
        <v>0.97685035326881109</v>
      </c>
      <c r="Q416" t="b">
        <f>Table1[[#This Row],[cumPctAllTimeExp]]&lt;0.95</f>
        <v>0</v>
      </c>
    </row>
    <row r="417" spans="1:17" x14ac:dyDescent="0.25">
      <c r="A417">
        <v>1304</v>
      </c>
      <c r="C417" t="s">
        <v>2508</v>
      </c>
      <c r="E417" t="s">
        <v>1306</v>
      </c>
      <c r="F417" s="4">
        <v>0</v>
      </c>
      <c r="G417" s="4">
        <v>0</v>
      </c>
      <c r="H417" s="4">
        <v>0</v>
      </c>
      <c r="I417" s="4">
        <v>609</v>
      </c>
      <c r="J417" s="4">
        <v>6135</v>
      </c>
      <c r="K417" s="4">
        <v>36935</v>
      </c>
      <c r="L417" s="4">
        <v>0</v>
      </c>
      <c r="M417" s="4">
        <v>0</v>
      </c>
      <c r="N417" s="4">
        <f>SUM(Table1[[#This Row],[2025]:[2018]])</f>
        <v>43679</v>
      </c>
      <c r="O417" s="2">
        <f>Table1[[#This Row],[ttl]]/SUM(Table1[ttl])</f>
        <v>8.8075601535170443E-5</v>
      </c>
      <c r="P417" s="3">
        <f>SUM($O$2:Table1[[#This Row],[pctAllTimeExp]])</f>
        <v>0.97693842887034621</v>
      </c>
      <c r="Q417" t="b">
        <f>Table1[[#This Row],[cumPctAllTimeExp]]&lt;0.95</f>
        <v>0</v>
      </c>
    </row>
    <row r="418" spans="1:17" x14ac:dyDescent="0.25">
      <c r="A418">
        <v>986</v>
      </c>
      <c r="C418" t="s">
        <v>2508</v>
      </c>
      <c r="E418" t="s">
        <v>988</v>
      </c>
      <c r="F418" s="4">
        <v>0</v>
      </c>
      <c r="G418" s="4">
        <v>0</v>
      </c>
      <c r="H418" s="4">
        <v>18950</v>
      </c>
      <c r="I418" s="4">
        <v>0</v>
      </c>
      <c r="J418" s="4">
        <v>0</v>
      </c>
      <c r="K418" s="4">
        <v>0</v>
      </c>
      <c r="L418" s="4">
        <v>24300</v>
      </c>
      <c r="M418" s="4">
        <v>0</v>
      </c>
      <c r="N418" s="4">
        <f>SUM(Table1[[#This Row],[2025]:[2018]])</f>
        <v>43250</v>
      </c>
      <c r="O418" s="2">
        <f>Table1[[#This Row],[ttl]]/SUM(Table1[ttl])</f>
        <v>8.7210553501593937E-5</v>
      </c>
      <c r="P418" s="3">
        <f>SUM($O$2:Table1[[#This Row],[pctAllTimeExp]])</f>
        <v>0.97702563942384779</v>
      </c>
      <c r="Q418" t="b">
        <f>Table1[[#This Row],[cumPctAllTimeExp]]&lt;0.95</f>
        <v>0</v>
      </c>
    </row>
    <row r="419" spans="1:17" x14ac:dyDescent="0.25">
      <c r="A419">
        <v>1429</v>
      </c>
      <c r="C419" t="s">
        <v>2508</v>
      </c>
      <c r="E419" t="s">
        <v>1431</v>
      </c>
      <c r="F419" s="4">
        <v>0</v>
      </c>
      <c r="G419" s="4">
        <v>0</v>
      </c>
      <c r="H419" s="4">
        <v>0</v>
      </c>
      <c r="I419" s="4">
        <v>0</v>
      </c>
      <c r="J419" s="4">
        <v>9210</v>
      </c>
      <c r="K419" s="4">
        <v>26089.3</v>
      </c>
      <c r="L419" s="4">
        <v>7590</v>
      </c>
      <c r="M419" s="4">
        <v>0</v>
      </c>
      <c r="N419" s="4">
        <f>SUM(Table1[[#This Row],[2025]:[2018]])</f>
        <v>42889.3</v>
      </c>
      <c r="O419" s="2">
        <f>Table1[[#This Row],[ttl]]/SUM(Table1[ttl])</f>
        <v>8.6483227567535554E-5</v>
      </c>
      <c r="P419" s="3">
        <f>SUM($O$2:Table1[[#This Row],[pctAllTimeExp]])</f>
        <v>0.97711212265141534</v>
      </c>
      <c r="Q419" t="b">
        <f>Table1[[#This Row],[cumPctAllTimeExp]]&lt;0.95</f>
        <v>0</v>
      </c>
    </row>
    <row r="420" spans="1:17" x14ac:dyDescent="0.25">
      <c r="A420">
        <v>761</v>
      </c>
      <c r="C420" t="s">
        <v>2508</v>
      </c>
      <c r="E420" t="s">
        <v>763</v>
      </c>
      <c r="F420" s="4">
        <v>0</v>
      </c>
      <c r="G420" s="4">
        <v>6743.82</v>
      </c>
      <c r="H420" s="4">
        <v>6301.75</v>
      </c>
      <c r="I420" s="4">
        <v>10745.23</v>
      </c>
      <c r="J420" s="4">
        <v>1962</v>
      </c>
      <c r="K420" s="4">
        <v>8361.49</v>
      </c>
      <c r="L420" s="4">
        <v>4111.1000000000004</v>
      </c>
      <c r="M420" s="4">
        <v>4123.8</v>
      </c>
      <c r="N420" s="4">
        <f>SUM(Table1[[#This Row],[2025]:[2018]])</f>
        <v>42349.19</v>
      </c>
      <c r="O420" s="2">
        <f>Table1[[#This Row],[ttl]]/SUM(Table1[ttl])</f>
        <v>8.5394134109691725E-5</v>
      </c>
      <c r="P420" s="3">
        <f>SUM($O$2:Table1[[#This Row],[pctAllTimeExp]])</f>
        <v>0.97719751678552502</v>
      </c>
      <c r="Q420" t="b">
        <f>Table1[[#This Row],[cumPctAllTimeExp]]&lt;0.95</f>
        <v>0</v>
      </c>
    </row>
    <row r="421" spans="1:17" x14ac:dyDescent="0.25">
      <c r="A421">
        <v>970</v>
      </c>
      <c r="C421" t="s">
        <v>2508</v>
      </c>
      <c r="E421" t="s">
        <v>972</v>
      </c>
      <c r="F421" s="4">
        <v>0</v>
      </c>
      <c r="G421" s="4">
        <v>0</v>
      </c>
      <c r="H421" s="4">
        <v>42280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f>SUM(Table1[[#This Row],[2025]:[2018]])</f>
        <v>42280</v>
      </c>
      <c r="O421" s="2">
        <f>Table1[[#This Row],[ttl]]/SUM(Table1[ttl])</f>
        <v>8.5254617388378994E-5</v>
      </c>
      <c r="P421" s="3">
        <f>SUM($O$2:Table1[[#This Row],[pctAllTimeExp]])</f>
        <v>0.97728277140291342</v>
      </c>
      <c r="Q421" t="b">
        <f>Table1[[#This Row],[cumPctAllTimeExp]]&lt;0.95</f>
        <v>0</v>
      </c>
    </row>
    <row r="422" spans="1:17" x14ac:dyDescent="0.25">
      <c r="A422">
        <v>274</v>
      </c>
      <c r="C422" t="s">
        <v>2508</v>
      </c>
      <c r="E422" t="s">
        <v>276</v>
      </c>
      <c r="F422" s="4">
        <v>6500</v>
      </c>
      <c r="G422" s="4">
        <v>5320</v>
      </c>
      <c r="H422" s="4">
        <v>5220</v>
      </c>
      <c r="I422" s="4">
        <v>5220</v>
      </c>
      <c r="J422" s="4">
        <v>5120</v>
      </c>
      <c r="K422" s="4">
        <v>5120</v>
      </c>
      <c r="L422" s="4">
        <v>4480</v>
      </c>
      <c r="M422" s="4">
        <v>5120</v>
      </c>
      <c r="N422" s="4">
        <f>SUM(Table1[[#This Row],[2025]:[2018]])</f>
        <v>42100</v>
      </c>
      <c r="O422" s="2">
        <f>Table1[[#This Row],[ttl]]/SUM(Table1[ttl])</f>
        <v>8.4891660171493749E-5</v>
      </c>
      <c r="P422" s="3">
        <f>SUM($O$2:Table1[[#This Row],[pctAllTimeExp]])</f>
        <v>0.97736766306308487</v>
      </c>
      <c r="Q422" t="b">
        <f>Table1[[#This Row],[cumPctAllTimeExp]]&lt;0.95</f>
        <v>0</v>
      </c>
    </row>
    <row r="423" spans="1:17" x14ac:dyDescent="0.25">
      <c r="A423">
        <v>350</v>
      </c>
      <c r="C423" t="s">
        <v>2508</v>
      </c>
      <c r="E423" t="s">
        <v>352</v>
      </c>
      <c r="F423" s="4">
        <v>3150</v>
      </c>
      <c r="G423" s="4">
        <v>6145</v>
      </c>
      <c r="H423" s="4">
        <v>7230</v>
      </c>
      <c r="I423" s="4">
        <v>5505</v>
      </c>
      <c r="J423" s="4">
        <v>5235</v>
      </c>
      <c r="K423" s="4">
        <v>5665</v>
      </c>
      <c r="L423" s="4">
        <v>4070</v>
      </c>
      <c r="M423" s="4">
        <v>4590</v>
      </c>
      <c r="N423" s="4">
        <f>SUM(Table1[[#This Row],[2025]:[2018]])</f>
        <v>41590</v>
      </c>
      <c r="O423" s="2">
        <f>Table1[[#This Row],[ttl]]/SUM(Table1[ttl])</f>
        <v>8.3863281390318889E-5</v>
      </c>
      <c r="P423" s="3">
        <f>SUM($O$2:Table1[[#This Row],[pctAllTimeExp]])</f>
        <v>0.97745152634447519</v>
      </c>
      <c r="Q423" t="b">
        <f>Table1[[#This Row],[cumPctAllTimeExp]]&lt;0.95</f>
        <v>0</v>
      </c>
    </row>
    <row r="424" spans="1:17" x14ac:dyDescent="0.25">
      <c r="A424">
        <v>1224</v>
      </c>
      <c r="C424" t="s">
        <v>2508</v>
      </c>
      <c r="E424" t="s">
        <v>1226</v>
      </c>
      <c r="F424" s="4">
        <v>0</v>
      </c>
      <c r="G424" s="4">
        <v>0</v>
      </c>
      <c r="H424" s="4">
        <v>0</v>
      </c>
      <c r="I424" s="4">
        <v>7225</v>
      </c>
      <c r="J424" s="4">
        <v>15015</v>
      </c>
      <c r="K424" s="4">
        <v>1500</v>
      </c>
      <c r="L424" s="4">
        <v>0</v>
      </c>
      <c r="M424" s="4">
        <v>17850</v>
      </c>
      <c r="N424" s="4">
        <f>SUM(Table1[[#This Row],[2025]:[2018]])</f>
        <v>41590</v>
      </c>
      <c r="O424" s="2">
        <f>Table1[[#This Row],[ttl]]/SUM(Table1[ttl])</f>
        <v>8.3863281390318889E-5</v>
      </c>
      <c r="P424" s="3">
        <f>SUM($O$2:Table1[[#This Row],[pctAllTimeExp]])</f>
        <v>0.9775353896258655</v>
      </c>
      <c r="Q424" t="b">
        <f>Table1[[#This Row],[cumPctAllTimeExp]]&lt;0.95</f>
        <v>0</v>
      </c>
    </row>
    <row r="425" spans="1:17" x14ac:dyDescent="0.25">
      <c r="A425">
        <v>1660</v>
      </c>
      <c r="C425" t="s">
        <v>2508</v>
      </c>
      <c r="E425" t="s">
        <v>1662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37395</v>
      </c>
      <c r="L425" s="4">
        <v>2955</v>
      </c>
      <c r="M425" s="4">
        <v>1066</v>
      </c>
      <c r="N425" s="4">
        <f>SUM(Table1[[#This Row],[2025]:[2018]])</f>
        <v>41416</v>
      </c>
      <c r="O425" s="2">
        <f>Table1[[#This Row],[ttl]]/SUM(Table1[ttl])</f>
        <v>8.3512422747329814E-5</v>
      </c>
      <c r="P425" s="3">
        <f>SUM($O$2:Table1[[#This Row],[pctAllTimeExp]])</f>
        <v>0.97761890204861279</v>
      </c>
      <c r="Q425" t="b">
        <f>Table1[[#This Row],[cumPctAllTimeExp]]&lt;0.95</f>
        <v>0</v>
      </c>
    </row>
    <row r="426" spans="1:17" x14ac:dyDescent="0.25">
      <c r="A426">
        <v>371</v>
      </c>
      <c r="C426" t="s">
        <v>2508</v>
      </c>
      <c r="E426" t="s">
        <v>373</v>
      </c>
      <c r="F426" s="4">
        <v>2543.42</v>
      </c>
      <c r="G426" s="4">
        <v>968.68</v>
      </c>
      <c r="H426" s="4">
        <v>1476.28</v>
      </c>
      <c r="I426" s="4">
        <v>1747.59</v>
      </c>
      <c r="J426" s="4">
        <v>4237.75</v>
      </c>
      <c r="K426" s="4">
        <v>20234.53</v>
      </c>
      <c r="L426" s="4">
        <v>8593.19</v>
      </c>
      <c r="M426" s="4">
        <v>1384.05</v>
      </c>
      <c r="N426" s="4">
        <f>SUM(Table1[[#This Row],[2025]:[2018]])</f>
        <v>41185.490000000005</v>
      </c>
      <c r="O426" s="2">
        <f>Table1[[#This Row],[ttl]]/SUM(Table1[ttl])</f>
        <v>8.3047615702528613E-5</v>
      </c>
      <c r="P426" s="3">
        <f>SUM($O$2:Table1[[#This Row],[pctAllTimeExp]])</f>
        <v>0.97770194966431534</v>
      </c>
      <c r="Q426" t="b">
        <f>Table1[[#This Row],[cumPctAllTimeExp]]&lt;0.95</f>
        <v>0</v>
      </c>
    </row>
    <row r="427" spans="1:17" x14ac:dyDescent="0.25">
      <c r="A427">
        <v>305</v>
      </c>
      <c r="C427" t="s">
        <v>2508</v>
      </c>
      <c r="E427" t="s">
        <v>307</v>
      </c>
      <c r="F427" s="4">
        <v>4801.99</v>
      </c>
      <c r="G427" s="4">
        <v>6327.89</v>
      </c>
      <c r="H427" s="4">
        <v>3917.27</v>
      </c>
      <c r="I427" s="4">
        <v>2752.65</v>
      </c>
      <c r="J427" s="4">
        <v>4286.16</v>
      </c>
      <c r="K427" s="4">
        <v>4887.41</v>
      </c>
      <c r="L427" s="4">
        <v>7493.25</v>
      </c>
      <c r="M427" s="4">
        <v>6437.97</v>
      </c>
      <c r="N427" s="4">
        <f>SUM(Table1[[#This Row],[2025]:[2018]])</f>
        <v>40904.590000000004</v>
      </c>
      <c r="O427" s="2">
        <f>Table1[[#This Row],[ttl]]/SUM(Table1[ttl])</f>
        <v>8.2481200801289359E-5</v>
      </c>
      <c r="P427" s="3">
        <f>SUM($O$2:Table1[[#This Row],[pctAllTimeExp]])</f>
        <v>0.97778443086511668</v>
      </c>
      <c r="Q427" t="b">
        <f>Table1[[#This Row],[cumPctAllTimeExp]]&lt;0.95</f>
        <v>0</v>
      </c>
    </row>
    <row r="428" spans="1:17" x14ac:dyDescent="0.25">
      <c r="A428">
        <v>1415</v>
      </c>
      <c r="C428" t="s">
        <v>2508</v>
      </c>
      <c r="E428" t="s">
        <v>1417</v>
      </c>
      <c r="F428" s="4">
        <v>0</v>
      </c>
      <c r="G428" s="4">
        <v>0</v>
      </c>
      <c r="H428" s="4">
        <v>0</v>
      </c>
      <c r="I428" s="4">
        <v>0</v>
      </c>
      <c r="J428" s="4">
        <v>19428.48</v>
      </c>
      <c r="K428" s="4">
        <v>16228.93</v>
      </c>
      <c r="L428" s="4">
        <v>5239</v>
      </c>
      <c r="M428" s="4">
        <v>0</v>
      </c>
      <c r="N428" s="4">
        <f>SUM(Table1[[#This Row],[2025]:[2018]])</f>
        <v>40896.410000000003</v>
      </c>
      <c r="O428" s="2">
        <f>Table1[[#This Row],[ttl]]/SUM(Table1[ttl])</f>
        <v>8.2464706412210901E-5</v>
      </c>
      <c r="P428" s="3">
        <f>SUM($O$2:Table1[[#This Row],[pctAllTimeExp]])</f>
        <v>0.97786689557152895</v>
      </c>
      <c r="Q428" t="b">
        <f>Table1[[#This Row],[cumPctAllTimeExp]]&lt;0.95</f>
        <v>0</v>
      </c>
    </row>
    <row r="429" spans="1:17" x14ac:dyDescent="0.25">
      <c r="A429">
        <v>1050</v>
      </c>
      <c r="C429" t="s">
        <v>2508</v>
      </c>
      <c r="E429" t="s">
        <v>1052</v>
      </c>
      <c r="F429" s="4">
        <v>0</v>
      </c>
      <c r="G429" s="4">
        <v>0</v>
      </c>
      <c r="H429" s="4">
        <v>3100</v>
      </c>
      <c r="I429" s="4">
        <v>0</v>
      </c>
      <c r="J429" s="4">
        <v>13175</v>
      </c>
      <c r="K429" s="4">
        <v>2200</v>
      </c>
      <c r="L429" s="4">
        <v>13000</v>
      </c>
      <c r="M429" s="4">
        <v>9275</v>
      </c>
      <c r="N429" s="4">
        <f>SUM(Table1[[#This Row],[2025]:[2018]])</f>
        <v>40750</v>
      </c>
      <c r="O429" s="2">
        <f>Table1[[#This Row],[ttl]]/SUM(Table1[ttl])</f>
        <v>8.2169481044854401E-5</v>
      </c>
      <c r="P429" s="3">
        <f>SUM($O$2:Table1[[#This Row],[pctAllTimeExp]])</f>
        <v>0.97794906505257384</v>
      </c>
      <c r="Q429" t="b">
        <f>Table1[[#This Row],[cumPctAllTimeExp]]&lt;0.95</f>
        <v>0</v>
      </c>
    </row>
    <row r="430" spans="1:17" x14ac:dyDescent="0.25">
      <c r="A430">
        <v>254</v>
      </c>
      <c r="C430" t="s">
        <v>2508</v>
      </c>
      <c r="E430" t="s">
        <v>256</v>
      </c>
      <c r="F430" s="4">
        <v>7578.54</v>
      </c>
      <c r="G430" s="4">
        <v>6274.06</v>
      </c>
      <c r="H430" s="4">
        <v>6722.99</v>
      </c>
      <c r="I430" s="4">
        <v>3747.84</v>
      </c>
      <c r="J430" s="4">
        <v>4049.59</v>
      </c>
      <c r="K430" s="4">
        <v>4173.6000000000004</v>
      </c>
      <c r="L430" s="4">
        <v>4315.66</v>
      </c>
      <c r="M430" s="4">
        <v>3536.6</v>
      </c>
      <c r="N430" s="4">
        <f>SUM(Table1[[#This Row],[2025]:[2018]])</f>
        <v>40398.879999999997</v>
      </c>
      <c r="O430" s="2">
        <f>Table1[[#This Row],[ttl]]/SUM(Table1[ttl])</f>
        <v>8.1461472500450236E-5</v>
      </c>
      <c r="P430" s="3">
        <f>SUM($O$2:Table1[[#This Row],[pctAllTimeExp]])</f>
        <v>0.97803052652507427</v>
      </c>
      <c r="Q430" t="b">
        <f>Table1[[#This Row],[cumPctAllTimeExp]]&lt;0.95</f>
        <v>0</v>
      </c>
    </row>
    <row r="431" spans="1:17" x14ac:dyDescent="0.25">
      <c r="A431">
        <v>2248</v>
      </c>
      <c r="C431" t="s">
        <v>2508</v>
      </c>
      <c r="E431" t="s">
        <v>2250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40289.11</v>
      </c>
      <c r="N431" s="4">
        <f>SUM(Table1[[#This Row],[2025]:[2018]])</f>
        <v>40289.11</v>
      </c>
      <c r="O431" s="2">
        <f>Table1[[#This Row],[ttl]]/SUM(Table1[ttl])</f>
        <v>8.1240129091019722E-5</v>
      </c>
      <c r="P431" s="3">
        <f>SUM($O$2:Table1[[#This Row],[pctAllTimeExp]])</f>
        <v>0.97811176665416533</v>
      </c>
      <c r="Q431" t="b">
        <f>Table1[[#This Row],[cumPctAllTimeExp]]&lt;0.95</f>
        <v>0</v>
      </c>
    </row>
    <row r="432" spans="1:17" x14ac:dyDescent="0.25">
      <c r="A432">
        <v>721</v>
      </c>
      <c r="C432" t="s">
        <v>2508</v>
      </c>
      <c r="E432" t="s">
        <v>723</v>
      </c>
      <c r="F432" s="4">
        <v>0</v>
      </c>
      <c r="G432" s="4">
        <v>22870.83</v>
      </c>
      <c r="H432" s="4">
        <v>0</v>
      </c>
      <c r="I432" s="4">
        <v>0</v>
      </c>
      <c r="J432" s="4">
        <v>0</v>
      </c>
      <c r="K432" s="4">
        <v>0</v>
      </c>
      <c r="L432" s="4">
        <v>17393.3</v>
      </c>
      <c r="M432" s="4">
        <v>0</v>
      </c>
      <c r="N432" s="4">
        <f>SUM(Table1[[#This Row],[2025]:[2018]])</f>
        <v>40264.130000000005</v>
      </c>
      <c r="O432" s="2">
        <f>Table1[[#This Row],[ttl]]/SUM(Table1[ttl])</f>
        <v>8.1189758695031995E-5</v>
      </c>
      <c r="P432" s="3">
        <f>SUM($O$2:Table1[[#This Row],[pctAllTimeExp]])</f>
        <v>0.9781929564128603</v>
      </c>
      <c r="Q432" t="b">
        <f>Table1[[#This Row],[cumPctAllTimeExp]]&lt;0.95</f>
        <v>0</v>
      </c>
    </row>
    <row r="433" spans="1:17" x14ac:dyDescent="0.25">
      <c r="A433">
        <v>144</v>
      </c>
      <c r="C433" t="s">
        <v>2508</v>
      </c>
      <c r="E433" t="s">
        <v>146</v>
      </c>
      <c r="F433" s="4">
        <v>25000</v>
      </c>
      <c r="G433" s="4">
        <v>15000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f>SUM(Table1[[#This Row],[2025]:[2018]])</f>
        <v>40000</v>
      </c>
      <c r="O433" s="2">
        <f>Table1[[#This Row],[ttl]]/SUM(Table1[ttl])</f>
        <v>8.0657159307832534E-5</v>
      </c>
      <c r="P433" s="3">
        <f>SUM($O$2:Table1[[#This Row],[pctAllTimeExp]])</f>
        <v>0.97827361357216813</v>
      </c>
      <c r="Q433" t="b">
        <f>Table1[[#This Row],[cumPctAllTimeExp]]&lt;0.95</f>
        <v>0</v>
      </c>
    </row>
    <row r="434" spans="1:17" x14ac:dyDescent="0.25">
      <c r="A434">
        <v>983</v>
      </c>
      <c r="C434" t="s">
        <v>2508</v>
      </c>
      <c r="E434" t="s">
        <v>985</v>
      </c>
      <c r="F434" s="4">
        <v>0</v>
      </c>
      <c r="G434" s="4">
        <v>0</v>
      </c>
      <c r="H434" s="4">
        <v>20509.3</v>
      </c>
      <c r="I434" s="4">
        <v>19425.900000000001</v>
      </c>
      <c r="J434" s="4">
        <v>0</v>
      </c>
      <c r="K434" s="4">
        <v>0</v>
      </c>
      <c r="L434" s="4">
        <v>0</v>
      </c>
      <c r="M434" s="4">
        <v>0</v>
      </c>
      <c r="N434" s="4">
        <f>SUM(Table1[[#This Row],[2025]:[2018]])</f>
        <v>39935.199999999997</v>
      </c>
      <c r="O434" s="2">
        <f>Table1[[#This Row],[ttl]]/SUM(Table1[ttl])</f>
        <v>8.0526494709753842E-5</v>
      </c>
      <c r="P434" s="3">
        <f>SUM($O$2:Table1[[#This Row],[pctAllTimeExp]])</f>
        <v>0.97835414006687793</v>
      </c>
      <c r="Q434" t="b">
        <f>Table1[[#This Row],[cumPctAllTimeExp]]&lt;0.95</f>
        <v>0</v>
      </c>
    </row>
    <row r="435" spans="1:17" x14ac:dyDescent="0.25">
      <c r="A435">
        <v>545</v>
      </c>
      <c r="C435" t="s">
        <v>2508</v>
      </c>
      <c r="E435" t="s">
        <v>547</v>
      </c>
      <c r="F435" s="4">
        <v>556</v>
      </c>
      <c r="G435" s="4">
        <v>1585</v>
      </c>
      <c r="H435" s="4">
        <v>20582.990000000002</v>
      </c>
      <c r="I435" s="4">
        <v>7806</v>
      </c>
      <c r="J435" s="4">
        <v>9078.75</v>
      </c>
      <c r="K435" s="4">
        <v>0</v>
      </c>
      <c r="L435" s="4">
        <v>0</v>
      </c>
      <c r="M435" s="4">
        <v>0</v>
      </c>
      <c r="N435" s="4">
        <f>SUM(Table1[[#This Row],[2025]:[2018]])</f>
        <v>39608.740000000005</v>
      </c>
      <c r="O435" s="2">
        <f>Table1[[#This Row],[ttl]]/SUM(Table1[ttl])</f>
        <v>7.986821130406298E-5</v>
      </c>
      <c r="P435" s="3">
        <f>SUM($O$2:Table1[[#This Row],[pctAllTimeExp]])</f>
        <v>0.97843400827818194</v>
      </c>
      <c r="Q435" t="b">
        <f>Table1[[#This Row],[cumPctAllTimeExp]]&lt;0.95</f>
        <v>0</v>
      </c>
    </row>
    <row r="436" spans="1:17" x14ac:dyDescent="0.25">
      <c r="A436">
        <v>1984</v>
      </c>
      <c r="C436" t="s">
        <v>2508</v>
      </c>
      <c r="E436" t="s">
        <v>1986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15315</v>
      </c>
      <c r="M436" s="4">
        <v>24214</v>
      </c>
      <c r="N436" s="4">
        <f>SUM(Table1[[#This Row],[2025]:[2018]])</f>
        <v>39529</v>
      </c>
      <c r="O436" s="2">
        <f>Table1[[#This Row],[ttl]]/SUM(Table1[ttl])</f>
        <v>7.9707421256982816E-5</v>
      </c>
      <c r="P436" s="3">
        <f>SUM($O$2:Table1[[#This Row],[pctAllTimeExp]])</f>
        <v>0.9785137156994389</v>
      </c>
      <c r="Q436" t="b">
        <f>Table1[[#This Row],[cumPctAllTimeExp]]&lt;0.95</f>
        <v>0</v>
      </c>
    </row>
    <row r="437" spans="1:17" x14ac:dyDescent="0.25">
      <c r="A437">
        <v>1207</v>
      </c>
      <c r="C437" t="s">
        <v>2508</v>
      </c>
      <c r="E437" t="s">
        <v>1209</v>
      </c>
      <c r="F437" s="4">
        <v>0</v>
      </c>
      <c r="G437" s="4">
        <v>0</v>
      </c>
      <c r="H437" s="4">
        <v>0</v>
      </c>
      <c r="I437" s="4">
        <v>24353.89</v>
      </c>
      <c r="J437" s="4">
        <v>14999.11</v>
      </c>
      <c r="K437" s="4">
        <v>0</v>
      </c>
      <c r="L437" s="4">
        <v>0</v>
      </c>
      <c r="M437" s="4">
        <v>0</v>
      </c>
      <c r="N437" s="4">
        <f>SUM(Table1[[#This Row],[2025]:[2018]])</f>
        <v>39353</v>
      </c>
      <c r="O437" s="2">
        <f>Table1[[#This Row],[ttl]]/SUM(Table1[ttl])</f>
        <v>7.9352529756028346E-5</v>
      </c>
      <c r="P437" s="3">
        <f>SUM($O$2:Table1[[#This Row],[pctAllTimeExp]])</f>
        <v>0.9785930682291949</v>
      </c>
      <c r="Q437" t="b">
        <f>Table1[[#This Row],[cumPctAllTimeExp]]&lt;0.95</f>
        <v>0</v>
      </c>
    </row>
    <row r="438" spans="1:17" x14ac:dyDescent="0.25">
      <c r="A438">
        <v>113</v>
      </c>
      <c r="C438" t="s">
        <v>2508</v>
      </c>
      <c r="E438" t="s">
        <v>115</v>
      </c>
      <c r="F438" s="4">
        <v>39229.93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f>SUM(Table1[[#This Row],[2025]:[2018]])</f>
        <v>39229.93</v>
      </c>
      <c r="O438" s="2">
        <f>Table1[[#This Row],[ttl]]/SUM(Table1[ttl])</f>
        <v>7.910436784112798E-5</v>
      </c>
      <c r="P438" s="3">
        <f>SUM($O$2:Table1[[#This Row],[pctAllTimeExp]])</f>
        <v>0.97867217259703598</v>
      </c>
      <c r="Q438" t="b">
        <f>Table1[[#This Row],[cumPctAllTimeExp]]&lt;0.95</f>
        <v>0</v>
      </c>
    </row>
    <row r="439" spans="1:17" x14ac:dyDescent="0.25">
      <c r="A439">
        <v>263</v>
      </c>
      <c r="C439" t="s">
        <v>2508</v>
      </c>
      <c r="E439" t="s">
        <v>265</v>
      </c>
      <c r="F439" s="4">
        <v>7321.07</v>
      </c>
      <c r="G439" s="4">
        <v>5158.0200000000004</v>
      </c>
      <c r="H439" s="4">
        <v>9622.75</v>
      </c>
      <c r="I439" s="4">
        <v>11834.1</v>
      </c>
      <c r="J439" s="4">
        <v>5248.25</v>
      </c>
      <c r="K439" s="4">
        <v>0</v>
      </c>
      <c r="L439" s="4">
        <v>0</v>
      </c>
      <c r="M439" s="4">
        <v>0</v>
      </c>
      <c r="N439" s="4">
        <f>SUM(Table1[[#This Row],[2025]:[2018]])</f>
        <v>39184.19</v>
      </c>
      <c r="O439" s="2">
        <f>Table1[[#This Row],[ttl]]/SUM(Table1[ttl])</f>
        <v>7.9012136379459478E-5</v>
      </c>
      <c r="P439" s="3">
        <f>SUM($O$2:Table1[[#This Row],[pctAllTimeExp]])</f>
        <v>0.97875118473341549</v>
      </c>
      <c r="Q439" t="b">
        <f>Table1[[#This Row],[cumPctAllTimeExp]]&lt;0.95</f>
        <v>0</v>
      </c>
    </row>
    <row r="440" spans="1:17" x14ac:dyDescent="0.25">
      <c r="A440">
        <v>714</v>
      </c>
      <c r="C440" t="s">
        <v>2508</v>
      </c>
      <c r="E440" t="s">
        <v>716</v>
      </c>
      <c r="F440" s="4">
        <v>0</v>
      </c>
      <c r="G440" s="4">
        <v>31760.04</v>
      </c>
      <c r="H440" s="4">
        <v>7210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f>SUM(Table1[[#This Row],[2025]:[2018]])</f>
        <v>38970.04</v>
      </c>
      <c r="O440" s="2">
        <f>Table1[[#This Row],[ttl]]/SUM(Table1[ttl])</f>
        <v>7.8580318112815166E-5</v>
      </c>
      <c r="P440" s="3">
        <f>SUM($O$2:Table1[[#This Row],[pctAllTimeExp]])</f>
        <v>0.9788297650515283</v>
      </c>
      <c r="Q440" t="b">
        <f>Table1[[#This Row],[cumPctAllTimeExp]]&lt;0.95</f>
        <v>0</v>
      </c>
    </row>
    <row r="441" spans="1:17" x14ac:dyDescent="0.25">
      <c r="A441">
        <v>346</v>
      </c>
      <c r="C441" t="s">
        <v>2508</v>
      </c>
      <c r="E441" t="s">
        <v>348</v>
      </c>
      <c r="F441" s="4">
        <v>3304.85</v>
      </c>
      <c r="G441" s="4">
        <v>2947.77</v>
      </c>
      <c r="H441" s="4">
        <v>3689.59</v>
      </c>
      <c r="I441" s="4">
        <v>4256.57</v>
      </c>
      <c r="J441" s="4">
        <v>10977.45</v>
      </c>
      <c r="K441" s="4">
        <v>3700.55</v>
      </c>
      <c r="L441" s="4">
        <v>5545.57</v>
      </c>
      <c r="M441" s="4">
        <v>4480.04</v>
      </c>
      <c r="N441" s="4">
        <f>SUM(Table1[[#This Row],[2025]:[2018]])</f>
        <v>38902.39</v>
      </c>
      <c r="O441" s="2">
        <f>Table1[[#This Row],[ttl]]/SUM(Table1[ttl])</f>
        <v>7.8443906692135781E-5</v>
      </c>
      <c r="P441" s="3">
        <f>SUM($O$2:Table1[[#This Row],[pctAllTimeExp]])</f>
        <v>0.97890820895822039</v>
      </c>
      <c r="Q441" t="b">
        <f>Table1[[#This Row],[cumPctAllTimeExp]]&lt;0.95</f>
        <v>0</v>
      </c>
    </row>
    <row r="442" spans="1:17" x14ac:dyDescent="0.25">
      <c r="A442">
        <v>670</v>
      </c>
      <c r="C442" t="s">
        <v>2508</v>
      </c>
      <c r="E442" t="s">
        <v>672</v>
      </c>
      <c r="F442" s="4">
        <v>96.52</v>
      </c>
      <c r="G442" s="4">
        <v>2585.27</v>
      </c>
      <c r="H442" s="4">
        <v>2419.67</v>
      </c>
      <c r="I442" s="4">
        <v>826.22</v>
      </c>
      <c r="J442" s="4">
        <v>1038.53</v>
      </c>
      <c r="K442" s="4">
        <v>1242.45</v>
      </c>
      <c r="L442" s="4">
        <v>26744.05</v>
      </c>
      <c r="M442" s="4">
        <v>3916.16</v>
      </c>
      <c r="N442" s="4">
        <f>SUM(Table1[[#This Row],[2025]:[2018]])</f>
        <v>38868.869999999995</v>
      </c>
      <c r="O442" s="2">
        <f>Table1[[#This Row],[ttl]]/SUM(Table1[ttl])</f>
        <v>7.8376315992635808E-5</v>
      </c>
      <c r="P442" s="3">
        <f>SUM($O$2:Table1[[#This Row],[pctAllTimeExp]])</f>
        <v>0.97898658527421301</v>
      </c>
      <c r="Q442" t="b">
        <f>Table1[[#This Row],[cumPctAllTimeExp]]&lt;0.95</f>
        <v>0</v>
      </c>
    </row>
    <row r="443" spans="1:17" x14ac:dyDescent="0.25">
      <c r="A443">
        <v>1279</v>
      </c>
      <c r="C443" t="s">
        <v>2508</v>
      </c>
      <c r="E443" t="s">
        <v>1281</v>
      </c>
      <c r="F443" s="4">
        <v>0</v>
      </c>
      <c r="G443" s="4">
        <v>0</v>
      </c>
      <c r="H443" s="4">
        <v>0</v>
      </c>
      <c r="I443" s="4">
        <v>1052.58</v>
      </c>
      <c r="J443" s="4">
        <v>0</v>
      </c>
      <c r="K443" s="4">
        <v>992.03</v>
      </c>
      <c r="L443" s="4">
        <v>1423.14</v>
      </c>
      <c r="M443" s="4">
        <v>35400</v>
      </c>
      <c r="N443" s="4">
        <f>SUM(Table1[[#This Row],[2025]:[2018]])</f>
        <v>38867.75</v>
      </c>
      <c r="O443" s="2">
        <f>Table1[[#This Row],[ttl]]/SUM(Table1[ttl])</f>
        <v>7.8374057592175202E-5</v>
      </c>
      <c r="P443" s="3">
        <f>SUM($O$2:Table1[[#This Row],[pctAllTimeExp]])</f>
        <v>0.97906495933180515</v>
      </c>
      <c r="Q443" t="b">
        <f>Table1[[#This Row],[cumPctAllTimeExp]]&lt;0.95</f>
        <v>0</v>
      </c>
    </row>
    <row r="444" spans="1:17" x14ac:dyDescent="0.25">
      <c r="A444">
        <v>247</v>
      </c>
      <c r="C444" t="s">
        <v>2508</v>
      </c>
      <c r="E444" t="s">
        <v>249</v>
      </c>
      <c r="F444" s="4">
        <v>7950</v>
      </c>
      <c r="G444" s="4">
        <v>14520</v>
      </c>
      <c r="H444" s="4">
        <v>11405</v>
      </c>
      <c r="I444" s="4">
        <v>4778</v>
      </c>
      <c r="J444" s="4">
        <v>0</v>
      </c>
      <c r="K444" s="4">
        <v>0</v>
      </c>
      <c r="L444" s="4">
        <v>0</v>
      </c>
      <c r="M444" s="4">
        <v>0</v>
      </c>
      <c r="N444" s="4">
        <f>SUM(Table1[[#This Row],[2025]:[2018]])</f>
        <v>38653</v>
      </c>
      <c r="O444" s="2">
        <f>Table1[[#This Row],[ttl]]/SUM(Table1[ttl])</f>
        <v>7.7941029468141284E-5</v>
      </c>
      <c r="P444" s="3">
        <f>SUM($O$2:Table1[[#This Row],[pctAllTimeExp]])</f>
        <v>0.97914290036127327</v>
      </c>
      <c r="Q444" t="b">
        <f>Table1[[#This Row],[cumPctAllTimeExp]]&lt;0.95</f>
        <v>0</v>
      </c>
    </row>
    <row r="445" spans="1:17" x14ac:dyDescent="0.25">
      <c r="A445">
        <v>753</v>
      </c>
      <c r="C445" t="s">
        <v>2508</v>
      </c>
      <c r="E445" t="s">
        <v>755</v>
      </c>
      <c r="F445" s="4">
        <v>0</v>
      </c>
      <c r="G445" s="4">
        <v>8200</v>
      </c>
      <c r="H445" s="4">
        <v>0</v>
      </c>
      <c r="I445" s="4">
        <v>0</v>
      </c>
      <c r="J445" s="4">
        <v>2995</v>
      </c>
      <c r="K445" s="4">
        <v>1120</v>
      </c>
      <c r="L445" s="4">
        <v>11550</v>
      </c>
      <c r="M445" s="4">
        <v>14542</v>
      </c>
      <c r="N445" s="4">
        <f>SUM(Table1[[#This Row],[2025]:[2018]])</f>
        <v>38407</v>
      </c>
      <c r="O445" s="2">
        <f>Table1[[#This Row],[ttl]]/SUM(Table1[ttl])</f>
        <v>7.7444987938398108E-5</v>
      </c>
      <c r="P445" s="3">
        <f>SUM($O$2:Table1[[#This Row],[pctAllTimeExp]])</f>
        <v>0.97922034534921165</v>
      </c>
      <c r="Q445" t="b">
        <f>Table1[[#This Row],[cumPctAllTimeExp]]&lt;0.95</f>
        <v>0</v>
      </c>
    </row>
    <row r="446" spans="1:17" x14ac:dyDescent="0.25">
      <c r="A446">
        <v>980</v>
      </c>
      <c r="C446" t="s">
        <v>2508</v>
      </c>
      <c r="E446" t="s">
        <v>982</v>
      </c>
      <c r="F446" s="4">
        <v>0</v>
      </c>
      <c r="G446" s="4">
        <v>0</v>
      </c>
      <c r="H446" s="4">
        <v>25070</v>
      </c>
      <c r="I446" s="4">
        <v>13104</v>
      </c>
      <c r="J446" s="4">
        <v>0</v>
      </c>
      <c r="K446" s="4">
        <v>0</v>
      </c>
      <c r="L446" s="4">
        <v>0</v>
      </c>
      <c r="M446" s="4">
        <v>0</v>
      </c>
      <c r="N446" s="4">
        <f>SUM(Table1[[#This Row],[2025]:[2018]])</f>
        <v>38174</v>
      </c>
      <c r="O446" s="2">
        <f>Table1[[#This Row],[ttl]]/SUM(Table1[ttl])</f>
        <v>7.6975159985429988E-5</v>
      </c>
      <c r="P446" s="3">
        <f>SUM($O$2:Table1[[#This Row],[pctAllTimeExp]])</f>
        <v>0.97929732050919704</v>
      </c>
      <c r="Q446" t="b">
        <f>Table1[[#This Row],[cumPctAllTimeExp]]&lt;0.95</f>
        <v>0</v>
      </c>
    </row>
    <row r="447" spans="1:17" x14ac:dyDescent="0.25">
      <c r="A447">
        <v>744</v>
      </c>
      <c r="C447" t="s">
        <v>2508</v>
      </c>
      <c r="E447" t="s">
        <v>746</v>
      </c>
      <c r="F447" s="4">
        <v>0</v>
      </c>
      <c r="G447" s="4">
        <v>9700</v>
      </c>
      <c r="H447" s="4">
        <v>0</v>
      </c>
      <c r="I447" s="4">
        <v>28200</v>
      </c>
      <c r="J447" s="4">
        <v>0</v>
      </c>
      <c r="K447" s="4">
        <v>0</v>
      </c>
      <c r="L447" s="4">
        <v>0</v>
      </c>
      <c r="M447" s="4">
        <v>0</v>
      </c>
      <c r="N447" s="4">
        <f>SUM(Table1[[#This Row],[2025]:[2018]])</f>
        <v>37900</v>
      </c>
      <c r="O447" s="2">
        <f>Table1[[#This Row],[ttl]]/SUM(Table1[ttl])</f>
        <v>7.6422658444171333E-5</v>
      </c>
      <c r="P447" s="3">
        <f>SUM($O$2:Table1[[#This Row],[pctAllTimeExp]])</f>
        <v>0.97937374316764125</v>
      </c>
      <c r="Q447" t="b">
        <f>Table1[[#This Row],[cumPctAllTimeExp]]&lt;0.95</f>
        <v>0</v>
      </c>
    </row>
    <row r="448" spans="1:17" x14ac:dyDescent="0.25">
      <c r="A448">
        <v>1110</v>
      </c>
      <c r="C448" t="s">
        <v>2508</v>
      </c>
      <c r="E448" t="s">
        <v>1112</v>
      </c>
      <c r="F448" s="4">
        <v>0</v>
      </c>
      <c r="G448" s="4">
        <v>0</v>
      </c>
      <c r="H448" s="4">
        <v>652.5</v>
      </c>
      <c r="I448" s="4">
        <v>0</v>
      </c>
      <c r="J448" s="4">
        <v>0</v>
      </c>
      <c r="K448" s="4">
        <v>15729</v>
      </c>
      <c r="L448" s="4">
        <v>16455.75</v>
      </c>
      <c r="M448" s="4">
        <v>4872</v>
      </c>
      <c r="N448" s="4">
        <f>SUM(Table1[[#This Row],[2025]:[2018]])</f>
        <v>37709.25</v>
      </c>
      <c r="O448" s="2">
        <f>Table1[[#This Row],[ttl]]/SUM(Table1[ttl])</f>
        <v>7.6038024615722105E-5</v>
      </c>
      <c r="P448" s="3">
        <f>SUM($O$2:Table1[[#This Row],[pctAllTimeExp]])</f>
        <v>0.97944978119225701</v>
      </c>
      <c r="Q448" t="b">
        <f>Table1[[#This Row],[cumPctAllTimeExp]]&lt;0.95</f>
        <v>0</v>
      </c>
    </row>
    <row r="449" spans="1:17" x14ac:dyDescent="0.25">
      <c r="A449">
        <v>1975</v>
      </c>
      <c r="C449" t="s">
        <v>2508</v>
      </c>
      <c r="E449" t="s">
        <v>1977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37527.29</v>
      </c>
      <c r="M449" s="4">
        <v>0</v>
      </c>
      <c r="N449" s="4">
        <f>SUM(Table1[[#This Row],[2025]:[2018]])</f>
        <v>37527.29</v>
      </c>
      <c r="O449" s="2">
        <f>Table1[[#This Row],[ttl]]/SUM(Table1[ttl])</f>
        <v>7.5671115198030776E-5</v>
      </c>
      <c r="P449" s="3">
        <f>SUM($O$2:Table1[[#This Row],[pctAllTimeExp]])</f>
        <v>0.97952545230745502</v>
      </c>
      <c r="Q449" t="b">
        <f>Table1[[#This Row],[cumPctAllTimeExp]]&lt;0.95</f>
        <v>0</v>
      </c>
    </row>
    <row r="450" spans="1:17" x14ac:dyDescent="0.25">
      <c r="A450">
        <v>296</v>
      </c>
      <c r="C450" t="s">
        <v>2508</v>
      </c>
      <c r="E450" t="s">
        <v>298</v>
      </c>
      <c r="F450" s="4">
        <v>5246.73</v>
      </c>
      <c r="G450" s="4">
        <v>4432.5600000000004</v>
      </c>
      <c r="H450" s="4">
        <v>15648.05</v>
      </c>
      <c r="I450" s="4">
        <v>2441.6</v>
      </c>
      <c r="J450" s="4">
        <v>2841</v>
      </c>
      <c r="K450" s="4">
        <v>6481.88</v>
      </c>
      <c r="L450" s="4">
        <v>0</v>
      </c>
      <c r="M450" s="4">
        <v>0</v>
      </c>
      <c r="N450" s="4">
        <f>SUM(Table1[[#This Row],[2025]:[2018]])</f>
        <v>37091.82</v>
      </c>
      <c r="O450" s="2">
        <f>Table1[[#This Row],[ttl]]/SUM(Table1[ttl])</f>
        <v>7.4793020868936232E-5</v>
      </c>
      <c r="P450" s="3">
        <f>SUM($O$2:Table1[[#This Row],[pctAllTimeExp]])</f>
        <v>0.97960024532832402</v>
      </c>
      <c r="Q450" t="b">
        <f>Table1[[#This Row],[cumPctAllTimeExp]]&lt;0.95</f>
        <v>0</v>
      </c>
    </row>
    <row r="451" spans="1:17" x14ac:dyDescent="0.25">
      <c r="A451">
        <v>485</v>
      </c>
      <c r="C451" t="s">
        <v>2508</v>
      </c>
      <c r="E451" t="s">
        <v>487</v>
      </c>
      <c r="F451" s="4">
        <v>918.35</v>
      </c>
      <c r="G451" s="4">
        <v>1431.23</v>
      </c>
      <c r="H451" s="4">
        <v>15406.58</v>
      </c>
      <c r="I451" s="4">
        <v>1289.55</v>
      </c>
      <c r="J451" s="4">
        <v>6517.98</v>
      </c>
      <c r="K451" s="4">
        <v>10942.77</v>
      </c>
      <c r="L451" s="4">
        <v>0</v>
      </c>
      <c r="M451" s="4">
        <v>496.18</v>
      </c>
      <c r="N451" s="4">
        <f>SUM(Table1[[#This Row],[2025]:[2018]])</f>
        <v>37002.639999999999</v>
      </c>
      <c r="O451" s="2">
        <f>Table1[[#This Row],[ttl]]/SUM(Table1[ttl])</f>
        <v>7.4613195732259419E-5</v>
      </c>
      <c r="P451" s="3">
        <f>SUM($O$2:Table1[[#This Row],[pctAllTimeExp]])</f>
        <v>0.97967485852405622</v>
      </c>
      <c r="Q451" t="b">
        <f>Table1[[#This Row],[cumPctAllTimeExp]]&lt;0.95</f>
        <v>0</v>
      </c>
    </row>
    <row r="452" spans="1:17" x14ac:dyDescent="0.25">
      <c r="A452">
        <v>260</v>
      </c>
      <c r="C452" t="s">
        <v>2508</v>
      </c>
      <c r="E452" t="s">
        <v>262</v>
      </c>
      <c r="F452" s="4">
        <v>7376.12</v>
      </c>
      <c r="G452" s="4">
        <v>2126.9299999999998</v>
      </c>
      <c r="H452" s="4">
        <v>7280.78</v>
      </c>
      <c r="I452" s="4">
        <v>17579.98</v>
      </c>
      <c r="J452" s="4">
        <v>2176.5100000000002</v>
      </c>
      <c r="K452" s="4">
        <v>341.94</v>
      </c>
      <c r="L452" s="4">
        <v>0</v>
      </c>
      <c r="M452" s="4">
        <v>0</v>
      </c>
      <c r="N452" s="4">
        <f>SUM(Table1[[#This Row],[2025]:[2018]])</f>
        <v>36882.26</v>
      </c>
      <c r="O452" s="2">
        <f>Table1[[#This Row],[ttl]]/SUM(Table1[ttl])</f>
        <v>7.4370458011322493E-5</v>
      </c>
      <c r="P452" s="3">
        <f>SUM($O$2:Table1[[#This Row],[pctAllTimeExp]])</f>
        <v>0.97974922898206751</v>
      </c>
      <c r="Q452" t="b">
        <f>Table1[[#This Row],[cumPctAllTimeExp]]&lt;0.95</f>
        <v>0</v>
      </c>
    </row>
    <row r="453" spans="1:17" x14ac:dyDescent="0.25">
      <c r="A453">
        <v>973</v>
      </c>
      <c r="C453" t="s">
        <v>2508</v>
      </c>
      <c r="E453" t="s">
        <v>975</v>
      </c>
      <c r="F453" s="4">
        <v>0</v>
      </c>
      <c r="G453" s="4">
        <v>0</v>
      </c>
      <c r="H453" s="4">
        <v>36825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f>SUM(Table1[[#This Row],[2025]:[2018]])</f>
        <v>36825</v>
      </c>
      <c r="O453" s="2">
        <f>Table1[[#This Row],[ttl]]/SUM(Table1[ttl])</f>
        <v>7.425499728777333E-5</v>
      </c>
      <c r="P453" s="3">
        <f>SUM($O$2:Table1[[#This Row],[pctAllTimeExp]])</f>
        <v>0.97982348397935526</v>
      </c>
      <c r="Q453" t="b">
        <f>Table1[[#This Row],[cumPctAllTimeExp]]&lt;0.95</f>
        <v>0</v>
      </c>
    </row>
    <row r="454" spans="1:17" x14ac:dyDescent="0.25">
      <c r="A454">
        <v>710</v>
      </c>
      <c r="C454" t="s">
        <v>2508</v>
      </c>
      <c r="E454" t="s">
        <v>712</v>
      </c>
      <c r="F454" s="4">
        <v>0</v>
      </c>
      <c r="G454" s="4">
        <v>36745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f>SUM(Table1[[#This Row],[2025]:[2018]])</f>
        <v>36745</v>
      </c>
      <c r="O454" s="2">
        <f>Table1[[#This Row],[ttl]]/SUM(Table1[ttl])</f>
        <v>7.4093682969157665E-5</v>
      </c>
      <c r="P454" s="3">
        <f>SUM($O$2:Table1[[#This Row],[pctAllTimeExp]])</f>
        <v>0.97989757766232444</v>
      </c>
      <c r="Q454" t="b">
        <f>Table1[[#This Row],[cumPctAllTimeExp]]&lt;0.95</f>
        <v>0</v>
      </c>
    </row>
    <row r="455" spans="1:17" x14ac:dyDescent="0.25">
      <c r="A455">
        <v>175</v>
      </c>
      <c r="C455" t="s">
        <v>2508</v>
      </c>
      <c r="E455" t="s">
        <v>177</v>
      </c>
      <c r="F455" s="4">
        <v>18616.14</v>
      </c>
      <c r="G455" s="4">
        <v>0</v>
      </c>
      <c r="H455" s="4">
        <v>18127.79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f>SUM(Table1[[#This Row],[2025]:[2018]])</f>
        <v>36743.93</v>
      </c>
      <c r="O455" s="2">
        <f>Table1[[#This Row],[ttl]]/SUM(Table1[ttl])</f>
        <v>7.4091525390146176E-5</v>
      </c>
      <c r="P455" s="3">
        <f>SUM($O$2:Table1[[#This Row],[pctAllTimeExp]])</f>
        <v>0.97997166918771461</v>
      </c>
      <c r="Q455" t="b">
        <f>Table1[[#This Row],[cumPctAllTimeExp]]&lt;0.95</f>
        <v>0</v>
      </c>
    </row>
    <row r="456" spans="1:17" x14ac:dyDescent="0.25">
      <c r="A456">
        <v>119</v>
      </c>
      <c r="C456" t="s">
        <v>2508</v>
      </c>
      <c r="E456" t="s">
        <v>121</v>
      </c>
      <c r="F456" s="4">
        <v>36737.5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f>SUM(Table1[[#This Row],[2025]:[2018]])</f>
        <v>36737.5</v>
      </c>
      <c r="O456" s="2">
        <f>Table1[[#This Row],[ttl]]/SUM(Table1[ttl])</f>
        <v>7.4078559751787447E-5</v>
      </c>
      <c r="P456" s="3">
        <f>SUM($O$2:Table1[[#This Row],[pctAllTimeExp]])</f>
        <v>0.98004574774746644</v>
      </c>
      <c r="Q456" t="b">
        <f>Table1[[#This Row],[cumPctAllTimeExp]]&lt;0.95</f>
        <v>0</v>
      </c>
    </row>
    <row r="457" spans="1:17" x14ac:dyDescent="0.25">
      <c r="A457">
        <v>256</v>
      </c>
      <c r="C457" t="s">
        <v>2508</v>
      </c>
      <c r="E457" t="s">
        <v>258</v>
      </c>
      <c r="F457" s="4">
        <v>7500</v>
      </c>
      <c r="G457" s="4">
        <v>16625</v>
      </c>
      <c r="H457" s="4">
        <v>11875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f>SUM(Table1[[#This Row],[2025]:[2018]])</f>
        <v>36000</v>
      </c>
      <c r="O457" s="2">
        <f>Table1[[#This Row],[ttl]]/SUM(Table1[ttl])</f>
        <v>7.2591443377049292E-5</v>
      </c>
      <c r="P457" s="3">
        <f>SUM($O$2:Table1[[#This Row],[pctAllTimeExp]])</f>
        <v>0.98011833919084346</v>
      </c>
      <c r="Q457" t="b">
        <f>Table1[[#This Row],[cumPctAllTimeExp]]&lt;0.95</f>
        <v>0</v>
      </c>
    </row>
    <row r="458" spans="1:17" x14ac:dyDescent="0.25">
      <c r="A458">
        <v>711</v>
      </c>
      <c r="C458" t="s">
        <v>2508</v>
      </c>
      <c r="E458" t="s">
        <v>713</v>
      </c>
      <c r="F458" s="4">
        <v>0</v>
      </c>
      <c r="G458" s="4">
        <v>35855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f>SUM(Table1[[#This Row],[2025]:[2018]])</f>
        <v>35855</v>
      </c>
      <c r="O458" s="2">
        <f>Table1[[#This Row],[ttl]]/SUM(Table1[ttl])</f>
        <v>7.2299061174558386E-5</v>
      </c>
      <c r="P458" s="3">
        <f>SUM($O$2:Table1[[#This Row],[pctAllTimeExp]])</f>
        <v>0.98019063825201802</v>
      </c>
      <c r="Q458" t="b">
        <f>Table1[[#This Row],[cumPctAllTimeExp]]&lt;0.95</f>
        <v>0</v>
      </c>
    </row>
    <row r="459" spans="1:17" x14ac:dyDescent="0.25">
      <c r="A459">
        <v>728</v>
      </c>
      <c r="C459" t="s">
        <v>2508</v>
      </c>
      <c r="E459" t="s">
        <v>730</v>
      </c>
      <c r="F459" s="4">
        <v>0</v>
      </c>
      <c r="G459" s="4">
        <v>15225</v>
      </c>
      <c r="H459" s="4">
        <v>0</v>
      </c>
      <c r="I459" s="4">
        <v>0</v>
      </c>
      <c r="J459" s="4">
        <v>5575</v>
      </c>
      <c r="K459" s="4">
        <v>710</v>
      </c>
      <c r="L459" s="4">
        <v>5960</v>
      </c>
      <c r="M459" s="4">
        <v>8365</v>
      </c>
      <c r="N459" s="4">
        <f>SUM(Table1[[#This Row],[2025]:[2018]])</f>
        <v>35835</v>
      </c>
      <c r="O459" s="2">
        <f>Table1[[#This Row],[ttl]]/SUM(Table1[ttl])</f>
        <v>7.225873259490447E-5</v>
      </c>
      <c r="P459" s="3">
        <f>SUM($O$2:Table1[[#This Row],[pctAllTimeExp]])</f>
        <v>0.98026289698461289</v>
      </c>
      <c r="Q459" t="b">
        <f>Table1[[#This Row],[cumPctAllTimeExp]]&lt;0.95</f>
        <v>0</v>
      </c>
    </row>
    <row r="460" spans="1:17" x14ac:dyDescent="0.25">
      <c r="A460">
        <v>311</v>
      </c>
      <c r="C460" t="s">
        <v>2508</v>
      </c>
      <c r="E460" t="s">
        <v>313</v>
      </c>
      <c r="F460" s="4">
        <v>4488.6899999999996</v>
      </c>
      <c r="G460" s="4">
        <v>3113.91</v>
      </c>
      <c r="H460" s="4">
        <v>4976.16</v>
      </c>
      <c r="I460" s="4">
        <v>1862.23</v>
      </c>
      <c r="J460" s="4">
        <v>3221.76</v>
      </c>
      <c r="K460" s="4">
        <v>6609.18</v>
      </c>
      <c r="L460" s="4">
        <v>4245.45</v>
      </c>
      <c r="M460" s="4">
        <v>7316.78</v>
      </c>
      <c r="N460" s="4">
        <f>SUM(Table1[[#This Row],[2025]:[2018]])</f>
        <v>35834.160000000003</v>
      </c>
      <c r="O460" s="2">
        <f>Table1[[#This Row],[ttl]]/SUM(Table1[ttl])</f>
        <v>7.2257038794559019E-5</v>
      </c>
      <c r="P460" s="3">
        <f>SUM($O$2:Table1[[#This Row],[pctAllTimeExp]])</f>
        <v>0.98033515402340743</v>
      </c>
      <c r="Q460" t="b">
        <f>Table1[[#This Row],[cumPctAllTimeExp]]&lt;0.95</f>
        <v>0</v>
      </c>
    </row>
    <row r="461" spans="1:17" x14ac:dyDescent="0.25">
      <c r="A461">
        <v>2249</v>
      </c>
      <c r="C461" t="s">
        <v>2508</v>
      </c>
      <c r="E461" t="s">
        <v>2251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35653.519999999997</v>
      </c>
      <c r="N461" s="4">
        <f>SUM(Table1[[#This Row],[2025]:[2018]])</f>
        <v>35653.519999999997</v>
      </c>
      <c r="O461" s="2">
        <f>Table1[[#This Row],[ttl]]/SUM(Table1[ttl])</f>
        <v>7.1892791063124831E-5</v>
      </c>
      <c r="P461" s="3">
        <f>SUM($O$2:Table1[[#This Row],[pctAllTimeExp]])</f>
        <v>0.98040704681447055</v>
      </c>
      <c r="Q461" t="b">
        <f>Table1[[#This Row],[cumPctAllTimeExp]]&lt;0.95</f>
        <v>0</v>
      </c>
    </row>
    <row r="462" spans="1:17" x14ac:dyDescent="0.25">
      <c r="A462">
        <v>1261</v>
      </c>
      <c r="C462" t="s">
        <v>2508</v>
      </c>
      <c r="E462" t="s">
        <v>1263</v>
      </c>
      <c r="F462" s="4">
        <v>0</v>
      </c>
      <c r="G462" s="4">
        <v>0</v>
      </c>
      <c r="H462" s="4">
        <v>0</v>
      </c>
      <c r="I462" s="4">
        <v>1900</v>
      </c>
      <c r="J462" s="4">
        <v>29065</v>
      </c>
      <c r="K462" s="4">
        <v>0</v>
      </c>
      <c r="L462" s="4">
        <v>0</v>
      </c>
      <c r="M462" s="4">
        <v>4400</v>
      </c>
      <c r="N462" s="4">
        <f>SUM(Table1[[#This Row],[2025]:[2018]])</f>
        <v>35365</v>
      </c>
      <c r="O462" s="2">
        <f>Table1[[#This Row],[ttl]]/SUM(Table1[ttl])</f>
        <v>7.1311010973037443E-5</v>
      </c>
      <c r="P462" s="3">
        <f>SUM($O$2:Table1[[#This Row],[pctAllTimeExp]])</f>
        <v>0.98047835782544357</v>
      </c>
      <c r="Q462" t="b">
        <f>Table1[[#This Row],[cumPctAllTimeExp]]&lt;0.95</f>
        <v>0</v>
      </c>
    </row>
    <row r="463" spans="1:17" x14ac:dyDescent="0.25">
      <c r="A463">
        <v>737</v>
      </c>
      <c r="C463" t="s">
        <v>2508</v>
      </c>
      <c r="E463" t="s">
        <v>739</v>
      </c>
      <c r="F463" s="4">
        <v>0</v>
      </c>
      <c r="G463" s="4">
        <v>11500</v>
      </c>
      <c r="H463" s="4">
        <v>6000</v>
      </c>
      <c r="I463" s="4">
        <v>0</v>
      </c>
      <c r="J463" s="4">
        <v>0</v>
      </c>
      <c r="K463" s="4">
        <v>5700</v>
      </c>
      <c r="L463" s="4">
        <v>4900</v>
      </c>
      <c r="M463" s="4">
        <v>7000</v>
      </c>
      <c r="N463" s="4">
        <f>SUM(Table1[[#This Row],[2025]:[2018]])</f>
        <v>35100</v>
      </c>
      <c r="O463" s="2">
        <f>Table1[[#This Row],[ttl]]/SUM(Table1[ttl])</f>
        <v>7.0776657292623055E-5</v>
      </c>
      <c r="P463" s="3">
        <f>SUM($O$2:Table1[[#This Row],[pctAllTimeExp]])</f>
        <v>0.98054913448273617</v>
      </c>
      <c r="Q463" t="b">
        <f>Table1[[#This Row],[cumPctAllTimeExp]]&lt;0.95</f>
        <v>0</v>
      </c>
    </row>
    <row r="464" spans="1:17" x14ac:dyDescent="0.25">
      <c r="A464">
        <v>1411</v>
      </c>
      <c r="C464" t="s">
        <v>2508</v>
      </c>
      <c r="E464" t="s">
        <v>1413</v>
      </c>
      <c r="F464" s="4">
        <v>0</v>
      </c>
      <c r="G464" s="4">
        <v>0</v>
      </c>
      <c r="H464" s="4">
        <v>0</v>
      </c>
      <c r="I464" s="4">
        <v>0</v>
      </c>
      <c r="J464" s="4">
        <v>35082</v>
      </c>
      <c r="K464" s="4">
        <v>0</v>
      </c>
      <c r="L464" s="4">
        <v>0</v>
      </c>
      <c r="M464" s="4">
        <v>0</v>
      </c>
      <c r="N464" s="4">
        <f>SUM(Table1[[#This Row],[2025]:[2018]])</f>
        <v>35082</v>
      </c>
      <c r="O464" s="2">
        <f>Table1[[#This Row],[ttl]]/SUM(Table1[ttl])</f>
        <v>7.0740361570934533E-5</v>
      </c>
      <c r="P464" s="3">
        <f>SUM($O$2:Table1[[#This Row],[pctAllTimeExp]])</f>
        <v>0.98061987484430713</v>
      </c>
      <c r="Q464" t="b">
        <f>Table1[[#This Row],[cumPctAllTimeExp]]&lt;0.95</f>
        <v>0</v>
      </c>
    </row>
    <row r="465" spans="1:17" x14ac:dyDescent="0.25">
      <c r="A465">
        <v>121</v>
      </c>
      <c r="C465" t="s">
        <v>2508</v>
      </c>
      <c r="E465" t="s">
        <v>123</v>
      </c>
      <c r="F465" s="4">
        <v>35000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f>SUM(Table1[[#This Row],[2025]:[2018]])</f>
        <v>35000</v>
      </c>
      <c r="O465" s="2">
        <f>Table1[[#This Row],[ttl]]/SUM(Table1[ttl])</f>
        <v>7.0575014394353474E-5</v>
      </c>
      <c r="P465" s="3">
        <f>SUM($O$2:Table1[[#This Row],[pctAllTimeExp]])</f>
        <v>0.98069044985870146</v>
      </c>
      <c r="Q465" t="b">
        <f>Table1[[#This Row],[cumPctAllTimeExp]]&lt;0.95</f>
        <v>0</v>
      </c>
    </row>
    <row r="466" spans="1:17" x14ac:dyDescent="0.25">
      <c r="A466">
        <v>1008</v>
      </c>
      <c r="C466" t="s">
        <v>2508</v>
      </c>
      <c r="E466" t="s">
        <v>1010</v>
      </c>
      <c r="F466" s="4">
        <v>0</v>
      </c>
      <c r="G466" s="4">
        <v>0</v>
      </c>
      <c r="H466" s="4">
        <v>9950</v>
      </c>
      <c r="I466" s="4">
        <v>0</v>
      </c>
      <c r="J466" s="4">
        <v>25000</v>
      </c>
      <c r="K466" s="4">
        <v>0</v>
      </c>
      <c r="L466" s="4">
        <v>0</v>
      </c>
      <c r="M466" s="4">
        <v>0</v>
      </c>
      <c r="N466" s="4">
        <f>SUM(Table1[[#This Row],[2025]:[2018]])</f>
        <v>34950</v>
      </c>
      <c r="O466" s="2">
        <f>Table1[[#This Row],[ttl]]/SUM(Table1[ttl])</f>
        <v>7.0474192945218684E-5</v>
      </c>
      <c r="P466" s="3">
        <f>SUM($O$2:Table1[[#This Row],[pctAllTimeExp]])</f>
        <v>0.98076092405164672</v>
      </c>
      <c r="Q466" t="b">
        <f>Table1[[#This Row],[cumPctAllTimeExp]]&lt;0.95</f>
        <v>0</v>
      </c>
    </row>
    <row r="467" spans="1:17" x14ac:dyDescent="0.25">
      <c r="A467">
        <v>354</v>
      </c>
      <c r="C467" t="s">
        <v>2508</v>
      </c>
      <c r="E467" t="s">
        <v>356</v>
      </c>
      <c r="F467" s="4">
        <v>3055</v>
      </c>
      <c r="G467" s="4">
        <v>18850</v>
      </c>
      <c r="H467" s="4">
        <v>12850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f>SUM(Table1[[#This Row],[2025]:[2018]])</f>
        <v>34755</v>
      </c>
      <c r="O467" s="2">
        <f>Table1[[#This Row],[ttl]]/SUM(Table1[ttl])</f>
        <v>7.0080989293593002E-5</v>
      </c>
      <c r="P467" s="3">
        <f>SUM($O$2:Table1[[#This Row],[pctAllTimeExp]])</f>
        <v>0.98083100504094034</v>
      </c>
      <c r="Q467" t="b">
        <f>Table1[[#This Row],[cumPctAllTimeExp]]&lt;0.95</f>
        <v>0</v>
      </c>
    </row>
    <row r="468" spans="1:17" x14ac:dyDescent="0.25">
      <c r="A468">
        <v>1976</v>
      </c>
      <c r="C468" t="s">
        <v>2508</v>
      </c>
      <c r="E468" t="s">
        <v>1978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34650</v>
      </c>
      <c r="M468" s="4">
        <v>0</v>
      </c>
      <c r="N468" s="4">
        <f>SUM(Table1[[#This Row],[2025]:[2018]])</f>
        <v>34650</v>
      </c>
      <c r="O468" s="2">
        <f>Table1[[#This Row],[ttl]]/SUM(Table1[ttl])</f>
        <v>6.9869264250409943E-5</v>
      </c>
      <c r="P468" s="3">
        <f>SUM($O$2:Table1[[#This Row],[pctAllTimeExp]])</f>
        <v>0.9809008743051908</v>
      </c>
      <c r="Q468" t="b">
        <f>Table1[[#This Row],[cumPctAllTimeExp]]&lt;0.95</f>
        <v>0</v>
      </c>
    </row>
    <row r="469" spans="1:17" x14ac:dyDescent="0.25">
      <c r="A469">
        <v>1800</v>
      </c>
      <c r="C469" t="s">
        <v>2508</v>
      </c>
      <c r="E469" t="s">
        <v>1802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596</v>
      </c>
      <c r="L469" s="4">
        <v>19800</v>
      </c>
      <c r="M469" s="4">
        <v>14155</v>
      </c>
      <c r="N469" s="4">
        <f>SUM(Table1[[#This Row],[2025]:[2018]])</f>
        <v>34551</v>
      </c>
      <c r="O469" s="2">
        <f>Table1[[#This Row],[ttl]]/SUM(Table1[ttl])</f>
        <v>6.9669637781123053E-5</v>
      </c>
      <c r="P469" s="3">
        <f>SUM($O$2:Table1[[#This Row],[pctAllTimeExp]])</f>
        <v>0.9809705439429719</v>
      </c>
      <c r="Q469" t="b">
        <f>Table1[[#This Row],[cumPctAllTimeExp]]&lt;0.95</f>
        <v>0</v>
      </c>
    </row>
    <row r="470" spans="1:17" x14ac:dyDescent="0.25">
      <c r="A470">
        <v>257</v>
      </c>
      <c r="C470" t="s">
        <v>2508</v>
      </c>
      <c r="E470" t="s">
        <v>259</v>
      </c>
      <c r="F470" s="4">
        <v>7460</v>
      </c>
      <c r="G470" s="4">
        <v>1009.13</v>
      </c>
      <c r="H470" s="4">
        <v>5811.1</v>
      </c>
      <c r="I470" s="4">
        <v>4199.75</v>
      </c>
      <c r="J470" s="4">
        <v>3828.57</v>
      </c>
      <c r="K470" s="4">
        <v>12223.05</v>
      </c>
      <c r="L470" s="4">
        <v>0</v>
      </c>
      <c r="M470" s="4">
        <v>0</v>
      </c>
      <c r="N470" s="4">
        <f>SUM(Table1[[#This Row],[2025]:[2018]])</f>
        <v>34531.599999999999</v>
      </c>
      <c r="O470" s="2">
        <f>Table1[[#This Row],[ttl]]/SUM(Table1[ttl])</f>
        <v>6.9630519058858756E-5</v>
      </c>
      <c r="P470" s="3">
        <f>SUM($O$2:Table1[[#This Row],[pctAllTimeExp]])</f>
        <v>0.98104017446203073</v>
      </c>
      <c r="Q470" t="b">
        <f>Table1[[#This Row],[cumPctAllTimeExp]]&lt;0.95</f>
        <v>0</v>
      </c>
    </row>
    <row r="471" spans="1:17" x14ac:dyDescent="0.25">
      <c r="A471">
        <v>252</v>
      </c>
      <c r="C471" t="s">
        <v>2508</v>
      </c>
      <c r="E471" t="s">
        <v>254</v>
      </c>
      <c r="F471" s="4">
        <v>7700</v>
      </c>
      <c r="G471" s="4">
        <v>7900</v>
      </c>
      <c r="H471" s="4">
        <v>4258.34</v>
      </c>
      <c r="I471" s="4">
        <v>5229.16</v>
      </c>
      <c r="J471" s="4">
        <v>1400</v>
      </c>
      <c r="K471" s="4">
        <v>4600</v>
      </c>
      <c r="L471" s="4">
        <v>0</v>
      </c>
      <c r="M471" s="4">
        <v>3200</v>
      </c>
      <c r="N471" s="4">
        <f>SUM(Table1[[#This Row],[2025]:[2018]])</f>
        <v>34287.5</v>
      </c>
      <c r="O471" s="2">
        <f>Table1[[#This Row],[ttl]]/SUM(Table1[ttl])</f>
        <v>6.91383087441827E-5</v>
      </c>
      <c r="P471" s="3">
        <f>SUM($O$2:Table1[[#This Row],[pctAllTimeExp]])</f>
        <v>0.98110931277077496</v>
      </c>
      <c r="Q471" t="b">
        <f>Table1[[#This Row],[cumPctAllTimeExp]]&lt;0.95</f>
        <v>0</v>
      </c>
    </row>
    <row r="472" spans="1:17" x14ac:dyDescent="0.25">
      <c r="A472">
        <v>1099</v>
      </c>
      <c r="C472" t="s">
        <v>2508</v>
      </c>
      <c r="E472" t="s">
        <v>1101</v>
      </c>
      <c r="F472" s="4">
        <v>0</v>
      </c>
      <c r="G472" s="4">
        <v>0</v>
      </c>
      <c r="H472" s="4">
        <v>807.5</v>
      </c>
      <c r="I472" s="4">
        <v>0</v>
      </c>
      <c r="J472" s="4">
        <v>0</v>
      </c>
      <c r="K472" s="4">
        <v>5806.72</v>
      </c>
      <c r="L472" s="4">
        <v>23423.05</v>
      </c>
      <c r="M472" s="4">
        <v>4176.1400000000003</v>
      </c>
      <c r="N472" s="4">
        <f>SUM(Table1[[#This Row],[2025]:[2018]])</f>
        <v>34213.410000000003</v>
      </c>
      <c r="O472" s="2">
        <f>Table1[[#This Row],[ttl]]/SUM(Table1[ttl])</f>
        <v>6.8988911520854779E-5</v>
      </c>
      <c r="P472" s="3">
        <f>SUM($O$2:Table1[[#This Row],[pctAllTimeExp]])</f>
        <v>0.98117830168229581</v>
      </c>
      <c r="Q472" t="b">
        <f>Table1[[#This Row],[cumPctAllTimeExp]]&lt;0.95</f>
        <v>0</v>
      </c>
    </row>
    <row r="473" spans="1:17" x14ac:dyDescent="0.25">
      <c r="A473">
        <v>1215</v>
      </c>
      <c r="C473" t="s">
        <v>2508</v>
      </c>
      <c r="E473" t="s">
        <v>1217</v>
      </c>
      <c r="F473" s="4">
        <v>0</v>
      </c>
      <c r="G473" s="4">
        <v>0</v>
      </c>
      <c r="H473" s="4">
        <v>0</v>
      </c>
      <c r="I473" s="4">
        <v>14149</v>
      </c>
      <c r="J473" s="4">
        <v>19980</v>
      </c>
      <c r="K473" s="4">
        <v>0</v>
      </c>
      <c r="L473" s="4">
        <v>0</v>
      </c>
      <c r="M473" s="4">
        <v>0</v>
      </c>
      <c r="N473" s="4">
        <f>SUM(Table1[[#This Row],[2025]:[2018]])</f>
        <v>34129</v>
      </c>
      <c r="O473" s="2">
        <f>Table1[[#This Row],[ttl]]/SUM(Table1[ttl])</f>
        <v>6.8818704750425421E-5</v>
      </c>
      <c r="P473" s="3">
        <f>SUM($O$2:Table1[[#This Row],[pctAllTimeExp]])</f>
        <v>0.9812471203870462</v>
      </c>
      <c r="Q473" t="b">
        <f>Table1[[#This Row],[cumPctAllTimeExp]]&lt;0.95</f>
        <v>0</v>
      </c>
    </row>
    <row r="474" spans="1:17" x14ac:dyDescent="0.25">
      <c r="A474">
        <v>310</v>
      </c>
      <c r="C474" t="s">
        <v>2508</v>
      </c>
      <c r="E474" t="s">
        <v>312</v>
      </c>
      <c r="F474" s="4">
        <v>4549.83</v>
      </c>
      <c r="G474" s="4">
        <v>7881.28</v>
      </c>
      <c r="H474" s="4">
        <v>7639.76</v>
      </c>
      <c r="I474" s="4">
        <v>3169.48</v>
      </c>
      <c r="J474" s="4">
        <v>2512.79</v>
      </c>
      <c r="K474" s="4">
        <v>1615.47</v>
      </c>
      <c r="L474" s="4">
        <v>2499.1999999999998</v>
      </c>
      <c r="M474" s="4">
        <v>4236.33</v>
      </c>
      <c r="N474" s="4">
        <f>SUM(Table1[[#This Row],[2025]:[2018]])</f>
        <v>34104.140000000007</v>
      </c>
      <c r="O474" s="2">
        <f>Table1[[#This Row],[ttl]]/SUM(Table1[ttl])</f>
        <v>6.876857632591561E-5</v>
      </c>
      <c r="P474" s="3">
        <f>SUM($O$2:Table1[[#This Row],[pctAllTimeExp]])</f>
        <v>0.98131588896337207</v>
      </c>
      <c r="Q474" t="b">
        <f>Table1[[#This Row],[cumPctAllTimeExp]]&lt;0.95</f>
        <v>0</v>
      </c>
    </row>
    <row r="475" spans="1:17" x14ac:dyDescent="0.25">
      <c r="A475">
        <v>170</v>
      </c>
      <c r="C475" t="s">
        <v>2508</v>
      </c>
      <c r="E475" t="s">
        <v>172</v>
      </c>
      <c r="F475" s="4">
        <v>19308.669999999998</v>
      </c>
      <c r="G475" s="4">
        <v>0</v>
      </c>
      <c r="H475" s="4">
        <v>4199.95</v>
      </c>
      <c r="I475" s="4">
        <v>2480.98</v>
      </c>
      <c r="J475" s="4">
        <v>0</v>
      </c>
      <c r="K475" s="4">
        <v>0</v>
      </c>
      <c r="L475" s="4">
        <v>6664.68</v>
      </c>
      <c r="M475" s="4">
        <v>1277.31</v>
      </c>
      <c r="N475" s="4">
        <f>SUM(Table1[[#This Row],[2025]:[2018]])</f>
        <v>33931.589999999997</v>
      </c>
      <c r="O475" s="2">
        <f>Table1[[#This Row],[ttl]]/SUM(Table1[ttl])</f>
        <v>6.8420641504951426E-5</v>
      </c>
      <c r="P475" s="3">
        <f>SUM($O$2:Table1[[#This Row],[pctAllTimeExp]])</f>
        <v>0.98138430960487699</v>
      </c>
      <c r="Q475" t="b">
        <f>Table1[[#This Row],[cumPctAllTimeExp]]&lt;0.95</f>
        <v>0</v>
      </c>
    </row>
    <row r="476" spans="1:17" x14ac:dyDescent="0.25">
      <c r="A476">
        <v>992</v>
      </c>
      <c r="C476" t="s">
        <v>2508</v>
      </c>
      <c r="E476" t="s">
        <v>994</v>
      </c>
      <c r="F476" s="4">
        <v>0</v>
      </c>
      <c r="G476" s="4">
        <v>0</v>
      </c>
      <c r="H476" s="4">
        <v>16770</v>
      </c>
      <c r="I476" s="4">
        <v>895</v>
      </c>
      <c r="J476" s="4">
        <v>7170</v>
      </c>
      <c r="K476" s="4">
        <v>8930</v>
      </c>
      <c r="L476" s="4">
        <v>0</v>
      </c>
      <c r="M476" s="4">
        <v>0</v>
      </c>
      <c r="N476" s="4">
        <f>SUM(Table1[[#This Row],[2025]:[2018]])</f>
        <v>33765</v>
      </c>
      <c r="O476" s="2">
        <f>Table1[[#This Row],[ttl]]/SUM(Table1[ttl])</f>
        <v>6.8084724600724143E-5</v>
      </c>
      <c r="P476" s="3">
        <f>SUM($O$2:Table1[[#This Row],[pctAllTimeExp]])</f>
        <v>0.98145239432947773</v>
      </c>
      <c r="Q476" t="b">
        <f>Table1[[#This Row],[cumPctAllTimeExp]]&lt;0.95</f>
        <v>0</v>
      </c>
    </row>
    <row r="477" spans="1:17" x14ac:dyDescent="0.25">
      <c r="A477">
        <v>1662</v>
      </c>
      <c r="C477" t="s">
        <v>2508</v>
      </c>
      <c r="E477" t="s">
        <v>1664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33694.65</v>
      </c>
      <c r="L477" s="4">
        <v>0</v>
      </c>
      <c r="M477" s="4">
        <v>0</v>
      </c>
      <c r="N477" s="4">
        <f>SUM(Table1[[#This Row],[2025]:[2018]])</f>
        <v>33694.65</v>
      </c>
      <c r="O477" s="2">
        <f>Table1[[#This Row],[ttl]]/SUM(Table1[ttl])</f>
        <v>6.7942868821791496E-5</v>
      </c>
      <c r="P477" s="3">
        <f>SUM($O$2:Table1[[#This Row],[pctAllTimeExp]])</f>
        <v>0.98152033719829956</v>
      </c>
      <c r="Q477" t="b">
        <f>Table1[[#This Row],[cumPctAllTimeExp]]&lt;0.95</f>
        <v>0</v>
      </c>
    </row>
    <row r="478" spans="1:17" x14ac:dyDescent="0.25">
      <c r="A478">
        <v>264</v>
      </c>
      <c r="C478" t="s">
        <v>2508</v>
      </c>
      <c r="E478" t="s">
        <v>266</v>
      </c>
      <c r="F478" s="4">
        <v>7184.28</v>
      </c>
      <c r="G478" s="4">
        <v>2938.17</v>
      </c>
      <c r="H478" s="4">
        <v>4738.47</v>
      </c>
      <c r="I478" s="4">
        <v>4540.76</v>
      </c>
      <c r="J478" s="4">
        <v>3215.48</v>
      </c>
      <c r="K478" s="4">
        <v>2862.08</v>
      </c>
      <c r="L478" s="4">
        <v>3297.42</v>
      </c>
      <c r="M478" s="4">
        <v>4620.2</v>
      </c>
      <c r="N478" s="4">
        <f>SUM(Table1[[#This Row],[2025]:[2018]])</f>
        <v>33396.859999999993</v>
      </c>
      <c r="O478" s="2">
        <f>Table1[[#This Row],[ttl]]/SUM(Table1[ttl])</f>
        <v>6.7342396435034492E-5</v>
      </c>
      <c r="P478" s="3">
        <f>SUM($O$2:Table1[[#This Row],[pctAllTimeExp]])</f>
        <v>0.98158767959473459</v>
      </c>
      <c r="Q478" t="b">
        <f>Table1[[#This Row],[cumPctAllTimeExp]]&lt;0.95</f>
        <v>0</v>
      </c>
    </row>
    <row r="479" spans="1:17" x14ac:dyDescent="0.25">
      <c r="A479">
        <v>164</v>
      </c>
      <c r="C479" t="s">
        <v>2508</v>
      </c>
      <c r="E479" t="s">
        <v>166</v>
      </c>
      <c r="F479" s="4">
        <v>21000</v>
      </c>
      <c r="G479" s="4">
        <v>0</v>
      </c>
      <c r="H479" s="4">
        <v>0</v>
      </c>
      <c r="I479" s="4">
        <v>0</v>
      </c>
      <c r="J479" s="4">
        <v>12300</v>
      </c>
      <c r="K479" s="4">
        <v>0</v>
      </c>
      <c r="L479" s="4">
        <v>0</v>
      </c>
      <c r="M479" s="4">
        <v>0</v>
      </c>
      <c r="N479" s="4">
        <f>SUM(Table1[[#This Row],[2025]:[2018]])</f>
        <v>33300</v>
      </c>
      <c r="O479" s="2">
        <f>Table1[[#This Row],[ttl]]/SUM(Table1[ttl])</f>
        <v>6.7147085123770594E-5</v>
      </c>
      <c r="P479" s="3">
        <f>SUM($O$2:Table1[[#This Row],[pctAllTimeExp]])</f>
        <v>0.98165482667985837</v>
      </c>
      <c r="Q479" t="b">
        <f>Table1[[#This Row],[cumPctAllTimeExp]]&lt;0.95</f>
        <v>0</v>
      </c>
    </row>
    <row r="480" spans="1:17" x14ac:dyDescent="0.25">
      <c r="A480">
        <v>435</v>
      </c>
      <c r="C480" t="s">
        <v>2508</v>
      </c>
      <c r="E480" t="s">
        <v>437</v>
      </c>
      <c r="F480" s="4">
        <v>1400</v>
      </c>
      <c r="G480" s="4">
        <v>0</v>
      </c>
      <c r="H480" s="4">
        <v>0</v>
      </c>
      <c r="I480" s="4">
        <v>5904</v>
      </c>
      <c r="J480" s="4">
        <v>0</v>
      </c>
      <c r="K480" s="4">
        <v>4706</v>
      </c>
      <c r="L480" s="4">
        <v>18826</v>
      </c>
      <c r="M480" s="4">
        <v>2393</v>
      </c>
      <c r="N480" s="4">
        <f>SUM(Table1[[#This Row],[2025]:[2018]])</f>
        <v>33229</v>
      </c>
      <c r="O480" s="2">
        <f>Table1[[#This Row],[ttl]]/SUM(Table1[ttl])</f>
        <v>6.7003918665999184E-5</v>
      </c>
      <c r="P480" s="3">
        <f>SUM($O$2:Table1[[#This Row],[pctAllTimeExp]])</f>
        <v>0.98172183059852436</v>
      </c>
      <c r="Q480" t="b">
        <f>Table1[[#This Row],[cumPctAllTimeExp]]&lt;0.95</f>
        <v>0</v>
      </c>
    </row>
    <row r="481" spans="1:17" x14ac:dyDescent="0.25">
      <c r="A481">
        <v>188</v>
      </c>
      <c r="C481" t="s">
        <v>2508</v>
      </c>
      <c r="E481" t="s">
        <v>190</v>
      </c>
      <c r="F481" s="4">
        <v>16430</v>
      </c>
      <c r="G481" s="4">
        <v>0</v>
      </c>
      <c r="H481" s="4">
        <v>0</v>
      </c>
      <c r="I481" s="4">
        <v>1090</v>
      </c>
      <c r="J481" s="4">
        <v>625</v>
      </c>
      <c r="K481" s="4">
        <v>0</v>
      </c>
      <c r="L481" s="4">
        <v>15010</v>
      </c>
      <c r="M481" s="4">
        <v>0</v>
      </c>
      <c r="N481" s="4">
        <f>SUM(Table1[[#This Row],[2025]:[2018]])</f>
        <v>33155</v>
      </c>
      <c r="O481" s="2">
        <f>Table1[[#This Row],[ttl]]/SUM(Table1[ttl])</f>
        <v>6.6854702921279702E-5</v>
      </c>
      <c r="P481" s="3">
        <f>SUM($O$2:Table1[[#This Row],[pctAllTimeExp]])</f>
        <v>0.98178868530144559</v>
      </c>
      <c r="Q481" t="b">
        <f>Table1[[#This Row],[cumPctAllTimeExp]]&lt;0.95</f>
        <v>0</v>
      </c>
    </row>
    <row r="482" spans="1:17" x14ac:dyDescent="0.25">
      <c r="A482">
        <v>169</v>
      </c>
      <c r="C482" t="s">
        <v>2508</v>
      </c>
      <c r="E482" t="s">
        <v>171</v>
      </c>
      <c r="F482" s="4">
        <v>19450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8075</v>
      </c>
      <c r="M482" s="4">
        <v>5563</v>
      </c>
      <c r="N482" s="4">
        <f>SUM(Table1[[#This Row],[2025]:[2018]])</f>
        <v>33088</v>
      </c>
      <c r="O482" s="2">
        <f>Table1[[#This Row],[ttl]]/SUM(Table1[ttl])</f>
        <v>6.6719602179439081E-5</v>
      </c>
      <c r="P482" s="3">
        <f>SUM($O$2:Table1[[#This Row],[pctAllTimeExp]])</f>
        <v>0.981855404903625</v>
      </c>
      <c r="Q482" t="b">
        <f>Table1[[#This Row],[cumPctAllTimeExp]]&lt;0.95</f>
        <v>0</v>
      </c>
    </row>
    <row r="483" spans="1:17" x14ac:dyDescent="0.25">
      <c r="A483">
        <v>1042</v>
      </c>
      <c r="C483" t="s">
        <v>2508</v>
      </c>
      <c r="E483" t="s">
        <v>1044</v>
      </c>
      <c r="F483" s="4">
        <v>0</v>
      </c>
      <c r="G483" s="4">
        <v>0</v>
      </c>
      <c r="H483" s="4">
        <v>4505</v>
      </c>
      <c r="I483" s="4">
        <v>24100</v>
      </c>
      <c r="J483" s="4">
        <v>4176.72</v>
      </c>
      <c r="K483" s="4">
        <v>0</v>
      </c>
      <c r="L483" s="4">
        <v>0</v>
      </c>
      <c r="M483" s="4">
        <v>0</v>
      </c>
      <c r="N483" s="4">
        <f>SUM(Table1[[#This Row],[2025]:[2018]])</f>
        <v>32781.72</v>
      </c>
      <c r="O483" s="2">
        <f>Table1[[#This Row],[ttl]]/SUM(Table1[ttl])</f>
        <v>6.6102010310619002E-5</v>
      </c>
      <c r="P483" s="3">
        <f>SUM($O$2:Table1[[#This Row],[pctAllTimeExp]])</f>
        <v>0.98192150691393565</v>
      </c>
      <c r="Q483" t="b">
        <f>Table1[[#This Row],[cumPctAllTimeExp]]&lt;0.95</f>
        <v>0</v>
      </c>
    </row>
    <row r="484" spans="1:17" x14ac:dyDescent="0.25">
      <c r="A484">
        <v>769</v>
      </c>
      <c r="C484" t="s">
        <v>2508</v>
      </c>
      <c r="E484" t="s">
        <v>771</v>
      </c>
      <c r="F484" s="4">
        <v>0</v>
      </c>
      <c r="G484" s="4">
        <v>4595</v>
      </c>
      <c r="H484" s="4">
        <v>27715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f>SUM(Table1[[#This Row],[2025]:[2018]])</f>
        <v>32310</v>
      </c>
      <c r="O484" s="2">
        <f>Table1[[#This Row],[ttl]]/SUM(Table1[ttl])</f>
        <v>6.5150820430901735E-5</v>
      </c>
      <c r="P484" s="3">
        <f>SUM($O$2:Table1[[#This Row],[pctAllTimeExp]])</f>
        <v>0.98198665773436655</v>
      </c>
      <c r="Q484" t="b">
        <f>Table1[[#This Row],[cumPctAllTimeExp]]&lt;0.95</f>
        <v>0</v>
      </c>
    </row>
    <row r="485" spans="1:17" x14ac:dyDescent="0.25">
      <c r="A485">
        <v>1412</v>
      </c>
      <c r="C485" t="s">
        <v>2508</v>
      </c>
      <c r="E485" t="s">
        <v>1414</v>
      </c>
      <c r="F485" s="4">
        <v>0</v>
      </c>
      <c r="G485" s="4">
        <v>0</v>
      </c>
      <c r="H485" s="4">
        <v>0</v>
      </c>
      <c r="I485" s="4">
        <v>0</v>
      </c>
      <c r="J485" s="4">
        <v>32260</v>
      </c>
      <c r="K485" s="4">
        <v>0</v>
      </c>
      <c r="L485" s="4">
        <v>0</v>
      </c>
      <c r="M485" s="4">
        <v>0</v>
      </c>
      <c r="N485" s="4">
        <f>SUM(Table1[[#This Row],[2025]:[2018]])</f>
        <v>32260</v>
      </c>
      <c r="O485" s="2">
        <f>Table1[[#This Row],[ttl]]/SUM(Table1[ttl])</f>
        <v>6.5049998981766944E-5</v>
      </c>
      <c r="P485" s="3">
        <f>SUM($O$2:Table1[[#This Row],[pctAllTimeExp]])</f>
        <v>0.98205170773334827</v>
      </c>
      <c r="Q485" t="b">
        <f>Table1[[#This Row],[cumPctAllTimeExp]]&lt;0.95</f>
        <v>0</v>
      </c>
    </row>
    <row r="486" spans="1:17" x14ac:dyDescent="0.25">
      <c r="A486">
        <v>1977</v>
      </c>
      <c r="C486" t="s">
        <v>2508</v>
      </c>
      <c r="E486" t="s">
        <v>1979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32194</v>
      </c>
      <c r="M486" s="4">
        <v>0</v>
      </c>
      <c r="N486" s="4">
        <f>SUM(Table1[[#This Row],[2025]:[2018]])</f>
        <v>32194</v>
      </c>
      <c r="O486" s="2">
        <f>Table1[[#This Row],[ttl]]/SUM(Table1[ttl])</f>
        <v>6.4916914668909013E-5</v>
      </c>
      <c r="P486" s="3">
        <f>SUM($O$2:Table1[[#This Row],[pctAllTimeExp]])</f>
        <v>0.98211662464801719</v>
      </c>
      <c r="Q486" t="b">
        <f>Table1[[#This Row],[cumPctAllTimeExp]]&lt;0.95</f>
        <v>0</v>
      </c>
    </row>
    <row r="487" spans="1:17" x14ac:dyDescent="0.25">
      <c r="A487">
        <v>525</v>
      </c>
      <c r="C487" t="s">
        <v>2508</v>
      </c>
      <c r="E487" t="s">
        <v>527</v>
      </c>
      <c r="F487" s="4">
        <v>608.76</v>
      </c>
      <c r="G487" s="4">
        <v>3604.6</v>
      </c>
      <c r="H487" s="4">
        <v>2659.85</v>
      </c>
      <c r="I487" s="4">
        <v>7708.33</v>
      </c>
      <c r="J487" s="4">
        <v>6122.16</v>
      </c>
      <c r="K487" s="4">
        <v>1104.55</v>
      </c>
      <c r="L487" s="4">
        <v>6644.04</v>
      </c>
      <c r="M487" s="4">
        <v>3372.52</v>
      </c>
      <c r="N487" s="4">
        <f>SUM(Table1[[#This Row],[2025]:[2018]])</f>
        <v>31824.809999999998</v>
      </c>
      <c r="O487" s="2">
        <f>Table1[[#This Row],[ttl]]/SUM(Table1[ttl])</f>
        <v>6.4172469252787542E-5</v>
      </c>
      <c r="P487" s="3">
        <f>SUM($O$2:Table1[[#This Row],[pctAllTimeExp]])</f>
        <v>0.98218079711727002</v>
      </c>
      <c r="Q487" t="b">
        <f>Table1[[#This Row],[cumPctAllTimeExp]]&lt;0.95</f>
        <v>0</v>
      </c>
    </row>
    <row r="488" spans="1:17" x14ac:dyDescent="0.25">
      <c r="A488">
        <v>177</v>
      </c>
      <c r="C488" t="s">
        <v>2508</v>
      </c>
      <c r="E488" t="s">
        <v>179</v>
      </c>
      <c r="F488" s="4">
        <v>18484.61</v>
      </c>
      <c r="G488" s="4">
        <v>0</v>
      </c>
      <c r="H488" s="4">
        <v>903.74</v>
      </c>
      <c r="I488" s="4">
        <v>8108</v>
      </c>
      <c r="J488" s="4">
        <v>0</v>
      </c>
      <c r="K488" s="4">
        <v>0</v>
      </c>
      <c r="L488" s="4">
        <v>0</v>
      </c>
      <c r="M488" s="4">
        <v>4171.6099999999997</v>
      </c>
      <c r="N488" s="4">
        <f>SUM(Table1[[#This Row],[2025]:[2018]])</f>
        <v>31667.960000000003</v>
      </c>
      <c r="O488" s="2">
        <f>Table1[[#This Row],[ttl]]/SUM(Table1[ttl])</f>
        <v>6.3856192366851716E-5</v>
      </c>
      <c r="P488" s="3">
        <f>SUM($O$2:Table1[[#This Row],[pctAllTimeExp]])</f>
        <v>0.98224465330963684</v>
      </c>
      <c r="Q488" t="b">
        <f>Table1[[#This Row],[cumPctAllTimeExp]]&lt;0.95</f>
        <v>0</v>
      </c>
    </row>
    <row r="489" spans="1:17" x14ac:dyDescent="0.25">
      <c r="A489">
        <v>340</v>
      </c>
      <c r="C489" t="s">
        <v>2508</v>
      </c>
      <c r="E489" t="s">
        <v>342</v>
      </c>
      <c r="F489" s="4">
        <v>3375.5</v>
      </c>
      <c r="G489" s="4">
        <v>28172.5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f>SUM(Table1[[#This Row],[2025]:[2018]])</f>
        <v>31548</v>
      </c>
      <c r="O489" s="2">
        <f>Table1[[#This Row],[ttl]]/SUM(Table1[ttl])</f>
        <v>6.3614301546087529E-5</v>
      </c>
      <c r="P489" s="3">
        <f>SUM($O$2:Table1[[#This Row],[pctAllTimeExp]])</f>
        <v>0.98230826761118295</v>
      </c>
      <c r="Q489" t="b">
        <f>Table1[[#This Row],[cumPctAllTimeExp]]&lt;0.95</f>
        <v>0</v>
      </c>
    </row>
    <row r="490" spans="1:17" x14ac:dyDescent="0.25">
      <c r="A490">
        <v>155</v>
      </c>
      <c r="C490" t="s">
        <v>2508</v>
      </c>
      <c r="E490" t="s">
        <v>157</v>
      </c>
      <c r="F490" s="4">
        <v>23100</v>
      </c>
      <c r="G490" s="4">
        <v>0</v>
      </c>
      <c r="H490" s="4">
        <v>0</v>
      </c>
      <c r="I490" s="4">
        <v>0</v>
      </c>
      <c r="J490" s="4">
        <v>0</v>
      </c>
      <c r="K490" s="4">
        <v>3893.99</v>
      </c>
      <c r="L490" s="4">
        <v>2232.4699999999998</v>
      </c>
      <c r="M490" s="4">
        <v>2115.59</v>
      </c>
      <c r="N490" s="4">
        <f>SUM(Table1[[#This Row],[2025]:[2018]])</f>
        <v>31342.05</v>
      </c>
      <c r="O490" s="2">
        <f>Table1[[#This Row],[ttl]]/SUM(Table1[ttl])</f>
        <v>6.3199017997101316E-5</v>
      </c>
      <c r="P490" s="3">
        <f>SUM($O$2:Table1[[#This Row],[pctAllTimeExp]])</f>
        <v>0.98237146662918007</v>
      </c>
      <c r="Q490" t="b">
        <f>Table1[[#This Row],[cumPctAllTimeExp]]&lt;0.95</f>
        <v>0</v>
      </c>
    </row>
    <row r="491" spans="1:17" x14ac:dyDescent="0.25">
      <c r="A491">
        <v>202</v>
      </c>
      <c r="C491" t="s">
        <v>2508</v>
      </c>
      <c r="E491" t="s">
        <v>204</v>
      </c>
      <c r="F491" s="4">
        <v>14120.27</v>
      </c>
      <c r="G491" s="4">
        <v>7381.91</v>
      </c>
      <c r="H491" s="4">
        <v>7738.44</v>
      </c>
      <c r="I491" s="4">
        <v>2088.56</v>
      </c>
      <c r="J491" s="4">
        <v>0</v>
      </c>
      <c r="K491" s="4">
        <v>0</v>
      </c>
      <c r="L491" s="4">
        <v>0</v>
      </c>
      <c r="M491" s="4">
        <v>0</v>
      </c>
      <c r="N491" s="4">
        <f>SUM(Table1[[#This Row],[2025]:[2018]])</f>
        <v>31329.18</v>
      </c>
      <c r="O491" s="2">
        <f>Table1[[#This Row],[ttl]]/SUM(Table1[ttl])</f>
        <v>6.3173066556094023E-5</v>
      </c>
      <c r="P491" s="3">
        <f>SUM($O$2:Table1[[#This Row],[pctAllTimeExp]])</f>
        <v>0.98243463969573619</v>
      </c>
      <c r="Q491" t="b">
        <f>Table1[[#This Row],[cumPctAllTimeExp]]&lt;0.95</f>
        <v>0</v>
      </c>
    </row>
    <row r="492" spans="1:17" x14ac:dyDescent="0.25">
      <c r="A492">
        <v>1488</v>
      </c>
      <c r="C492" t="s">
        <v>2508</v>
      </c>
      <c r="E492" t="s">
        <v>1490</v>
      </c>
      <c r="F492" s="4">
        <v>0</v>
      </c>
      <c r="G492" s="4">
        <v>0</v>
      </c>
      <c r="H492" s="4">
        <v>0</v>
      </c>
      <c r="I492" s="4">
        <v>0</v>
      </c>
      <c r="J492" s="4">
        <v>975</v>
      </c>
      <c r="K492" s="4">
        <v>6675</v>
      </c>
      <c r="L492" s="4">
        <v>23585</v>
      </c>
      <c r="M492" s="4">
        <v>0</v>
      </c>
      <c r="N492" s="4">
        <f>SUM(Table1[[#This Row],[2025]:[2018]])</f>
        <v>31235</v>
      </c>
      <c r="O492" s="2">
        <f>Table1[[#This Row],[ttl]]/SUM(Table1[ttl])</f>
        <v>6.2983159274503732E-5</v>
      </c>
      <c r="P492" s="3">
        <f>SUM($O$2:Table1[[#This Row],[pctAllTimeExp]])</f>
        <v>0.98249762285501074</v>
      </c>
      <c r="Q492" t="b">
        <f>Table1[[#This Row],[cumPctAllTimeExp]]&lt;0.95</f>
        <v>0</v>
      </c>
    </row>
    <row r="493" spans="1:17" x14ac:dyDescent="0.25">
      <c r="A493">
        <v>316</v>
      </c>
      <c r="C493" t="s">
        <v>2508</v>
      </c>
      <c r="E493" t="s">
        <v>318</v>
      </c>
      <c r="F493" s="4">
        <v>4286.99</v>
      </c>
      <c r="G493" s="4">
        <v>683</v>
      </c>
      <c r="H493" s="4">
        <v>467</v>
      </c>
      <c r="I493" s="4">
        <v>22524.01</v>
      </c>
      <c r="J493" s="4">
        <v>2970</v>
      </c>
      <c r="K493" s="4">
        <v>0</v>
      </c>
      <c r="L493" s="4">
        <v>0</v>
      </c>
      <c r="M493" s="4">
        <v>141.18</v>
      </c>
      <c r="N493" s="4">
        <f>SUM(Table1[[#This Row],[2025]:[2018]])</f>
        <v>31072.18</v>
      </c>
      <c r="O493" s="2">
        <f>Table1[[#This Row],[ttl]]/SUM(Table1[ttl])</f>
        <v>6.2654844307541199E-5</v>
      </c>
      <c r="P493" s="3">
        <f>SUM($O$2:Table1[[#This Row],[pctAllTimeExp]])</f>
        <v>0.98256027769931831</v>
      </c>
      <c r="Q493" t="b">
        <f>Table1[[#This Row],[cumPctAllTimeExp]]&lt;0.95</f>
        <v>0</v>
      </c>
    </row>
    <row r="494" spans="1:17" x14ac:dyDescent="0.25">
      <c r="A494">
        <v>1098</v>
      </c>
      <c r="C494" t="s">
        <v>2508</v>
      </c>
      <c r="E494" t="s">
        <v>1100</v>
      </c>
      <c r="F494" s="4">
        <v>0</v>
      </c>
      <c r="G494" s="4">
        <v>0</v>
      </c>
      <c r="H494" s="4">
        <v>847</v>
      </c>
      <c r="I494" s="4">
        <v>305.94</v>
      </c>
      <c r="J494" s="4">
        <v>0</v>
      </c>
      <c r="K494" s="4">
        <v>0</v>
      </c>
      <c r="L494" s="4">
        <v>0</v>
      </c>
      <c r="M494" s="4">
        <v>29848.35</v>
      </c>
      <c r="N494" s="4">
        <f>SUM(Table1[[#This Row],[2025]:[2018]])</f>
        <v>31001.289999999997</v>
      </c>
      <c r="O494" s="2">
        <f>Table1[[#This Row],[ttl]]/SUM(Table1[ttl])</f>
        <v>6.2511899656957884E-5</v>
      </c>
      <c r="P494" s="3">
        <f>SUM($O$2:Table1[[#This Row],[pctAllTimeExp]])</f>
        <v>0.98262278959897531</v>
      </c>
      <c r="Q494" t="b">
        <f>Table1[[#This Row],[cumPctAllTimeExp]]&lt;0.95</f>
        <v>0</v>
      </c>
    </row>
    <row r="495" spans="1:17" x14ac:dyDescent="0.25">
      <c r="A495">
        <v>1664</v>
      </c>
      <c r="C495" t="s">
        <v>2508</v>
      </c>
      <c r="E495" t="s">
        <v>1666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28375.45</v>
      </c>
      <c r="L495" s="4">
        <v>0</v>
      </c>
      <c r="M495" s="4">
        <v>2604.2800000000002</v>
      </c>
      <c r="N495" s="4">
        <f>SUM(Table1[[#This Row],[2025]:[2018]])</f>
        <v>30979.73</v>
      </c>
      <c r="O495" s="2">
        <f>Table1[[#This Row],[ttl]]/SUM(Table1[ttl])</f>
        <v>6.2468425448090968E-5</v>
      </c>
      <c r="P495" s="3">
        <f>SUM($O$2:Table1[[#This Row],[pctAllTimeExp]])</f>
        <v>0.98268525802442341</v>
      </c>
      <c r="Q495" t="b">
        <f>Table1[[#This Row],[cumPctAllTimeExp]]&lt;0.95</f>
        <v>0</v>
      </c>
    </row>
    <row r="496" spans="1:17" x14ac:dyDescent="0.25">
      <c r="A496">
        <v>1413</v>
      </c>
      <c r="C496" t="s">
        <v>2508</v>
      </c>
      <c r="E496" t="s">
        <v>1415</v>
      </c>
      <c r="F496" s="4">
        <v>0</v>
      </c>
      <c r="G496" s="4">
        <v>0</v>
      </c>
      <c r="H496" s="4">
        <v>0</v>
      </c>
      <c r="I496" s="4">
        <v>0</v>
      </c>
      <c r="J496" s="4">
        <v>30138.75</v>
      </c>
      <c r="K496" s="4">
        <v>0</v>
      </c>
      <c r="L496" s="4">
        <v>0</v>
      </c>
      <c r="M496" s="4">
        <v>0</v>
      </c>
      <c r="N496" s="4">
        <f>SUM(Table1[[#This Row],[2025]:[2018]])</f>
        <v>30138.75</v>
      </c>
      <c r="O496" s="2">
        <f>Table1[[#This Row],[ttl]]/SUM(Table1[ttl])</f>
        <v>6.077264900222345E-5</v>
      </c>
      <c r="P496" s="3">
        <f>SUM($O$2:Table1[[#This Row],[pctAllTimeExp]])</f>
        <v>0.98274603067342559</v>
      </c>
      <c r="Q496" t="b">
        <f>Table1[[#This Row],[cumPctAllTimeExp]]&lt;0.95</f>
        <v>0</v>
      </c>
    </row>
    <row r="497" spans="1:17" x14ac:dyDescent="0.25">
      <c r="A497">
        <v>190</v>
      </c>
      <c r="C497" t="s">
        <v>2508</v>
      </c>
      <c r="E497" t="s">
        <v>192</v>
      </c>
      <c r="F497" s="4">
        <v>15639.75</v>
      </c>
      <c r="G497" s="4">
        <v>3303</v>
      </c>
      <c r="H497" s="4">
        <v>3179.5</v>
      </c>
      <c r="I497" s="4">
        <v>4619</v>
      </c>
      <c r="J497" s="4">
        <v>2476</v>
      </c>
      <c r="K497" s="4">
        <v>200</v>
      </c>
      <c r="L497" s="4">
        <v>148</v>
      </c>
      <c r="M497" s="4">
        <v>539.75</v>
      </c>
      <c r="N497" s="4">
        <f>SUM(Table1[[#This Row],[2025]:[2018]])</f>
        <v>30105</v>
      </c>
      <c r="O497" s="2">
        <f>Table1[[#This Row],[ttl]]/SUM(Table1[ttl])</f>
        <v>6.0704594524057467E-5</v>
      </c>
      <c r="P497" s="3">
        <f>SUM($O$2:Table1[[#This Row],[pctAllTimeExp]])</f>
        <v>0.98280673526794959</v>
      </c>
      <c r="Q497" t="b">
        <f>Table1[[#This Row],[cumPctAllTimeExp]]&lt;0.95</f>
        <v>0</v>
      </c>
    </row>
    <row r="498" spans="1:17" x14ac:dyDescent="0.25">
      <c r="A498">
        <v>176</v>
      </c>
      <c r="C498" t="s">
        <v>2508</v>
      </c>
      <c r="E498" t="s">
        <v>178</v>
      </c>
      <c r="F498" s="4">
        <v>18579</v>
      </c>
      <c r="G498" s="4">
        <v>11480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f>SUM(Table1[[#This Row],[2025]:[2018]])</f>
        <v>30059</v>
      </c>
      <c r="O498" s="2">
        <f>Table1[[#This Row],[ttl]]/SUM(Table1[ttl])</f>
        <v>6.0611838790853458E-5</v>
      </c>
      <c r="P498" s="3">
        <f>SUM($O$2:Table1[[#This Row],[pctAllTimeExp]])</f>
        <v>0.9828673471067404</v>
      </c>
      <c r="Q498" t="b">
        <f>Table1[[#This Row],[cumPctAllTimeExp]]&lt;0.95</f>
        <v>0</v>
      </c>
    </row>
    <row r="499" spans="1:17" x14ac:dyDescent="0.25">
      <c r="A499">
        <v>225</v>
      </c>
      <c r="C499" t="s">
        <v>2508</v>
      </c>
      <c r="E499" t="s">
        <v>227</v>
      </c>
      <c r="F499" s="4">
        <v>10000</v>
      </c>
      <c r="G499" s="4">
        <v>10000</v>
      </c>
      <c r="H499" s="4">
        <v>10000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f>SUM(Table1[[#This Row],[2025]:[2018]])</f>
        <v>30000</v>
      </c>
      <c r="O499" s="2">
        <f>Table1[[#This Row],[ttl]]/SUM(Table1[ttl])</f>
        <v>6.0492869480874407E-5</v>
      </c>
      <c r="P499" s="3">
        <f>SUM($O$2:Table1[[#This Row],[pctAllTimeExp]])</f>
        <v>0.98292783997622124</v>
      </c>
      <c r="Q499" t="b">
        <f>Table1[[#This Row],[cumPctAllTimeExp]]&lt;0.95</f>
        <v>0</v>
      </c>
    </row>
    <row r="500" spans="1:17" x14ac:dyDescent="0.25">
      <c r="A500">
        <v>271</v>
      </c>
      <c r="C500" t="s">
        <v>2508</v>
      </c>
      <c r="E500" t="s">
        <v>273</v>
      </c>
      <c r="F500" s="4">
        <v>6709</v>
      </c>
      <c r="G500" s="4">
        <v>0</v>
      </c>
      <c r="H500" s="4">
        <v>8782.25</v>
      </c>
      <c r="I500" s="4">
        <v>14364.25</v>
      </c>
      <c r="J500" s="4">
        <v>0</v>
      </c>
      <c r="K500" s="4">
        <v>0</v>
      </c>
      <c r="L500" s="4">
        <v>0</v>
      </c>
      <c r="M500" s="4">
        <v>0</v>
      </c>
      <c r="N500" s="4">
        <f>SUM(Table1[[#This Row],[2025]:[2018]])</f>
        <v>29855.5</v>
      </c>
      <c r="O500" s="2">
        <f>Table1[[#This Row],[ttl]]/SUM(Table1[ttl])</f>
        <v>6.0201495492874861E-5</v>
      </c>
      <c r="P500" s="3">
        <f>SUM($O$2:Table1[[#This Row],[pctAllTimeExp]])</f>
        <v>0.98298804147171415</v>
      </c>
      <c r="Q500" t="b">
        <f>Table1[[#This Row],[cumPctAllTimeExp]]&lt;0.95</f>
        <v>0</v>
      </c>
    </row>
    <row r="501" spans="1:17" x14ac:dyDescent="0.25">
      <c r="A501">
        <v>2250</v>
      </c>
      <c r="C501" t="s">
        <v>2508</v>
      </c>
      <c r="E501" t="s">
        <v>2252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29790</v>
      </c>
      <c r="N501" s="4">
        <f>SUM(Table1[[#This Row],[2025]:[2018]])</f>
        <v>29790</v>
      </c>
      <c r="O501" s="2">
        <f>Table1[[#This Row],[ttl]]/SUM(Table1[ttl])</f>
        <v>6.0069419394508282E-5</v>
      </c>
      <c r="P501" s="3">
        <f>SUM($O$2:Table1[[#This Row],[pctAllTimeExp]])</f>
        <v>0.98304811089110866</v>
      </c>
      <c r="Q501" t="b">
        <f>Table1[[#This Row],[cumPctAllTimeExp]]&lt;0.95</f>
        <v>0</v>
      </c>
    </row>
    <row r="502" spans="1:17" x14ac:dyDescent="0.25">
      <c r="A502">
        <v>334</v>
      </c>
      <c r="C502" t="s">
        <v>2508</v>
      </c>
      <c r="E502" t="s">
        <v>336</v>
      </c>
      <c r="F502" s="4">
        <v>3565.69</v>
      </c>
      <c r="G502" s="4">
        <v>4408.75</v>
      </c>
      <c r="H502" s="4">
        <v>4755.3500000000004</v>
      </c>
      <c r="I502" s="4">
        <v>3993.22</v>
      </c>
      <c r="J502" s="4">
        <v>2781.9</v>
      </c>
      <c r="K502" s="4">
        <v>3729.5</v>
      </c>
      <c r="L502" s="4">
        <v>3857.75</v>
      </c>
      <c r="M502" s="4">
        <v>2686.56</v>
      </c>
      <c r="N502" s="4">
        <f>SUM(Table1[[#This Row],[2025]:[2018]])</f>
        <v>29778.720000000005</v>
      </c>
      <c r="O502" s="2">
        <f>Table1[[#This Row],[ttl]]/SUM(Table1[ttl])</f>
        <v>6.0046674075583485E-5</v>
      </c>
      <c r="P502" s="3">
        <f>SUM($O$2:Table1[[#This Row],[pctAllTimeExp]])</f>
        <v>0.98310815756518422</v>
      </c>
      <c r="Q502" t="b">
        <f>Table1[[#This Row],[cumPctAllTimeExp]]&lt;0.95</f>
        <v>0</v>
      </c>
    </row>
    <row r="503" spans="1:17" x14ac:dyDescent="0.25">
      <c r="A503">
        <v>976</v>
      </c>
      <c r="C503" t="s">
        <v>2508</v>
      </c>
      <c r="E503" t="s">
        <v>978</v>
      </c>
      <c r="F503" s="4">
        <v>0</v>
      </c>
      <c r="G503" s="4">
        <v>0</v>
      </c>
      <c r="H503" s="4">
        <v>29579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f>SUM(Table1[[#This Row],[2025]:[2018]])</f>
        <v>29579</v>
      </c>
      <c r="O503" s="2">
        <f>Table1[[#This Row],[ttl]]/SUM(Table1[ttl])</f>
        <v>5.9643952879159466E-5</v>
      </c>
      <c r="P503" s="3">
        <f>SUM($O$2:Table1[[#This Row],[pctAllTimeExp]])</f>
        <v>0.98316780151806338</v>
      </c>
      <c r="Q503" t="b">
        <f>Table1[[#This Row],[cumPctAllTimeExp]]&lt;0.95</f>
        <v>0</v>
      </c>
    </row>
    <row r="504" spans="1:17" x14ac:dyDescent="0.25">
      <c r="A504">
        <v>445</v>
      </c>
      <c r="C504" t="s">
        <v>2508</v>
      </c>
      <c r="E504" t="s">
        <v>447</v>
      </c>
      <c r="F504" s="4">
        <v>1258.74</v>
      </c>
      <c r="G504" s="4">
        <v>2714.42</v>
      </c>
      <c r="H504" s="4">
        <v>25192.48</v>
      </c>
      <c r="I504" s="4">
        <v>343.46</v>
      </c>
      <c r="J504" s="4">
        <v>0</v>
      </c>
      <c r="K504" s="4">
        <v>0</v>
      </c>
      <c r="L504" s="4">
        <v>0</v>
      </c>
      <c r="M504" s="4">
        <v>26.31</v>
      </c>
      <c r="N504" s="4">
        <f>SUM(Table1[[#This Row],[2025]:[2018]])</f>
        <v>29535.41</v>
      </c>
      <c r="O504" s="2">
        <f>Table1[[#This Row],[ttl]]/SUM(Table1[ttl])</f>
        <v>5.9556056739803757E-5</v>
      </c>
      <c r="P504" s="3">
        <f>SUM($O$2:Table1[[#This Row],[pctAllTimeExp]])</f>
        <v>0.98322735757480317</v>
      </c>
      <c r="Q504" t="b">
        <f>Table1[[#This Row],[cumPctAllTimeExp]]&lt;0.95</f>
        <v>0</v>
      </c>
    </row>
    <row r="505" spans="1:17" x14ac:dyDescent="0.25">
      <c r="A505">
        <v>1979</v>
      </c>
      <c r="C505" t="s">
        <v>2508</v>
      </c>
      <c r="E505" t="s">
        <v>1981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19900</v>
      </c>
      <c r="M505" s="4">
        <v>9520</v>
      </c>
      <c r="N505" s="4">
        <f>SUM(Table1[[#This Row],[2025]:[2018]])</f>
        <v>29420</v>
      </c>
      <c r="O505" s="2">
        <f>Table1[[#This Row],[ttl]]/SUM(Table1[ttl])</f>
        <v>5.9323340670910834E-5</v>
      </c>
      <c r="P505" s="3">
        <f>SUM($O$2:Table1[[#This Row],[pctAllTimeExp]])</f>
        <v>0.98328668091547411</v>
      </c>
      <c r="Q505" t="b">
        <f>Table1[[#This Row],[cumPctAllTimeExp]]&lt;0.95</f>
        <v>0</v>
      </c>
    </row>
    <row r="506" spans="1:17" x14ac:dyDescent="0.25">
      <c r="A506">
        <v>349</v>
      </c>
      <c r="C506" t="s">
        <v>2508</v>
      </c>
      <c r="E506" t="s">
        <v>351</v>
      </c>
      <c r="F506" s="4">
        <v>3168.65</v>
      </c>
      <c r="G506" s="4">
        <v>5092.5</v>
      </c>
      <c r="H506" s="4">
        <v>3844.75</v>
      </c>
      <c r="I506" s="4">
        <v>1149.8499999999999</v>
      </c>
      <c r="J506" s="4">
        <v>5248.65</v>
      </c>
      <c r="K506" s="4">
        <v>5268.45</v>
      </c>
      <c r="L506" s="4">
        <v>3149.05</v>
      </c>
      <c r="M506" s="4">
        <v>2290.4</v>
      </c>
      <c r="N506" s="4">
        <f>SUM(Table1[[#This Row],[2025]:[2018]])</f>
        <v>29212.300000000003</v>
      </c>
      <c r="O506" s="2">
        <f>Table1[[#This Row],[ttl]]/SUM(Table1[ttl])</f>
        <v>5.890452837120492E-5</v>
      </c>
      <c r="P506" s="3">
        <f>SUM($O$2:Table1[[#This Row],[pctAllTimeExp]])</f>
        <v>0.98334558544384532</v>
      </c>
      <c r="Q506" t="b">
        <f>Table1[[#This Row],[cumPctAllTimeExp]]&lt;0.95</f>
        <v>0</v>
      </c>
    </row>
    <row r="507" spans="1:17" x14ac:dyDescent="0.25">
      <c r="A507">
        <v>277</v>
      </c>
      <c r="C507" t="s">
        <v>2508</v>
      </c>
      <c r="E507" t="s">
        <v>279</v>
      </c>
      <c r="F507" s="4">
        <v>6275</v>
      </c>
      <c r="G507" s="4">
        <v>0</v>
      </c>
      <c r="H507" s="4">
        <v>2387.3000000000002</v>
      </c>
      <c r="I507" s="4">
        <v>3112.32</v>
      </c>
      <c r="J507" s="4">
        <v>3930.19</v>
      </c>
      <c r="K507" s="4">
        <v>4021.31</v>
      </c>
      <c r="L507" s="4">
        <v>4625.0200000000004</v>
      </c>
      <c r="M507" s="4">
        <v>4849.53</v>
      </c>
      <c r="N507" s="4">
        <f>SUM(Table1[[#This Row],[2025]:[2018]])</f>
        <v>29200.67</v>
      </c>
      <c r="O507" s="2">
        <f>Table1[[#This Row],[ttl]]/SUM(Table1[ttl])</f>
        <v>5.8881077302136156E-5</v>
      </c>
      <c r="P507" s="3">
        <f>SUM($O$2:Table1[[#This Row],[pctAllTimeExp]])</f>
        <v>0.98340446652114744</v>
      </c>
      <c r="Q507" t="b">
        <f>Table1[[#This Row],[cumPctAllTimeExp]]&lt;0.95</f>
        <v>0</v>
      </c>
    </row>
    <row r="508" spans="1:17" x14ac:dyDescent="0.25">
      <c r="A508">
        <v>2251</v>
      </c>
      <c r="C508" t="s">
        <v>2508</v>
      </c>
      <c r="E508" t="s">
        <v>2253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29096.53</v>
      </c>
      <c r="N508" s="4">
        <f>SUM(Table1[[#This Row],[2025]:[2018]])</f>
        <v>29096.53</v>
      </c>
      <c r="O508" s="2">
        <f>Table1[[#This Row],[ttl]]/SUM(Table1[ttl])</f>
        <v>5.8671086387878216E-5</v>
      </c>
      <c r="P508" s="3">
        <f>SUM($O$2:Table1[[#This Row],[pctAllTimeExp]])</f>
        <v>0.98346313760753534</v>
      </c>
      <c r="Q508" t="b">
        <f>Table1[[#This Row],[cumPctAllTimeExp]]&lt;0.95</f>
        <v>0</v>
      </c>
    </row>
    <row r="509" spans="1:17" x14ac:dyDescent="0.25">
      <c r="A509">
        <v>746</v>
      </c>
      <c r="C509" t="s">
        <v>2508</v>
      </c>
      <c r="E509" t="s">
        <v>748</v>
      </c>
      <c r="F509" s="4">
        <v>0</v>
      </c>
      <c r="G509" s="4">
        <v>9543.1</v>
      </c>
      <c r="H509" s="4">
        <v>0</v>
      </c>
      <c r="I509" s="4">
        <v>5900</v>
      </c>
      <c r="J509" s="4">
        <v>0</v>
      </c>
      <c r="K509" s="4">
        <v>0</v>
      </c>
      <c r="L509" s="4">
        <v>2272</v>
      </c>
      <c r="M509" s="4">
        <v>11206.46</v>
      </c>
      <c r="N509" s="4">
        <f>SUM(Table1[[#This Row],[2025]:[2018]])</f>
        <v>28921.559999999998</v>
      </c>
      <c r="O509" s="2">
        <f>Table1[[#This Row],[ttl]]/SUM(Table1[ttl])</f>
        <v>5.8318271808775926E-5</v>
      </c>
      <c r="P509" s="3">
        <f>SUM($O$2:Table1[[#This Row],[pctAllTimeExp]])</f>
        <v>0.98352145587934414</v>
      </c>
      <c r="Q509" t="b">
        <f>Table1[[#This Row],[cumPctAllTimeExp]]&lt;0.95</f>
        <v>0</v>
      </c>
    </row>
    <row r="510" spans="1:17" x14ac:dyDescent="0.25">
      <c r="A510">
        <v>1208</v>
      </c>
      <c r="C510" t="s">
        <v>2508</v>
      </c>
      <c r="E510" t="s">
        <v>1210</v>
      </c>
      <c r="F510" s="4">
        <v>0</v>
      </c>
      <c r="G510" s="4">
        <v>0</v>
      </c>
      <c r="H510" s="4">
        <v>0</v>
      </c>
      <c r="I510" s="4">
        <v>18859</v>
      </c>
      <c r="J510" s="4">
        <v>9950</v>
      </c>
      <c r="K510" s="4">
        <v>0</v>
      </c>
      <c r="L510" s="4">
        <v>0</v>
      </c>
      <c r="M510" s="4">
        <v>0</v>
      </c>
      <c r="N510" s="4">
        <f>SUM(Table1[[#This Row],[2025]:[2018]])</f>
        <v>28809</v>
      </c>
      <c r="O510" s="2">
        <f>Table1[[#This Row],[ttl]]/SUM(Table1[ttl])</f>
        <v>5.809130256248369E-5</v>
      </c>
      <c r="P510" s="3">
        <f>SUM($O$2:Table1[[#This Row],[pctAllTimeExp]])</f>
        <v>0.98357954718190665</v>
      </c>
      <c r="Q510" t="b">
        <f>Table1[[#This Row],[cumPctAllTimeExp]]&lt;0.95</f>
        <v>0</v>
      </c>
    </row>
    <row r="511" spans="1:17" x14ac:dyDescent="0.25">
      <c r="A511">
        <v>1757</v>
      </c>
      <c r="C511" t="s">
        <v>2508</v>
      </c>
      <c r="E511" t="s">
        <v>1759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1500</v>
      </c>
      <c r="L511" s="4">
        <v>0</v>
      </c>
      <c r="M511" s="4">
        <v>27288.25</v>
      </c>
      <c r="N511" s="4">
        <f>SUM(Table1[[#This Row],[2025]:[2018]])</f>
        <v>28788.25</v>
      </c>
      <c r="O511" s="2">
        <f>Table1[[#This Row],[ttl]]/SUM(Table1[ttl])</f>
        <v>5.8049461661092749E-5</v>
      </c>
      <c r="P511" s="3">
        <f>SUM($O$2:Table1[[#This Row],[pctAllTimeExp]])</f>
        <v>0.98363759664356776</v>
      </c>
      <c r="Q511" t="b">
        <f>Table1[[#This Row],[cumPctAllTimeExp]]&lt;0.95</f>
        <v>0</v>
      </c>
    </row>
    <row r="512" spans="1:17" x14ac:dyDescent="0.25">
      <c r="A512">
        <v>1330</v>
      </c>
      <c r="C512" t="s">
        <v>2508</v>
      </c>
      <c r="E512" t="s">
        <v>1332</v>
      </c>
      <c r="F512" s="4">
        <v>0</v>
      </c>
      <c r="G512" s="4">
        <v>0</v>
      </c>
      <c r="H512" s="4">
        <v>0</v>
      </c>
      <c r="I512" s="4">
        <v>325</v>
      </c>
      <c r="J512" s="4">
        <v>0</v>
      </c>
      <c r="K512" s="4">
        <v>0</v>
      </c>
      <c r="L512" s="4">
        <v>28314</v>
      </c>
      <c r="M512" s="4">
        <v>0</v>
      </c>
      <c r="N512" s="4">
        <f>SUM(Table1[[#This Row],[2025]:[2018]])</f>
        <v>28639</v>
      </c>
      <c r="O512" s="2">
        <f>Table1[[#This Row],[ttl]]/SUM(Table1[ttl])</f>
        <v>5.7748509635425403E-5</v>
      </c>
      <c r="P512" s="3">
        <f>SUM($O$2:Table1[[#This Row],[pctAllTimeExp]])</f>
        <v>0.98369534515320323</v>
      </c>
      <c r="Q512" t="b">
        <f>Table1[[#This Row],[cumPctAllTimeExp]]&lt;0.95</f>
        <v>0</v>
      </c>
    </row>
    <row r="513" spans="1:17" x14ac:dyDescent="0.25">
      <c r="A513">
        <v>727</v>
      </c>
      <c r="C513" t="s">
        <v>2508</v>
      </c>
      <c r="E513" t="s">
        <v>729</v>
      </c>
      <c r="F513" s="4">
        <v>0</v>
      </c>
      <c r="G513" s="4">
        <v>15995</v>
      </c>
      <c r="H513" s="4">
        <v>0</v>
      </c>
      <c r="I513" s="4">
        <v>0</v>
      </c>
      <c r="J513" s="4">
        <v>0</v>
      </c>
      <c r="K513" s="4">
        <v>0</v>
      </c>
      <c r="L513" s="4">
        <v>8085.71</v>
      </c>
      <c r="M513" s="4">
        <v>4382.45</v>
      </c>
      <c r="N513" s="4">
        <f>SUM(Table1[[#This Row],[2025]:[2018]])</f>
        <v>28463.16</v>
      </c>
      <c r="O513" s="2">
        <f>Table1[[#This Row],[ttl]]/SUM(Table1[ttl])</f>
        <v>5.7393940763108173E-5</v>
      </c>
      <c r="P513" s="3">
        <f>SUM($O$2:Table1[[#This Row],[pctAllTimeExp]])</f>
        <v>0.98375273909396632</v>
      </c>
      <c r="Q513" t="b">
        <f>Table1[[#This Row],[cumPctAllTimeExp]]&lt;0.95</f>
        <v>0</v>
      </c>
    </row>
    <row r="514" spans="1:17" x14ac:dyDescent="0.25">
      <c r="A514">
        <v>224</v>
      </c>
      <c r="C514" t="s">
        <v>2508</v>
      </c>
      <c r="E514" t="s">
        <v>226</v>
      </c>
      <c r="F514" s="4">
        <v>10117.4</v>
      </c>
      <c r="G514" s="4">
        <v>0</v>
      </c>
      <c r="H514" s="4">
        <v>0</v>
      </c>
      <c r="I514" s="4">
        <v>7200</v>
      </c>
      <c r="J514" s="4">
        <v>11110</v>
      </c>
      <c r="K514" s="4">
        <v>0</v>
      </c>
      <c r="L514" s="4">
        <v>0</v>
      </c>
      <c r="M514" s="4">
        <v>0</v>
      </c>
      <c r="N514" s="4">
        <f>SUM(Table1[[#This Row],[2025]:[2018]])</f>
        <v>28427.4</v>
      </c>
      <c r="O514" s="2">
        <f>Table1[[#This Row],[ttl]]/SUM(Table1[ttl])</f>
        <v>5.7321833262686975E-5</v>
      </c>
      <c r="P514" s="3">
        <f>SUM($O$2:Table1[[#This Row],[pctAllTimeExp]])</f>
        <v>0.983810060927229</v>
      </c>
      <c r="Q514" t="b">
        <f>Table1[[#This Row],[cumPctAllTimeExp]]&lt;0.95</f>
        <v>0</v>
      </c>
    </row>
    <row r="515" spans="1:17" x14ac:dyDescent="0.25">
      <c r="A515">
        <v>338</v>
      </c>
      <c r="C515" t="s">
        <v>2508</v>
      </c>
      <c r="E515" t="s">
        <v>340</v>
      </c>
      <c r="F515" s="4">
        <v>3456.7</v>
      </c>
      <c r="G515" s="4">
        <v>4908.37</v>
      </c>
      <c r="H515" s="4">
        <v>3206.85</v>
      </c>
      <c r="I515" s="4">
        <v>4521.2299999999996</v>
      </c>
      <c r="J515" s="4">
        <v>9150.2900000000009</v>
      </c>
      <c r="K515" s="4">
        <v>3123.34</v>
      </c>
      <c r="L515" s="4">
        <v>0</v>
      </c>
      <c r="M515" s="4">
        <v>0</v>
      </c>
      <c r="N515" s="4">
        <f>SUM(Table1[[#This Row],[2025]:[2018]])</f>
        <v>28366.780000000002</v>
      </c>
      <c r="O515" s="2">
        <f>Table1[[#This Row],[ttl]]/SUM(Table1[ttl])</f>
        <v>5.7199597337755952E-5</v>
      </c>
      <c r="P515" s="3">
        <f>SUM($O$2:Table1[[#This Row],[pctAllTimeExp]])</f>
        <v>0.98386726052456674</v>
      </c>
      <c r="Q515" t="b">
        <f>Table1[[#This Row],[cumPctAllTimeExp]]&lt;0.95</f>
        <v>0</v>
      </c>
    </row>
    <row r="516" spans="1:17" x14ac:dyDescent="0.25">
      <c r="A516">
        <v>1716</v>
      </c>
      <c r="C516" t="s">
        <v>2508</v>
      </c>
      <c r="E516" t="s">
        <v>1718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4256.32</v>
      </c>
      <c r="L516" s="4">
        <v>13992.97</v>
      </c>
      <c r="M516" s="4">
        <v>9984.9599999999991</v>
      </c>
      <c r="N516" s="4">
        <f>SUM(Table1[[#This Row],[2025]:[2018]])</f>
        <v>28234.25</v>
      </c>
      <c r="O516" s="2">
        <f>Table1[[#This Row],[ttl]]/SUM(Table1[ttl])</f>
        <v>5.6932360004679269E-5</v>
      </c>
      <c r="P516" s="3">
        <f>SUM($O$2:Table1[[#This Row],[pctAllTimeExp]])</f>
        <v>0.98392419288457145</v>
      </c>
      <c r="Q516" t="b">
        <f>Table1[[#This Row],[cumPctAllTimeExp]]&lt;0.95</f>
        <v>0</v>
      </c>
    </row>
    <row r="517" spans="1:17" x14ac:dyDescent="0.25">
      <c r="A517">
        <v>133</v>
      </c>
      <c r="C517" t="s">
        <v>2508</v>
      </c>
      <c r="E517" t="s">
        <v>135</v>
      </c>
      <c r="F517" s="4">
        <v>28040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f>SUM(Table1[[#This Row],[2025]:[2018]])</f>
        <v>28040</v>
      </c>
      <c r="O517" s="2">
        <f>Table1[[#This Row],[ttl]]/SUM(Table1[ttl])</f>
        <v>5.6540668674790611E-5</v>
      </c>
      <c r="P517" s="3">
        <f>SUM($O$2:Table1[[#This Row],[pctAllTimeExp]])</f>
        <v>0.98398073355324622</v>
      </c>
      <c r="Q517" t="b">
        <f>Table1[[#This Row],[cumPctAllTimeExp]]&lt;0.95</f>
        <v>0</v>
      </c>
    </row>
    <row r="518" spans="1:17" x14ac:dyDescent="0.25">
      <c r="A518">
        <v>363</v>
      </c>
      <c r="C518" t="s">
        <v>2508</v>
      </c>
      <c r="E518" t="s">
        <v>365</v>
      </c>
      <c r="F518" s="4">
        <v>2783.13</v>
      </c>
      <c r="G518" s="4">
        <v>2613.34</v>
      </c>
      <c r="H518" s="4">
        <v>15470.94</v>
      </c>
      <c r="I518" s="4">
        <v>3704.35</v>
      </c>
      <c r="J518" s="4">
        <v>2338.06</v>
      </c>
      <c r="K518" s="4">
        <v>1091.6099999999999</v>
      </c>
      <c r="L518" s="4">
        <v>0</v>
      </c>
      <c r="M518" s="4">
        <v>0</v>
      </c>
      <c r="N518" s="4">
        <f>SUM(Table1[[#This Row],[2025]:[2018]])</f>
        <v>28001.43</v>
      </c>
      <c r="O518" s="2">
        <f>Table1[[#This Row],[ttl]]/SUM(Table1[ttl])</f>
        <v>5.6462895008928036E-5</v>
      </c>
      <c r="P518" s="3">
        <f>SUM($O$2:Table1[[#This Row],[pctAllTimeExp]])</f>
        <v>0.98403719644825516</v>
      </c>
      <c r="Q518" t="b">
        <f>Table1[[#This Row],[cumPctAllTimeExp]]&lt;0.95</f>
        <v>0</v>
      </c>
    </row>
    <row r="519" spans="1:17" x14ac:dyDescent="0.25">
      <c r="A519">
        <v>479</v>
      </c>
      <c r="C519" t="s">
        <v>2508</v>
      </c>
      <c r="E519" t="s">
        <v>481</v>
      </c>
      <c r="F519" s="4">
        <v>976.25</v>
      </c>
      <c r="G519" s="4">
        <v>2598.5500000000002</v>
      </c>
      <c r="H519" s="4">
        <v>1523.52</v>
      </c>
      <c r="I519" s="4">
        <v>2485.7800000000002</v>
      </c>
      <c r="J519" s="4">
        <v>2482.37</v>
      </c>
      <c r="K519" s="4">
        <v>3131.93</v>
      </c>
      <c r="L519" s="4">
        <v>7469.22</v>
      </c>
      <c r="M519" s="4">
        <v>7206.45</v>
      </c>
      <c r="N519" s="4">
        <f>SUM(Table1[[#This Row],[2025]:[2018]])</f>
        <v>27874.070000000003</v>
      </c>
      <c r="O519" s="2">
        <f>Table1[[#This Row],[ttl]]/SUM(Table1[ttl])</f>
        <v>5.6206082613691899E-5</v>
      </c>
      <c r="P519" s="3">
        <f>SUM($O$2:Table1[[#This Row],[pctAllTimeExp]])</f>
        <v>0.98409340253086885</v>
      </c>
      <c r="Q519" t="b">
        <f>Table1[[#This Row],[cumPctAllTimeExp]]&lt;0.95</f>
        <v>0</v>
      </c>
    </row>
    <row r="520" spans="1:17" x14ac:dyDescent="0.25">
      <c r="A520">
        <v>280</v>
      </c>
      <c r="C520" t="s">
        <v>2508</v>
      </c>
      <c r="E520" t="s">
        <v>282</v>
      </c>
      <c r="F520" s="4">
        <v>6072.7</v>
      </c>
      <c r="G520" s="4">
        <v>11355.65</v>
      </c>
      <c r="H520" s="4">
        <v>2140</v>
      </c>
      <c r="I520" s="4">
        <v>741</v>
      </c>
      <c r="J520" s="4">
        <v>242</v>
      </c>
      <c r="K520" s="4">
        <v>632.25</v>
      </c>
      <c r="L520" s="4">
        <v>3104.85</v>
      </c>
      <c r="M520" s="4">
        <v>3291.1</v>
      </c>
      <c r="N520" s="4">
        <f>SUM(Table1[[#This Row],[2025]:[2018]])</f>
        <v>27579.549999999996</v>
      </c>
      <c r="O520" s="2">
        <f>Table1[[#This Row],[ttl]]/SUM(Table1[ttl])</f>
        <v>5.5612203949708313E-5</v>
      </c>
      <c r="P520" s="3">
        <f>SUM($O$2:Table1[[#This Row],[pctAllTimeExp]])</f>
        <v>0.98414901473481853</v>
      </c>
      <c r="Q520" t="b">
        <f>Table1[[#This Row],[cumPctAllTimeExp]]&lt;0.95</f>
        <v>0</v>
      </c>
    </row>
    <row r="521" spans="1:17" x14ac:dyDescent="0.25">
      <c r="A521">
        <v>135</v>
      </c>
      <c r="C521" t="s">
        <v>2508</v>
      </c>
      <c r="E521" t="s">
        <v>137</v>
      </c>
      <c r="F521" s="4">
        <v>27480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f>SUM(Table1[[#This Row],[2025]:[2018]])</f>
        <v>27480</v>
      </c>
      <c r="O521" s="2">
        <f>Table1[[#This Row],[ttl]]/SUM(Table1[ttl])</f>
        <v>5.5411468444480955E-5</v>
      </c>
      <c r="P521" s="3">
        <f>SUM($O$2:Table1[[#This Row],[pctAllTimeExp]])</f>
        <v>0.98420442620326298</v>
      </c>
      <c r="Q521" t="b">
        <f>Table1[[#This Row],[cumPctAllTimeExp]]&lt;0.95</f>
        <v>0</v>
      </c>
    </row>
    <row r="522" spans="1:17" x14ac:dyDescent="0.25">
      <c r="A522">
        <v>1666</v>
      </c>
      <c r="C522" t="s">
        <v>2508</v>
      </c>
      <c r="E522" t="s">
        <v>1668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23741.1</v>
      </c>
      <c r="L522" s="4">
        <v>3664.5</v>
      </c>
      <c r="M522" s="4">
        <v>0</v>
      </c>
      <c r="N522" s="4">
        <f>SUM(Table1[[#This Row],[2025]:[2018]])</f>
        <v>27405.599999999999</v>
      </c>
      <c r="O522" s="2">
        <f>Table1[[#This Row],[ttl]]/SUM(Table1[ttl])</f>
        <v>5.5261446128168382E-5</v>
      </c>
      <c r="P522" s="3">
        <f>SUM($O$2:Table1[[#This Row],[pctAllTimeExp]])</f>
        <v>0.9842596876493912</v>
      </c>
      <c r="Q522" t="b">
        <f>Table1[[#This Row],[cumPctAllTimeExp]]&lt;0.95</f>
        <v>0</v>
      </c>
    </row>
    <row r="523" spans="1:17" x14ac:dyDescent="0.25">
      <c r="A523">
        <v>816</v>
      </c>
      <c r="C523" t="s">
        <v>2508</v>
      </c>
      <c r="E523" t="s">
        <v>818</v>
      </c>
      <c r="F523" s="4">
        <v>0</v>
      </c>
      <c r="G523" s="4">
        <v>1500</v>
      </c>
      <c r="H523" s="4">
        <v>3570</v>
      </c>
      <c r="I523" s="4">
        <v>1100</v>
      </c>
      <c r="J523" s="4">
        <v>1050</v>
      </c>
      <c r="K523" s="4">
        <v>1825</v>
      </c>
      <c r="L523" s="4">
        <v>5250</v>
      </c>
      <c r="M523" s="4">
        <v>12950</v>
      </c>
      <c r="N523" s="4">
        <f>SUM(Table1[[#This Row],[2025]:[2018]])</f>
        <v>27245</v>
      </c>
      <c r="O523" s="2">
        <f>Table1[[#This Row],[ttl]]/SUM(Table1[ttl])</f>
        <v>5.4937607633547441E-5</v>
      </c>
      <c r="P523" s="3">
        <f>SUM($O$2:Table1[[#This Row],[pctAllTimeExp]])</f>
        <v>0.98431462525702473</v>
      </c>
      <c r="Q523" t="b">
        <f>Table1[[#This Row],[cumPctAllTimeExp]]&lt;0.95</f>
        <v>0</v>
      </c>
    </row>
    <row r="524" spans="1:17" x14ac:dyDescent="0.25">
      <c r="A524">
        <v>1420</v>
      </c>
      <c r="C524" t="s">
        <v>2508</v>
      </c>
      <c r="E524" t="s">
        <v>1422</v>
      </c>
      <c r="F524" s="4">
        <v>0</v>
      </c>
      <c r="G524" s="4">
        <v>0</v>
      </c>
      <c r="H524" s="4">
        <v>0</v>
      </c>
      <c r="I524" s="4">
        <v>0</v>
      </c>
      <c r="J524" s="4">
        <v>16042.19</v>
      </c>
      <c r="K524" s="4">
        <v>10434</v>
      </c>
      <c r="L524" s="4">
        <v>750</v>
      </c>
      <c r="M524" s="4">
        <v>0</v>
      </c>
      <c r="N524" s="4">
        <f>SUM(Table1[[#This Row],[2025]:[2018]])</f>
        <v>27226.190000000002</v>
      </c>
      <c r="O524" s="2">
        <f>Table1[[#This Row],[ttl]]/SUM(Table1[ttl])</f>
        <v>5.4899678604382936E-5</v>
      </c>
      <c r="P524" s="3">
        <f>SUM($O$2:Table1[[#This Row],[pctAllTimeExp]])</f>
        <v>0.98436952493562913</v>
      </c>
      <c r="Q524" t="b">
        <f>Table1[[#This Row],[cumPctAllTimeExp]]&lt;0.95</f>
        <v>0</v>
      </c>
    </row>
    <row r="525" spans="1:17" x14ac:dyDescent="0.25">
      <c r="A525">
        <v>1687</v>
      </c>
      <c r="C525" t="s">
        <v>2508</v>
      </c>
      <c r="E525" t="s">
        <v>1689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11690</v>
      </c>
      <c r="L525" s="4">
        <v>15000</v>
      </c>
      <c r="M525" s="4">
        <v>155</v>
      </c>
      <c r="N525" s="4">
        <f>SUM(Table1[[#This Row],[2025]:[2018]])</f>
        <v>26845</v>
      </c>
      <c r="O525" s="2">
        <f>Table1[[#This Row],[ttl]]/SUM(Table1[ttl])</f>
        <v>5.4131036040469112E-5</v>
      </c>
      <c r="P525" s="3">
        <f>SUM($O$2:Table1[[#This Row],[pctAllTimeExp]])</f>
        <v>0.98442365597166959</v>
      </c>
      <c r="Q525" t="b">
        <f>Table1[[#This Row],[cumPctAllTimeExp]]&lt;0.95</f>
        <v>0</v>
      </c>
    </row>
    <row r="526" spans="1:17" x14ac:dyDescent="0.25">
      <c r="A526">
        <v>715</v>
      </c>
      <c r="C526" t="s">
        <v>2508</v>
      </c>
      <c r="E526" t="s">
        <v>717</v>
      </c>
      <c r="F526" s="4">
        <v>0</v>
      </c>
      <c r="G526" s="4">
        <v>26844.3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f>SUM(Table1[[#This Row],[2025]:[2018]])</f>
        <v>26844.3</v>
      </c>
      <c r="O526" s="2">
        <f>Table1[[#This Row],[ttl]]/SUM(Table1[ttl])</f>
        <v>5.4129624540181225E-5</v>
      </c>
      <c r="P526" s="3">
        <f>SUM($O$2:Table1[[#This Row],[pctAllTimeExp]])</f>
        <v>0.9844777855962098</v>
      </c>
      <c r="Q526" t="b">
        <f>Table1[[#This Row],[cumPctAllTimeExp]]&lt;0.95</f>
        <v>0</v>
      </c>
    </row>
    <row r="527" spans="1:17" x14ac:dyDescent="0.25">
      <c r="A527">
        <v>1127</v>
      </c>
      <c r="C527" t="s">
        <v>2508</v>
      </c>
      <c r="E527" t="s">
        <v>1129</v>
      </c>
      <c r="F527" s="4">
        <v>0</v>
      </c>
      <c r="G527" s="4">
        <v>0</v>
      </c>
      <c r="H527" s="4">
        <v>438.87</v>
      </c>
      <c r="I527" s="4">
        <v>5504.56</v>
      </c>
      <c r="J527" s="4">
        <v>20882.72</v>
      </c>
      <c r="K527" s="4">
        <v>0</v>
      </c>
      <c r="L527" s="4">
        <v>0</v>
      </c>
      <c r="M527" s="4">
        <v>0</v>
      </c>
      <c r="N527" s="4">
        <f>SUM(Table1[[#This Row],[2025]:[2018]])</f>
        <v>26826.15</v>
      </c>
      <c r="O527" s="2">
        <f>Table1[[#This Row],[ttl]]/SUM(Table1[ttl])</f>
        <v>5.4093026354145298E-5</v>
      </c>
      <c r="P527" s="3">
        <f>SUM($O$2:Table1[[#This Row],[pctAllTimeExp]])</f>
        <v>0.98453187862256397</v>
      </c>
      <c r="Q527" t="b">
        <f>Table1[[#This Row],[cumPctAllTimeExp]]&lt;0.95</f>
        <v>0</v>
      </c>
    </row>
    <row r="528" spans="1:17" x14ac:dyDescent="0.25">
      <c r="A528">
        <v>378</v>
      </c>
      <c r="C528" t="s">
        <v>2508</v>
      </c>
      <c r="E528" t="s">
        <v>380</v>
      </c>
      <c r="F528" s="4">
        <v>2315</v>
      </c>
      <c r="G528" s="4">
        <v>24446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f>SUM(Table1[[#This Row],[2025]:[2018]])</f>
        <v>26761</v>
      </c>
      <c r="O528" s="2">
        <f>Table1[[#This Row],[ttl]]/SUM(Table1[ttl])</f>
        <v>5.3961656005922666E-5</v>
      </c>
      <c r="P528" s="3">
        <f>SUM($O$2:Table1[[#This Row],[pctAllTimeExp]])</f>
        <v>0.98458584027856988</v>
      </c>
      <c r="Q528" t="b">
        <f>Table1[[#This Row],[cumPctAllTimeExp]]&lt;0.95</f>
        <v>0</v>
      </c>
    </row>
    <row r="529" spans="1:17" x14ac:dyDescent="0.25">
      <c r="A529">
        <v>244</v>
      </c>
      <c r="C529" t="s">
        <v>2508</v>
      </c>
      <c r="E529" t="s">
        <v>246</v>
      </c>
      <c r="F529" s="4">
        <v>8281.56</v>
      </c>
      <c r="G529" s="4">
        <v>18136.16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f>SUM(Table1[[#This Row],[2025]:[2018]])</f>
        <v>26417.72</v>
      </c>
      <c r="O529" s="2">
        <f>Table1[[#This Row],[ttl]]/SUM(Table1[ttl])</f>
        <v>5.3269456264742846E-5</v>
      </c>
      <c r="P529" s="3">
        <f>SUM($O$2:Table1[[#This Row],[pctAllTimeExp]])</f>
        <v>0.98463910973483459</v>
      </c>
      <c r="Q529" t="b">
        <f>Table1[[#This Row],[cumPctAllTimeExp]]&lt;0.95</f>
        <v>0</v>
      </c>
    </row>
    <row r="530" spans="1:17" x14ac:dyDescent="0.25">
      <c r="A530">
        <v>982</v>
      </c>
      <c r="C530" t="s">
        <v>2508</v>
      </c>
      <c r="E530" t="s">
        <v>984</v>
      </c>
      <c r="F530" s="4">
        <v>0</v>
      </c>
      <c r="G530" s="4">
        <v>0</v>
      </c>
      <c r="H530" s="4">
        <v>21377</v>
      </c>
      <c r="I530" s="4">
        <v>0</v>
      </c>
      <c r="J530" s="4">
        <v>0</v>
      </c>
      <c r="K530" s="4">
        <v>4925</v>
      </c>
      <c r="L530" s="4">
        <v>0</v>
      </c>
      <c r="M530" s="4">
        <v>0</v>
      </c>
      <c r="N530" s="4">
        <f>SUM(Table1[[#This Row],[2025]:[2018]])</f>
        <v>26302</v>
      </c>
      <c r="O530" s="2">
        <f>Table1[[#This Row],[ttl]]/SUM(Table1[ttl])</f>
        <v>5.3036115102865287E-5</v>
      </c>
      <c r="P530" s="3">
        <f>SUM($O$2:Table1[[#This Row],[pctAllTimeExp]])</f>
        <v>0.98469214584993747</v>
      </c>
      <c r="Q530" t="b">
        <f>Table1[[#This Row],[cumPctAllTimeExp]]&lt;0.95</f>
        <v>0</v>
      </c>
    </row>
    <row r="531" spans="1:17" x14ac:dyDescent="0.25">
      <c r="A531">
        <v>619</v>
      </c>
      <c r="C531" t="s">
        <v>2508</v>
      </c>
      <c r="E531" t="s">
        <v>621</v>
      </c>
      <c r="F531" s="4">
        <v>250.23</v>
      </c>
      <c r="G531" s="4">
        <v>0</v>
      </c>
      <c r="H531" s="4">
        <v>0</v>
      </c>
      <c r="I531" s="4">
        <v>25935</v>
      </c>
      <c r="J531" s="4">
        <v>0</v>
      </c>
      <c r="K531" s="4">
        <v>0</v>
      </c>
      <c r="L531" s="4">
        <v>0</v>
      </c>
      <c r="M531" s="4">
        <v>0</v>
      </c>
      <c r="N531" s="4">
        <f>SUM(Table1[[#This Row],[2025]:[2018]])</f>
        <v>26185.23</v>
      </c>
      <c r="O531" s="2">
        <f>Table1[[#This Row],[ttl]]/SUM(Table1[ttl])</f>
        <v>5.2800656690555893E-5</v>
      </c>
      <c r="P531" s="3">
        <f>SUM($O$2:Table1[[#This Row],[pctAllTimeExp]])</f>
        <v>0.98474494650662803</v>
      </c>
      <c r="Q531" t="b">
        <f>Table1[[#This Row],[cumPctAllTimeExp]]&lt;0.95</f>
        <v>0</v>
      </c>
    </row>
    <row r="532" spans="1:17" x14ac:dyDescent="0.25">
      <c r="A532">
        <v>1162</v>
      </c>
      <c r="C532" t="s">
        <v>2508</v>
      </c>
      <c r="E532" t="s">
        <v>1164</v>
      </c>
      <c r="F532" s="4">
        <v>0</v>
      </c>
      <c r="G532" s="4">
        <v>0</v>
      </c>
      <c r="H532" s="4">
        <v>185</v>
      </c>
      <c r="I532" s="4">
        <v>725</v>
      </c>
      <c r="J532" s="4">
        <v>0</v>
      </c>
      <c r="K532" s="4">
        <v>3200</v>
      </c>
      <c r="L532" s="4">
        <v>7230</v>
      </c>
      <c r="M532" s="4">
        <v>14773</v>
      </c>
      <c r="N532" s="4">
        <f>SUM(Table1[[#This Row],[2025]:[2018]])</f>
        <v>26113</v>
      </c>
      <c r="O532" s="2">
        <f>Table1[[#This Row],[ttl]]/SUM(Table1[ttl])</f>
        <v>5.2655010025135774E-5</v>
      </c>
      <c r="P532" s="3">
        <f>SUM($O$2:Table1[[#This Row],[pctAllTimeExp]])</f>
        <v>0.98479760151665319</v>
      </c>
      <c r="Q532" t="b">
        <f>Table1[[#This Row],[cumPctAllTimeExp]]&lt;0.95</f>
        <v>0</v>
      </c>
    </row>
    <row r="533" spans="1:17" x14ac:dyDescent="0.25">
      <c r="A533">
        <v>726</v>
      </c>
      <c r="C533" t="s">
        <v>2508</v>
      </c>
      <c r="E533" t="s">
        <v>728</v>
      </c>
      <c r="F533" s="4">
        <v>0</v>
      </c>
      <c r="G533" s="4">
        <v>16250</v>
      </c>
      <c r="H533" s="4">
        <v>9400</v>
      </c>
      <c r="I533" s="4">
        <v>0</v>
      </c>
      <c r="J533" s="4">
        <v>436.4</v>
      </c>
      <c r="K533" s="4">
        <v>0</v>
      </c>
      <c r="L533" s="4">
        <v>0</v>
      </c>
      <c r="M533" s="4">
        <v>0</v>
      </c>
      <c r="N533" s="4">
        <f>SUM(Table1[[#This Row],[2025]:[2018]])</f>
        <v>26086.400000000001</v>
      </c>
      <c r="O533" s="2">
        <f>Table1[[#This Row],[ttl]]/SUM(Table1[ttl])</f>
        <v>5.2601373014196069E-5</v>
      </c>
      <c r="P533" s="3">
        <f>SUM($O$2:Table1[[#This Row],[pctAllTimeExp]])</f>
        <v>0.9848502028896674</v>
      </c>
      <c r="Q533" t="b">
        <f>Table1[[#This Row],[cumPctAllTimeExp]]&lt;0.95</f>
        <v>0</v>
      </c>
    </row>
    <row r="534" spans="1:17" x14ac:dyDescent="0.25">
      <c r="A534">
        <v>988</v>
      </c>
      <c r="C534" t="s">
        <v>2508</v>
      </c>
      <c r="E534" t="s">
        <v>990</v>
      </c>
      <c r="F534" s="4">
        <v>0</v>
      </c>
      <c r="G534" s="4">
        <v>0</v>
      </c>
      <c r="H534" s="4">
        <v>18000</v>
      </c>
      <c r="I534" s="4">
        <v>1360</v>
      </c>
      <c r="J534" s="4">
        <v>6250</v>
      </c>
      <c r="K534" s="4">
        <v>0</v>
      </c>
      <c r="L534" s="4">
        <v>0</v>
      </c>
      <c r="M534" s="4">
        <v>450</v>
      </c>
      <c r="N534" s="4">
        <f>SUM(Table1[[#This Row],[2025]:[2018]])</f>
        <v>26060</v>
      </c>
      <c r="O534" s="2">
        <f>Table1[[#This Row],[ttl]]/SUM(Table1[ttl])</f>
        <v>5.25481392890529E-5</v>
      </c>
      <c r="P534" s="3">
        <f>SUM($O$2:Table1[[#This Row],[pctAllTimeExp]])</f>
        <v>0.98490275102895641</v>
      </c>
      <c r="Q534" t="b">
        <f>Table1[[#This Row],[cumPctAllTimeExp]]&lt;0.95</f>
        <v>0</v>
      </c>
    </row>
    <row r="535" spans="1:17" x14ac:dyDescent="0.25">
      <c r="A535">
        <v>1991</v>
      </c>
      <c r="C535" t="s">
        <v>2508</v>
      </c>
      <c r="E535" t="s">
        <v>1993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12875</v>
      </c>
      <c r="M535" s="4">
        <v>13155.15</v>
      </c>
      <c r="N535" s="4">
        <f>SUM(Table1[[#This Row],[2025]:[2018]])</f>
        <v>26030.15</v>
      </c>
      <c r="O535" s="2">
        <f>Table1[[#This Row],[ttl]]/SUM(Table1[ttl])</f>
        <v>5.248794888391943E-5</v>
      </c>
      <c r="P535" s="3">
        <f>SUM($O$2:Table1[[#This Row],[pctAllTimeExp]])</f>
        <v>0.98495523897784032</v>
      </c>
      <c r="Q535" t="b">
        <f>Table1[[#This Row],[cumPctAllTimeExp]]&lt;0.95</f>
        <v>0</v>
      </c>
    </row>
    <row r="536" spans="1:17" x14ac:dyDescent="0.25">
      <c r="A536">
        <v>245</v>
      </c>
      <c r="C536" t="s">
        <v>2508</v>
      </c>
      <c r="E536" t="s">
        <v>247</v>
      </c>
      <c r="F536" s="4">
        <v>8156.16</v>
      </c>
      <c r="G536" s="4">
        <v>7733.61</v>
      </c>
      <c r="H536" s="4">
        <v>3482.32</v>
      </c>
      <c r="I536" s="4">
        <v>718.75</v>
      </c>
      <c r="J536" s="4">
        <v>1122.74</v>
      </c>
      <c r="K536" s="4">
        <v>976.16</v>
      </c>
      <c r="L536" s="4">
        <v>2353.66</v>
      </c>
      <c r="M536" s="4">
        <v>1334</v>
      </c>
      <c r="N536" s="4">
        <f>SUM(Table1[[#This Row],[2025]:[2018]])</f>
        <v>25877.4</v>
      </c>
      <c r="O536" s="2">
        <f>Table1[[#This Row],[ttl]]/SUM(Table1[ttl])</f>
        <v>5.2179939356812648E-5</v>
      </c>
      <c r="P536" s="3">
        <f>SUM($O$2:Table1[[#This Row],[pctAllTimeExp]])</f>
        <v>0.98500741891719712</v>
      </c>
      <c r="Q536" t="b">
        <f>Table1[[#This Row],[cumPctAllTimeExp]]&lt;0.95</f>
        <v>0</v>
      </c>
    </row>
    <row r="537" spans="1:17" x14ac:dyDescent="0.25">
      <c r="A537">
        <v>978</v>
      </c>
      <c r="C537" t="s">
        <v>2508</v>
      </c>
      <c r="E537" t="s">
        <v>980</v>
      </c>
      <c r="F537" s="4">
        <v>0</v>
      </c>
      <c r="G537" s="4">
        <v>0</v>
      </c>
      <c r="H537" s="4">
        <v>25815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f>SUM(Table1[[#This Row],[2025]:[2018]])</f>
        <v>25815</v>
      </c>
      <c r="O537" s="2">
        <f>Table1[[#This Row],[ttl]]/SUM(Table1[ttl])</f>
        <v>5.2054114188292428E-5</v>
      </c>
      <c r="P537" s="3">
        <f>SUM($O$2:Table1[[#This Row],[pctAllTimeExp]])</f>
        <v>0.98505947303138541</v>
      </c>
      <c r="Q537" t="b">
        <f>Table1[[#This Row],[cumPctAllTimeExp]]&lt;0.95</f>
        <v>0</v>
      </c>
    </row>
    <row r="538" spans="1:17" x14ac:dyDescent="0.25">
      <c r="A538">
        <v>147</v>
      </c>
      <c r="C538" t="s">
        <v>2508</v>
      </c>
      <c r="E538" t="s">
        <v>149</v>
      </c>
      <c r="F538" s="4">
        <v>24455</v>
      </c>
      <c r="G538" s="4">
        <v>0</v>
      </c>
      <c r="H538" s="4">
        <v>0</v>
      </c>
      <c r="I538" s="4">
        <v>1325</v>
      </c>
      <c r="J538" s="4">
        <v>0</v>
      </c>
      <c r="K538" s="4">
        <v>0</v>
      </c>
      <c r="L538" s="4">
        <v>0</v>
      </c>
      <c r="M538" s="4">
        <v>0</v>
      </c>
      <c r="N538" s="4">
        <f>SUM(Table1[[#This Row],[2025]:[2018]])</f>
        <v>25780</v>
      </c>
      <c r="O538" s="2">
        <f>Table1[[#This Row],[ttl]]/SUM(Table1[ttl])</f>
        <v>5.1983539173898074E-5</v>
      </c>
      <c r="P538" s="3">
        <f>SUM($O$2:Table1[[#This Row],[pctAllTimeExp]])</f>
        <v>0.98511145657055932</v>
      </c>
      <c r="Q538" t="b">
        <f>Table1[[#This Row],[cumPctAllTimeExp]]&lt;0.95</f>
        <v>0</v>
      </c>
    </row>
    <row r="539" spans="1:17" x14ac:dyDescent="0.25">
      <c r="A539">
        <v>189</v>
      </c>
      <c r="C539" t="s">
        <v>2508</v>
      </c>
      <c r="E539" t="s">
        <v>191</v>
      </c>
      <c r="F539" s="4">
        <v>15975</v>
      </c>
      <c r="G539" s="4">
        <v>2210</v>
      </c>
      <c r="H539" s="4">
        <v>0</v>
      </c>
      <c r="I539" s="4">
        <v>381</v>
      </c>
      <c r="J539" s="4">
        <v>217.5</v>
      </c>
      <c r="K539" s="4">
        <v>1489.5</v>
      </c>
      <c r="L539" s="4">
        <v>889.5</v>
      </c>
      <c r="M539" s="4">
        <v>4600</v>
      </c>
      <c r="N539" s="4">
        <f>SUM(Table1[[#This Row],[2025]:[2018]])</f>
        <v>25762.5</v>
      </c>
      <c r="O539" s="2">
        <f>Table1[[#This Row],[ttl]]/SUM(Table1[ttl])</f>
        <v>5.1948251666700898E-5</v>
      </c>
      <c r="P539" s="3">
        <f>SUM($O$2:Table1[[#This Row],[pctAllTimeExp]])</f>
        <v>0.98516340482222597</v>
      </c>
      <c r="Q539" t="b">
        <f>Table1[[#This Row],[cumPctAllTimeExp]]&lt;0.95</f>
        <v>0</v>
      </c>
    </row>
    <row r="540" spans="1:17" x14ac:dyDescent="0.25">
      <c r="A540">
        <v>1665</v>
      </c>
      <c r="C540" t="s">
        <v>2508</v>
      </c>
      <c r="E540" t="s">
        <v>1667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25700</v>
      </c>
      <c r="L540" s="4">
        <v>0</v>
      </c>
      <c r="M540" s="4">
        <v>0</v>
      </c>
      <c r="N540" s="4">
        <f>SUM(Table1[[#This Row],[2025]:[2018]])</f>
        <v>25700</v>
      </c>
      <c r="O540" s="2">
        <f>Table1[[#This Row],[ttl]]/SUM(Table1[ttl])</f>
        <v>5.1822224855282403E-5</v>
      </c>
      <c r="P540" s="3">
        <f>SUM($O$2:Table1[[#This Row],[pctAllTimeExp]])</f>
        <v>0.98521522704708131</v>
      </c>
      <c r="Q540" t="b">
        <f>Table1[[#This Row],[cumPctAllTimeExp]]&lt;0.95</f>
        <v>0</v>
      </c>
    </row>
    <row r="541" spans="1:17" x14ac:dyDescent="0.25">
      <c r="A541">
        <v>1206</v>
      </c>
      <c r="C541" t="s">
        <v>2508</v>
      </c>
      <c r="E541" t="s">
        <v>1208</v>
      </c>
      <c r="F541" s="4">
        <v>0</v>
      </c>
      <c r="G541" s="4">
        <v>0</v>
      </c>
      <c r="H541" s="4">
        <v>0</v>
      </c>
      <c r="I541" s="4">
        <v>25680</v>
      </c>
      <c r="J541" s="4">
        <v>0</v>
      </c>
      <c r="K541" s="4">
        <v>0</v>
      </c>
      <c r="L541" s="4">
        <v>0</v>
      </c>
      <c r="M541" s="4">
        <v>0</v>
      </c>
      <c r="N541" s="4">
        <f>SUM(Table1[[#This Row],[2025]:[2018]])</f>
        <v>25680</v>
      </c>
      <c r="O541" s="2">
        <f>Table1[[#This Row],[ttl]]/SUM(Table1[ttl])</f>
        <v>5.1781896275628487E-5</v>
      </c>
      <c r="P541" s="3">
        <f>SUM($O$2:Table1[[#This Row],[pctAllTimeExp]])</f>
        <v>0.98526700894335695</v>
      </c>
      <c r="Q541" t="b">
        <f>Table1[[#This Row],[cumPctAllTimeExp]]&lt;0.95</f>
        <v>0</v>
      </c>
    </row>
    <row r="542" spans="1:17" x14ac:dyDescent="0.25">
      <c r="A542">
        <v>755</v>
      </c>
      <c r="C542" t="s">
        <v>2508</v>
      </c>
      <c r="E542" t="s">
        <v>757</v>
      </c>
      <c r="F542" s="4">
        <v>0</v>
      </c>
      <c r="G542" s="4">
        <v>7550</v>
      </c>
      <c r="H542" s="4">
        <v>0</v>
      </c>
      <c r="I542" s="4">
        <v>18100</v>
      </c>
      <c r="J542" s="4">
        <v>0</v>
      </c>
      <c r="K542" s="4">
        <v>0</v>
      </c>
      <c r="L542" s="4">
        <v>0</v>
      </c>
      <c r="M542" s="4">
        <v>0</v>
      </c>
      <c r="N542" s="4">
        <f>SUM(Table1[[#This Row],[2025]:[2018]])</f>
        <v>25650</v>
      </c>
      <c r="O542" s="2">
        <f>Table1[[#This Row],[ttl]]/SUM(Table1[ttl])</f>
        <v>5.1721403406147613E-5</v>
      </c>
      <c r="P542" s="3">
        <f>SUM($O$2:Table1[[#This Row],[pctAllTimeExp]])</f>
        <v>0.98531873034676309</v>
      </c>
      <c r="Q542" t="b">
        <f>Table1[[#This Row],[cumPctAllTimeExp]]&lt;0.95</f>
        <v>0</v>
      </c>
    </row>
    <row r="543" spans="1:17" x14ac:dyDescent="0.25">
      <c r="A543">
        <v>1020</v>
      </c>
      <c r="C543" t="s">
        <v>2508</v>
      </c>
      <c r="E543" t="s">
        <v>1022</v>
      </c>
      <c r="F543" s="4">
        <v>0</v>
      </c>
      <c r="G543" s="4">
        <v>0</v>
      </c>
      <c r="H543" s="4">
        <v>7677.82</v>
      </c>
      <c r="I543" s="4">
        <v>0</v>
      </c>
      <c r="J543" s="4">
        <v>17735.740000000002</v>
      </c>
      <c r="K543" s="4">
        <v>0</v>
      </c>
      <c r="L543" s="4">
        <v>0</v>
      </c>
      <c r="M543" s="4">
        <v>127.5</v>
      </c>
      <c r="N543" s="4">
        <f>SUM(Table1[[#This Row],[2025]:[2018]])</f>
        <v>25541.06</v>
      </c>
      <c r="O543" s="2">
        <f>Table1[[#This Row],[ttl]]/SUM(Table1[ttl])</f>
        <v>5.1501733632772737E-5</v>
      </c>
      <c r="P543" s="3">
        <f>SUM($O$2:Table1[[#This Row],[pctAllTimeExp]])</f>
        <v>0.98537023208039587</v>
      </c>
      <c r="Q543" t="b">
        <f>Table1[[#This Row],[cumPctAllTimeExp]]&lt;0.95</f>
        <v>0</v>
      </c>
    </row>
    <row r="544" spans="1:17" x14ac:dyDescent="0.25">
      <c r="A544">
        <v>279</v>
      </c>
      <c r="C544" t="s">
        <v>2508</v>
      </c>
      <c r="E544" t="s">
        <v>281</v>
      </c>
      <c r="F544" s="4">
        <v>6075.25</v>
      </c>
      <c r="G544" s="4">
        <v>3430.9</v>
      </c>
      <c r="H544" s="4">
        <v>2119.35</v>
      </c>
      <c r="I544" s="4">
        <v>7732.25</v>
      </c>
      <c r="J544" s="4">
        <v>3796.5</v>
      </c>
      <c r="K544" s="4">
        <v>810.1</v>
      </c>
      <c r="L544" s="4">
        <v>804.5</v>
      </c>
      <c r="M544" s="4">
        <v>751.4</v>
      </c>
      <c r="N544" s="4">
        <f>SUM(Table1[[#This Row],[2025]:[2018]])</f>
        <v>25520.25</v>
      </c>
      <c r="O544" s="2">
        <f>Table1[[#This Row],[ttl]]/SUM(Table1[ttl])</f>
        <v>5.1459771745642831E-5</v>
      </c>
      <c r="P544" s="3">
        <f>SUM($O$2:Table1[[#This Row],[pctAllTimeExp]])</f>
        <v>0.98542169185214146</v>
      </c>
      <c r="Q544" t="b">
        <f>Table1[[#This Row],[cumPctAllTimeExp]]&lt;0.95</f>
        <v>0</v>
      </c>
    </row>
    <row r="545" spans="1:17" x14ac:dyDescent="0.25">
      <c r="A545">
        <v>716</v>
      </c>
      <c r="C545" t="s">
        <v>2508</v>
      </c>
      <c r="E545" t="s">
        <v>718</v>
      </c>
      <c r="F545" s="4">
        <v>0</v>
      </c>
      <c r="G545" s="4">
        <v>25500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f>SUM(Table1[[#This Row],[2025]:[2018]])</f>
        <v>25500</v>
      </c>
      <c r="O545" s="2">
        <f>Table1[[#This Row],[ttl]]/SUM(Table1[ttl])</f>
        <v>5.1418939058743243E-5</v>
      </c>
      <c r="P545" s="3">
        <f>SUM($O$2:Table1[[#This Row],[pctAllTimeExp]])</f>
        <v>0.98547311079120015</v>
      </c>
      <c r="Q545" t="b">
        <f>Table1[[#This Row],[cumPctAllTimeExp]]&lt;0.95</f>
        <v>0</v>
      </c>
    </row>
    <row r="546" spans="1:17" x14ac:dyDescent="0.25">
      <c r="A546">
        <v>984</v>
      </c>
      <c r="C546" t="s">
        <v>2508</v>
      </c>
      <c r="E546" t="s">
        <v>986</v>
      </c>
      <c r="F546" s="4">
        <v>0</v>
      </c>
      <c r="G546" s="4">
        <v>0</v>
      </c>
      <c r="H546" s="4">
        <v>19768.400000000001</v>
      </c>
      <c r="I546" s="4">
        <v>0</v>
      </c>
      <c r="J546" s="4">
        <v>2090</v>
      </c>
      <c r="K546" s="4">
        <v>0</v>
      </c>
      <c r="L546" s="4">
        <v>2063.75</v>
      </c>
      <c r="M546" s="4">
        <v>1180</v>
      </c>
      <c r="N546" s="4">
        <f>SUM(Table1[[#This Row],[2025]:[2018]])</f>
        <v>25102.15</v>
      </c>
      <c r="O546" s="2">
        <f>Table1[[#This Row],[ttl]]/SUM(Table1[ttl])</f>
        <v>5.061670278797772E-5</v>
      </c>
      <c r="P546" s="3">
        <f>SUM($O$2:Table1[[#This Row],[pctAllTimeExp]])</f>
        <v>0.98552372749398809</v>
      </c>
      <c r="Q546" t="b">
        <f>Table1[[#This Row],[cumPctAllTimeExp]]&lt;0.95</f>
        <v>0</v>
      </c>
    </row>
    <row r="547" spans="1:17" x14ac:dyDescent="0.25">
      <c r="A547">
        <v>258</v>
      </c>
      <c r="C547" t="s">
        <v>2508</v>
      </c>
      <c r="E547" t="s">
        <v>260</v>
      </c>
      <c r="F547" s="4">
        <v>7443</v>
      </c>
      <c r="G547" s="4">
        <v>0</v>
      </c>
      <c r="H547" s="4">
        <v>17348</v>
      </c>
      <c r="I547" s="4">
        <v>0</v>
      </c>
      <c r="J547" s="4">
        <v>0</v>
      </c>
      <c r="K547" s="4">
        <v>0</v>
      </c>
      <c r="L547" s="4">
        <v>60</v>
      </c>
      <c r="M547" s="4">
        <v>115</v>
      </c>
      <c r="N547" s="4">
        <f>SUM(Table1[[#This Row],[2025]:[2018]])</f>
        <v>24966</v>
      </c>
      <c r="O547" s="2">
        <f>Table1[[#This Row],[ttl]]/SUM(Table1[ttl])</f>
        <v>5.0342165981983678E-5</v>
      </c>
      <c r="P547" s="3">
        <f>SUM($O$2:Table1[[#This Row],[pctAllTimeExp]])</f>
        <v>0.98557406965997008</v>
      </c>
      <c r="Q547" t="b">
        <f>Table1[[#This Row],[cumPctAllTimeExp]]&lt;0.95</f>
        <v>0</v>
      </c>
    </row>
    <row r="548" spans="1:17" x14ac:dyDescent="0.25">
      <c r="A548">
        <v>850</v>
      </c>
      <c r="C548" t="s">
        <v>2508</v>
      </c>
      <c r="E548" t="s">
        <v>852</v>
      </c>
      <c r="F548" s="4">
        <v>0</v>
      </c>
      <c r="G548" s="4">
        <v>744.5</v>
      </c>
      <c r="H548" s="4">
        <v>0</v>
      </c>
      <c r="I548" s="4">
        <v>6645.5</v>
      </c>
      <c r="J548" s="4">
        <v>0</v>
      </c>
      <c r="K548" s="4">
        <v>6496.5</v>
      </c>
      <c r="L548" s="4">
        <v>0</v>
      </c>
      <c r="M548" s="4">
        <v>10813.77</v>
      </c>
      <c r="N548" s="4">
        <f>SUM(Table1[[#This Row],[2025]:[2018]])</f>
        <v>24700.27</v>
      </c>
      <c r="O548" s="2">
        <f>Table1[[#This Row],[ttl]]/SUM(Table1[ttl])</f>
        <v>4.980634030841192E-5</v>
      </c>
      <c r="P548" s="3">
        <f>SUM($O$2:Table1[[#This Row],[pctAllTimeExp]])</f>
        <v>0.98562387600027845</v>
      </c>
      <c r="Q548" t="b">
        <f>Table1[[#This Row],[cumPctAllTimeExp]]&lt;0.95</f>
        <v>0</v>
      </c>
    </row>
    <row r="549" spans="1:17" x14ac:dyDescent="0.25">
      <c r="A549">
        <v>309</v>
      </c>
      <c r="C549" t="s">
        <v>2508</v>
      </c>
      <c r="E549" t="s">
        <v>311</v>
      </c>
      <c r="F549" s="4">
        <v>4585.63</v>
      </c>
      <c r="G549" s="4">
        <v>2551.41</v>
      </c>
      <c r="H549" s="4">
        <v>0</v>
      </c>
      <c r="I549" s="4">
        <v>0</v>
      </c>
      <c r="J549" s="4">
        <v>616.5</v>
      </c>
      <c r="K549" s="4">
        <v>0</v>
      </c>
      <c r="L549" s="4">
        <v>8854.2099999999991</v>
      </c>
      <c r="M549" s="4">
        <v>7940</v>
      </c>
      <c r="N549" s="4">
        <f>SUM(Table1[[#This Row],[2025]:[2018]])</f>
        <v>24547.75</v>
      </c>
      <c r="O549" s="2">
        <f>Table1[[#This Row],[ttl]]/SUM(Table1[ttl])</f>
        <v>4.9498794559971155E-5</v>
      </c>
      <c r="P549" s="3">
        <f>SUM($O$2:Table1[[#This Row],[pctAllTimeExp]])</f>
        <v>0.98567337479483841</v>
      </c>
      <c r="Q549" t="b">
        <f>Table1[[#This Row],[cumPctAllTimeExp]]&lt;0.95</f>
        <v>0</v>
      </c>
    </row>
    <row r="550" spans="1:17" x14ac:dyDescent="0.25">
      <c r="A550">
        <v>1414</v>
      </c>
      <c r="C550" t="s">
        <v>2508</v>
      </c>
      <c r="E550" t="s">
        <v>1416</v>
      </c>
      <c r="F550" s="4">
        <v>0</v>
      </c>
      <c r="G550" s="4">
        <v>0</v>
      </c>
      <c r="H550" s="4">
        <v>0</v>
      </c>
      <c r="I550" s="4">
        <v>0</v>
      </c>
      <c r="J550" s="4">
        <v>24498.5</v>
      </c>
      <c r="K550" s="4">
        <v>0</v>
      </c>
      <c r="L550" s="4">
        <v>0</v>
      </c>
      <c r="M550" s="4">
        <v>0</v>
      </c>
      <c r="N550" s="4">
        <f>SUM(Table1[[#This Row],[2025]:[2018]])</f>
        <v>24498.5</v>
      </c>
      <c r="O550" s="2">
        <f>Table1[[#This Row],[ttl]]/SUM(Table1[ttl])</f>
        <v>4.939948543257339E-5</v>
      </c>
      <c r="P550" s="3">
        <f>SUM($O$2:Table1[[#This Row],[pctAllTimeExp]])</f>
        <v>0.985722774280271</v>
      </c>
      <c r="Q550" t="b">
        <f>Table1[[#This Row],[cumPctAllTimeExp]]&lt;0.95</f>
        <v>0</v>
      </c>
    </row>
    <row r="551" spans="1:17" x14ac:dyDescent="0.25">
      <c r="A551">
        <v>736</v>
      </c>
      <c r="C551" t="s">
        <v>2508</v>
      </c>
      <c r="E551" t="s">
        <v>738</v>
      </c>
      <c r="F551" s="4">
        <v>0</v>
      </c>
      <c r="G551" s="4">
        <v>12192.57</v>
      </c>
      <c r="H551" s="4">
        <v>6000</v>
      </c>
      <c r="I551" s="4">
        <v>6000</v>
      </c>
      <c r="J551" s="4">
        <v>0</v>
      </c>
      <c r="K551" s="4">
        <v>0</v>
      </c>
      <c r="L551" s="4">
        <v>0</v>
      </c>
      <c r="M551" s="4">
        <v>0</v>
      </c>
      <c r="N551" s="4">
        <f>SUM(Table1[[#This Row],[2025]:[2018]])</f>
        <v>24192.57</v>
      </c>
      <c r="O551" s="2">
        <f>Table1[[#This Row],[ttl]]/SUM(Table1[ttl])</f>
        <v>4.8782599313897258E-5</v>
      </c>
      <c r="P551" s="3">
        <f>SUM($O$2:Table1[[#This Row],[pctAllTimeExp]])</f>
        <v>0.98577155687958484</v>
      </c>
      <c r="Q551" t="b">
        <f>Table1[[#This Row],[cumPctAllTimeExp]]&lt;0.95</f>
        <v>0</v>
      </c>
    </row>
    <row r="552" spans="1:17" x14ac:dyDescent="0.25">
      <c r="A552">
        <v>398</v>
      </c>
      <c r="C552" t="s">
        <v>2508</v>
      </c>
      <c r="E552" t="s">
        <v>400</v>
      </c>
      <c r="F552" s="4">
        <v>1971.5</v>
      </c>
      <c r="G552" s="4">
        <v>703</v>
      </c>
      <c r="H552" s="4">
        <v>9013.8799999999992</v>
      </c>
      <c r="I552" s="4">
        <v>10226.5</v>
      </c>
      <c r="J552" s="4">
        <v>2210.5</v>
      </c>
      <c r="K552" s="4">
        <v>0</v>
      </c>
      <c r="L552" s="4">
        <v>0</v>
      </c>
      <c r="M552" s="4">
        <v>0</v>
      </c>
      <c r="N552" s="4">
        <f>SUM(Table1[[#This Row],[2025]:[2018]])</f>
        <v>24125.379999999997</v>
      </c>
      <c r="O552" s="2">
        <f>Table1[[#This Row],[ttl]]/SUM(Table1[ttl])</f>
        <v>4.8647115450549921E-5</v>
      </c>
      <c r="P552" s="3">
        <f>SUM($O$2:Table1[[#This Row],[pctAllTimeExp]])</f>
        <v>0.98582020399503534</v>
      </c>
      <c r="Q552" t="b">
        <f>Table1[[#This Row],[cumPctAllTimeExp]]&lt;0.95</f>
        <v>0</v>
      </c>
    </row>
    <row r="553" spans="1:17" x14ac:dyDescent="0.25">
      <c r="A553">
        <v>767</v>
      </c>
      <c r="C553" t="s">
        <v>2508</v>
      </c>
      <c r="E553" t="s">
        <v>769</v>
      </c>
      <c r="F553" s="4">
        <v>0</v>
      </c>
      <c r="G553" s="4">
        <v>4880</v>
      </c>
      <c r="H553" s="4">
        <v>13063</v>
      </c>
      <c r="I553" s="4">
        <v>0</v>
      </c>
      <c r="J553" s="4">
        <v>2030.75</v>
      </c>
      <c r="K553" s="4">
        <v>4124</v>
      </c>
      <c r="L553" s="4">
        <v>0</v>
      </c>
      <c r="M553" s="4">
        <v>0</v>
      </c>
      <c r="N553" s="4">
        <f>SUM(Table1[[#This Row],[2025]:[2018]])</f>
        <v>24097.75</v>
      </c>
      <c r="O553" s="2">
        <f>Table1[[#This Row],[ttl]]/SUM(Table1[ttl])</f>
        <v>4.8591401517758037E-5</v>
      </c>
      <c r="P553" s="3">
        <f>SUM($O$2:Table1[[#This Row],[pctAllTimeExp]])</f>
        <v>0.98586879539655314</v>
      </c>
      <c r="Q553" t="b">
        <f>Table1[[#This Row],[cumPctAllTimeExp]]&lt;0.95</f>
        <v>0</v>
      </c>
    </row>
    <row r="554" spans="1:17" x14ac:dyDescent="0.25">
      <c r="A554">
        <v>1692</v>
      </c>
      <c r="C554" t="s">
        <v>2508</v>
      </c>
      <c r="E554" t="s">
        <v>1694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10025</v>
      </c>
      <c r="L554" s="4">
        <v>6000</v>
      </c>
      <c r="M554" s="4">
        <v>8054</v>
      </c>
      <c r="N554" s="4">
        <f>SUM(Table1[[#This Row],[2025]:[2018]])</f>
        <v>24079</v>
      </c>
      <c r="O554" s="2">
        <f>Table1[[#This Row],[ttl]]/SUM(Table1[ttl])</f>
        <v>4.855359347433249E-5</v>
      </c>
      <c r="P554" s="3">
        <f>SUM($O$2:Table1[[#This Row],[pctAllTimeExp]])</f>
        <v>0.98591734899002748</v>
      </c>
      <c r="Q554" t="b">
        <f>Table1[[#This Row],[cumPctAllTimeExp]]&lt;0.95</f>
        <v>0</v>
      </c>
    </row>
    <row r="555" spans="1:17" x14ac:dyDescent="0.25">
      <c r="A555">
        <v>1422</v>
      </c>
      <c r="C555" t="s">
        <v>2508</v>
      </c>
      <c r="E555" t="s">
        <v>1424</v>
      </c>
      <c r="F555" s="4">
        <v>0</v>
      </c>
      <c r="G555" s="4">
        <v>0</v>
      </c>
      <c r="H555" s="4">
        <v>0</v>
      </c>
      <c r="I555" s="4">
        <v>0</v>
      </c>
      <c r="J555" s="4">
        <v>15284</v>
      </c>
      <c r="K555" s="4">
        <v>0</v>
      </c>
      <c r="L555" s="4">
        <v>8746</v>
      </c>
      <c r="M555" s="4">
        <v>0</v>
      </c>
      <c r="N555" s="4">
        <f>SUM(Table1[[#This Row],[2025]:[2018]])</f>
        <v>24030</v>
      </c>
      <c r="O555" s="2">
        <f>Table1[[#This Row],[ttl]]/SUM(Table1[ttl])</f>
        <v>4.8454788454180397E-5</v>
      </c>
      <c r="P555" s="3">
        <f>SUM($O$2:Table1[[#This Row],[pctAllTimeExp]])</f>
        <v>0.98596580377848164</v>
      </c>
      <c r="Q555" t="b">
        <f>Table1[[#This Row],[cumPctAllTimeExp]]&lt;0.95</f>
        <v>0</v>
      </c>
    </row>
    <row r="556" spans="1:17" x14ac:dyDescent="0.25">
      <c r="A556">
        <v>2252</v>
      </c>
      <c r="C556" t="s">
        <v>2508</v>
      </c>
      <c r="E556" t="s">
        <v>2254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23997.5</v>
      </c>
      <c r="N556" s="4">
        <f>SUM(Table1[[#This Row],[2025]:[2018]])</f>
        <v>23997.5</v>
      </c>
      <c r="O556" s="2">
        <f>Table1[[#This Row],[ttl]]/SUM(Table1[ttl])</f>
        <v>4.8389254512242784E-5</v>
      </c>
      <c r="P556" s="3">
        <f>SUM($O$2:Table1[[#This Row],[pctAllTimeExp]])</f>
        <v>0.98601419303299387</v>
      </c>
      <c r="Q556" t="b">
        <f>Table1[[#This Row],[cumPctAllTimeExp]]&lt;0.95</f>
        <v>0</v>
      </c>
    </row>
    <row r="557" spans="1:17" x14ac:dyDescent="0.25">
      <c r="A557">
        <v>151</v>
      </c>
      <c r="C557" t="s">
        <v>2508</v>
      </c>
      <c r="E557" t="s">
        <v>153</v>
      </c>
      <c r="F557" s="4">
        <v>23900.400000000001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f>SUM(Table1[[#This Row],[2025]:[2018]])</f>
        <v>23900.400000000001</v>
      </c>
      <c r="O557" s="2">
        <f>Table1[[#This Row],[ttl]]/SUM(Table1[ttl])</f>
        <v>4.819345925802302E-5</v>
      </c>
      <c r="P557" s="3">
        <f>SUM($O$2:Table1[[#This Row],[pctAllTimeExp]])</f>
        <v>0.98606238649225186</v>
      </c>
      <c r="Q557" t="b">
        <f>Table1[[#This Row],[cumPctAllTimeExp]]&lt;0.95</f>
        <v>0</v>
      </c>
    </row>
    <row r="558" spans="1:17" x14ac:dyDescent="0.25">
      <c r="A558">
        <v>1362</v>
      </c>
      <c r="C558" t="s">
        <v>2508</v>
      </c>
      <c r="E558" t="s">
        <v>1364</v>
      </c>
      <c r="F558" s="4">
        <v>0</v>
      </c>
      <c r="G558" s="4">
        <v>0</v>
      </c>
      <c r="H558" s="4">
        <v>0</v>
      </c>
      <c r="I558" s="4">
        <v>176.03</v>
      </c>
      <c r="J558" s="4">
        <v>23652.19</v>
      </c>
      <c r="K558" s="4">
        <v>0</v>
      </c>
      <c r="L558" s="4">
        <v>0</v>
      </c>
      <c r="M558" s="4">
        <v>0</v>
      </c>
      <c r="N558" s="4">
        <f>SUM(Table1[[#This Row],[2025]:[2018]])</f>
        <v>23828.219999999998</v>
      </c>
      <c r="O558" s="2">
        <f>Table1[[#This Row],[ttl]]/SUM(Table1[ttl])</f>
        <v>4.8047913414052032E-5</v>
      </c>
      <c r="P558" s="3">
        <f>SUM($O$2:Table1[[#This Row],[pctAllTimeExp]])</f>
        <v>0.98611043440566593</v>
      </c>
      <c r="Q558" t="b">
        <f>Table1[[#This Row],[cumPctAllTimeExp]]&lt;0.95</f>
        <v>0</v>
      </c>
    </row>
    <row r="559" spans="1:17" x14ac:dyDescent="0.25">
      <c r="A559">
        <v>251</v>
      </c>
      <c r="C559" t="s">
        <v>2508</v>
      </c>
      <c r="E559" t="s">
        <v>253</v>
      </c>
      <c r="F559" s="4">
        <v>7833</v>
      </c>
      <c r="G559" s="4">
        <v>13103.97</v>
      </c>
      <c r="H559" s="4">
        <v>389.98</v>
      </c>
      <c r="I559" s="4">
        <v>1049.93</v>
      </c>
      <c r="J559" s="4">
        <v>609.96</v>
      </c>
      <c r="K559" s="4">
        <v>284.98</v>
      </c>
      <c r="L559" s="4">
        <v>234.98</v>
      </c>
      <c r="M559" s="4">
        <v>234.98</v>
      </c>
      <c r="N559" s="4">
        <f>SUM(Table1[[#This Row],[2025]:[2018]])</f>
        <v>23741.78</v>
      </c>
      <c r="O559" s="2">
        <f>Table1[[#This Row],[ttl]]/SUM(Table1[ttl])</f>
        <v>4.7873613292787811E-5</v>
      </c>
      <c r="P559" s="3">
        <f>SUM($O$2:Table1[[#This Row],[pctAllTimeExp]])</f>
        <v>0.98615830801895876</v>
      </c>
      <c r="Q559" t="b">
        <f>Table1[[#This Row],[cumPctAllTimeExp]]&lt;0.95</f>
        <v>0</v>
      </c>
    </row>
    <row r="560" spans="1:17" x14ac:dyDescent="0.25">
      <c r="A560">
        <v>893</v>
      </c>
      <c r="C560" t="s">
        <v>2508</v>
      </c>
      <c r="E560" t="s">
        <v>895</v>
      </c>
      <c r="F560" s="4">
        <v>0</v>
      </c>
      <c r="G560" s="4">
        <v>358</v>
      </c>
      <c r="H560" s="4">
        <v>700.45</v>
      </c>
      <c r="I560" s="4">
        <v>8803.44</v>
      </c>
      <c r="J560" s="4">
        <v>3326.93</v>
      </c>
      <c r="K560" s="4">
        <v>2696.42</v>
      </c>
      <c r="L560" s="4">
        <v>1603.57</v>
      </c>
      <c r="M560" s="4">
        <v>6196.72</v>
      </c>
      <c r="N560" s="4">
        <f>SUM(Table1[[#This Row],[2025]:[2018]])</f>
        <v>23685.530000000002</v>
      </c>
      <c r="O560" s="2">
        <f>Table1[[#This Row],[ttl]]/SUM(Table1[ttl])</f>
        <v>4.7760189162511179E-5</v>
      </c>
      <c r="P560" s="3">
        <f>SUM($O$2:Table1[[#This Row],[pctAllTimeExp]])</f>
        <v>0.98620606820812129</v>
      </c>
      <c r="Q560" t="b">
        <f>Table1[[#This Row],[cumPctAllTimeExp]]&lt;0.95</f>
        <v>0</v>
      </c>
    </row>
    <row r="561" spans="1:17" x14ac:dyDescent="0.25">
      <c r="A561">
        <v>981</v>
      </c>
      <c r="C561" t="s">
        <v>2508</v>
      </c>
      <c r="E561" t="s">
        <v>983</v>
      </c>
      <c r="F561" s="4">
        <v>0</v>
      </c>
      <c r="G561" s="4">
        <v>0</v>
      </c>
      <c r="H561" s="4">
        <v>23525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f>SUM(Table1[[#This Row],[2025]:[2018]])</f>
        <v>23525</v>
      </c>
      <c r="O561" s="2">
        <f>Table1[[#This Row],[ttl]]/SUM(Table1[ttl])</f>
        <v>4.743649181791901E-5</v>
      </c>
      <c r="P561" s="3">
        <f>SUM($O$2:Table1[[#This Row],[pctAllTimeExp]])</f>
        <v>0.98625350469993922</v>
      </c>
      <c r="Q561" t="b">
        <f>Table1[[#This Row],[cumPctAllTimeExp]]&lt;0.95</f>
        <v>0</v>
      </c>
    </row>
    <row r="562" spans="1:17" x14ac:dyDescent="0.25">
      <c r="A562">
        <v>1214</v>
      </c>
      <c r="C562" t="s">
        <v>2508</v>
      </c>
      <c r="E562" t="s">
        <v>1216</v>
      </c>
      <c r="F562" s="4">
        <v>0</v>
      </c>
      <c r="G562" s="4">
        <v>0</v>
      </c>
      <c r="H562" s="4">
        <v>0</v>
      </c>
      <c r="I562" s="4">
        <v>14520</v>
      </c>
      <c r="J562" s="4">
        <v>0</v>
      </c>
      <c r="K562" s="4">
        <v>0</v>
      </c>
      <c r="L562" s="4">
        <v>9000</v>
      </c>
      <c r="M562" s="4">
        <v>0</v>
      </c>
      <c r="N562" s="4">
        <f>SUM(Table1[[#This Row],[2025]:[2018]])</f>
        <v>23520</v>
      </c>
      <c r="O562" s="2">
        <f>Table1[[#This Row],[ttl]]/SUM(Table1[ttl])</f>
        <v>4.7426409673005531E-5</v>
      </c>
      <c r="P562" s="3">
        <f>SUM($O$2:Table1[[#This Row],[pctAllTimeExp]])</f>
        <v>0.98630093110961226</v>
      </c>
      <c r="Q562" t="b">
        <f>Table1[[#This Row],[cumPctAllTimeExp]]&lt;0.95</f>
        <v>0</v>
      </c>
    </row>
    <row r="563" spans="1:17" x14ac:dyDescent="0.25">
      <c r="A563">
        <v>2034</v>
      </c>
      <c r="C563" t="s">
        <v>2508</v>
      </c>
      <c r="E563" t="s">
        <v>2036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2756.53</v>
      </c>
      <c r="M563" s="4">
        <v>20701.990000000002</v>
      </c>
      <c r="N563" s="4">
        <f>SUM(Table1[[#This Row],[2025]:[2018]])</f>
        <v>23458.52</v>
      </c>
      <c r="O563" s="2">
        <f>Table1[[#This Row],[ttl]]/SUM(Table1[ttl])</f>
        <v>4.7302439619149395E-5</v>
      </c>
      <c r="P563" s="3">
        <f>SUM($O$2:Table1[[#This Row],[pctAllTimeExp]])</f>
        <v>0.9863482335492314</v>
      </c>
      <c r="Q563" t="b">
        <f>Table1[[#This Row],[cumPctAllTimeExp]]&lt;0.95</f>
        <v>0</v>
      </c>
    </row>
    <row r="564" spans="1:17" x14ac:dyDescent="0.25">
      <c r="A564">
        <v>1667</v>
      </c>
      <c r="C564" t="s">
        <v>2508</v>
      </c>
      <c r="E564" t="s">
        <v>1669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23450</v>
      </c>
      <c r="L564" s="4">
        <v>0</v>
      </c>
      <c r="M564" s="4">
        <v>0</v>
      </c>
      <c r="N564" s="4">
        <f>SUM(Table1[[#This Row],[2025]:[2018]])</f>
        <v>23450</v>
      </c>
      <c r="O564" s="2">
        <f>Table1[[#This Row],[ttl]]/SUM(Table1[ttl])</f>
        <v>4.7285259644216824E-5</v>
      </c>
      <c r="P564" s="3">
        <f>SUM($O$2:Table1[[#This Row],[pctAllTimeExp]])</f>
        <v>0.98639551880887566</v>
      </c>
      <c r="Q564" t="b">
        <f>Table1[[#This Row],[cumPctAllTimeExp]]&lt;0.95</f>
        <v>0</v>
      </c>
    </row>
    <row r="565" spans="1:17" x14ac:dyDescent="0.25">
      <c r="A565">
        <v>758</v>
      </c>
      <c r="C565" t="s">
        <v>2508</v>
      </c>
      <c r="E565" t="s">
        <v>760</v>
      </c>
      <c r="F565" s="4">
        <v>0</v>
      </c>
      <c r="G565" s="4">
        <v>7250</v>
      </c>
      <c r="H565" s="4">
        <v>2900</v>
      </c>
      <c r="I565" s="4">
        <v>5800</v>
      </c>
      <c r="J565" s="4">
        <v>2712</v>
      </c>
      <c r="K565" s="4">
        <v>0</v>
      </c>
      <c r="L565" s="4">
        <v>4767.5</v>
      </c>
      <c r="M565" s="4">
        <v>0</v>
      </c>
      <c r="N565" s="4">
        <f>SUM(Table1[[#This Row],[2025]:[2018]])</f>
        <v>23429.5</v>
      </c>
      <c r="O565" s="2">
        <f>Table1[[#This Row],[ttl]]/SUM(Table1[ttl])</f>
        <v>4.7243922850071563E-5</v>
      </c>
      <c r="P565" s="3">
        <f>SUM($O$2:Table1[[#This Row],[pctAllTimeExp]])</f>
        <v>0.98644276273172571</v>
      </c>
      <c r="Q565" t="b">
        <f>Table1[[#This Row],[cumPctAllTimeExp]]&lt;0.95</f>
        <v>0</v>
      </c>
    </row>
    <row r="566" spans="1:17" x14ac:dyDescent="0.25">
      <c r="A566">
        <v>720</v>
      </c>
      <c r="C566" t="s">
        <v>2508</v>
      </c>
      <c r="E566" t="s">
        <v>722</v>
      </c>
      <c r="F566" s="4">
        <v>0</v>
      </c>
      <c r="G566" s="4">
        <v>23396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f>SUM(Table1[[#This Row],[2025]:[2018]])</f>
        <v>23396</v>
      </c>
      <c r="O566" s="2">
        <f>Table1[[#This Row],[ttl]]/SUM(Table1[ttl])</f>
        <v>4.7176372479151252E-5</v>
      </c>
      <c r="P566" s="3">
        <f>SUM($O$2:Table1[[#This Row],[pctAllTimeExp]])</f>
        <v>0.9864899391042049</v>
      </c>
      <c r="Q566" t="b">
        <f>Table1[[#This Row],[cumPctAllTimeExp]]&lt;0.95</f>
        <v>0</v>
      </c>
    </row>
    <row r="567" spans="1:17" x14ac:dyDescent="0.25">
      <c r="A567">
        <v>760</v>
      </c>
      <c r="C567" t="s">
        <v>2508</v>
      </c>
      <c r="E567" t="s">
        <v>762</v>
      </c>
      <c r="F567" s="4">
        <v>0</v>
      </c>
      <c r="G567" s="4">
        <v>6798</v>
      </c>
      <c r="H567" s="4">
        <v>0</v>
      </c>
      <c r="I567" s="4">
        <v>5550</v>
      </c>
      <c r="J567" s="4">
        <v>0</v>
      </c>
      <c r="K567" s="4">
        <v>5950</v>
      </c>
      <c r="L567" s="4">
        <v>0</v>
      </c>
      <c r="M567" s="4">
        <v>4999</v>
      </c>
      <c r="N567" s="4">
        <f>SUM(Table1[[#This Row],[2025]:[2018]])</f>
        <v>23297</v>
      </c>
      <c r="O567" s="2">
        <f>Table1[[#This Row],[ttl]]/SUM(Table1[ttl])</f>
        <v>4.6976746009864369E-5</v>
      </c>
      <c r="P567" s="3">
        <f>SUM($O$2:Table1[[#This Row],[pctAllTimeExp]])</f>
        <v>0.98653691585021475</v>
      </c>
      <c r="Q567" t="b">
        <f>Table1[[#This Row],[cumPctAllTimeExp]]&lt;0.95</f>
        <v>0</v>
      </c>
    </row>
    <row r="568" spans="1:17" x14ac:dyDescent="0.25">
      <c r="A568">
        <v>330</v>
      </c>
      <c r="C568" t="s">
        <v>2508</v>
      </c>
      <c r="E568" t="s">
        <v>332</v>
      </c>
      <c r="F568" s="4">
        <v>3662.16</v>
      </c>
      <c r="G568" s="4">
        <v>1439.47</v>
      </c>
      <c r="H568" s="4">
        <v>4374.17</v>
      </c>
      <c r="I568" s="4">
        <v>3739.52</v>
      </c>
      <c r="J568" s="4">
        <v>5355.57</v>
      </c>
      <c r="K568" s="4">
        <v>2914.91</v>
      </c>
      <c r="L568" s="4">
        <v>1397.04</v>
      </c>
      <c r="M568" s="4">
        <v>350.07</v>
      </c>
      <c r="N568" s="4">
        <f>SUM(Table1[[#This Row],[2025]:[2018]])</f>
        <v>23232.91</v>
      </c>
      <c r="O568" s="2">
        <f>Table1[[#This Row],[ttl]]/SUM(Table1[ttl])</f>
        <v>4.6847513076363392E-5</v>
      </c>
      <c r="P568" s="3">
        <f>SUM($O$2:Table1[[#This Row],[pctAllTimeExp]])</f>
        <v>0.98658376336329112</v>
      </c>
      <c r="Q568" t="b">
        <f>Table1[[#This Row],[cumPctAllTimeExp]]&lt;0.95</f>
        <v>0</v>
      </c>
    </row>
    <row r="569" spans="1:17" x14ac:dyDescent="0.25">
      <c r="A569">
        <v>301</v>
      </c>
      <c r="C569" t="s">
        <v>2508</v>
      </c>
      <c r="E569" t="s">
        <v>303</v>
      </c>
      <c r="F569" s="4">
        <v>5029.42</v>
      </c>
      <c r="G569" s="4">
        <v>2936.04</v>
      </c>
      <c r="H569" s="4">
        <v>3449.04</v>
      </c>
      <c r="I569" s="4">
        <v>1457.76</v>
      </c>
      <c r="J569" s="4">
        <v>1153.72</v>
      </c>
      <c r="K569" s="4">
        <v>2390.54</v>
      </c>
      <c r="L569" s="4">
        <v>5530.37</v>
      </c>
      <c r="M569" s="4">
        <v>1247.5</v>
      </c>
      <c r="N569" s="4">
        <f>SUM(Table1[[#This Row],[2025]:[2018]])</f>
        <v>23194.39</v>
      </c>
      <c r="O569" s="2">
        <f>Table1[[#This Row],[ttl]]/SUM(Table1[ttl])</f>
        <v>4.6769840231949947E-5</v>
      </c>
      <c r="P569" s="3">
        <f>SUM($O$2:Table1[[#This Row],[pctAllTimeExp]])</f>
        <v>0.98663053320352312</v>
      </c>
      <c r="Q569" t="b">
        <f>Table1[[#This Row],[cumPctAllTimeExp]]&lt;0.95</f>
        <v>0</v>
      </c>
    </row>
    <row r="570" spans="1:17" x14ac:dyDescent="0.25">
      <c r="A570">
        <v>1669</v>
      </c>
      <c r="C570" t="s">
        <v>2508</v>
      </c>
      <c r="E570" t="s">
        <v>1671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23100</v>
      </c>
      <c r="L570" s="4">
        <v>0</v>
      </c>
      <c r="M570" s="4">
        <v>0</v>
      </c>
      <c r="N570" s="4">
        <f>SUM(Table1[[#This Row],[2025]:[2018]])</f>
        <v>23100</v>
      </c>
      <c r="O570" s="2">
        <f>Table1[[#This Row],[ttl]]/SUM(Table1[ttl])</f>
        <v>4.6579509500273293E-5</v>
      </c>
      <c r="P570" s="3">
        <f>SUM($O$2:Table1[[#This Row],[pctAllTimeExp]])</f>
        <v>0.98667711271302339</v>
      </c>
      <c r="Q570" t="b">
        <f>Table1[[#This Row],[cumPctAllTimeExp]]&lt;0.95</f>
        <v>0</v>
      </c>
    </row>
    <row r="571" spans="1:17" x14ac:dyDescent="0.25">
      <c r="A571">
        <v>1210</v>
      </c>
      <c r="C571" t="s">
        <v>2508</v>
      </c>
      <c r="E571" t="s">
        <v>1212</v>
      </c>
      <c r="F571" s="4">
        <v>0</v>
      </c>
      <c r="G571" s="4">
        <v>0</v>
      </c>
      <c r="H571" s="4">
        <v>0</v>
      </c>
      <c r="I571" s="4">
        <v>16810.599999999999</v>
      </c>
      <c r="J571" s="4">
        <v>3399</v>
      </c>
      <c r="K571" s="4">
        <v>0</v>
      </c>
      <c r="L571" s="4">
        <v>0</v>
      </c>
      <c r="M571" s="4">
        <v>2706.07</v>
      </c>
      <c r="N571" s="4">
        <f>SUM(Table1[[#This Row],[2025]:[2018]])</f>
        <v>22915.67</v>
      </c>
      <c r="O571" s="2">
        <f>Table1[[#This Row],[ttl]]/SUM(Table1[ttl])</f>
        <v>4.6207821145892967E-5</v>
      </c>
      <c r="P571" s="3">
        <f>SUM($O$2:Table1[[#This Row],[pctAllTimeExp]])</f>
        <v>0.98672332053416922</v>
      </c>
      <c r="Q571" t="b">
        <f>Table1[[#This Row],[cumPctAllTimeExp]]&lt;0.95</f>
        <v>0</v>
      </c>
    </row>
    <row r="572" spans="1:17" x14ac:dyDescent="0.25">
      <c r="A572">
        <v>2253</v>
      </c>
      <c r="C572" t="s">
        <v>2508</v>
      </c>
      <c r="E572" t="s">
        <v>2255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22781.56</v>
      </c>
      <c r="N572" s="4">
        <f>SUM(Table1[[#This Row],[2025]:[2018]])</f>
        <v>22781.56</v>
      </c>
      <c r="O572" s="2">
        <f>Table1[[#This Row],[ttl]]/SUM(Table1[ttl])</f>
        <v>4.5937397855023643E-5</v>
      </c>
      <c r="P572" s="3">
        <f>SUM($O$2:Table1[[#This Row],[pctAllTimeExp]])</f>
        <v>0.9867692579320243</v>
      </c>
      <c r="Q572" t="b">
        <f>Table1[[#This Row],[cumPctAllTimeExp]]&lt;0.95</f>
        <v>0</v>
      </c>
    </row>
    <row r="573" spans="1:17" x14ac:dyDescent="0.25">
      <c r="A573">
        <v>1228</v>
      </c>
      <c r="C573" t="s">
        <v>2508</v>
      </c>
      <c r="E573" t="s">
        <v>1230</v>
      </c>
      <c r="F573" s="4">
        <v>0</v>
      </c>
      <c r="G573" s="4">
        <v>0</v>
      </c>
      <c r="H573" s="4">
        <v>0</v>
      </c>
      <c r="I573" s="4">
        <v>6335</v>
      </c>
      <c r="J573" s="4">
        <v>16300</v>
      </c>
      <c r="K573" s="4">
        <v>0</v>
      </c>
      <c r="L573" s="4">
        <v>0</v>
      </c>
      <c r="M573" s="4">
        <v>0</v>
      </c>
      <c r="N573" s="4">
        <f>SUM(Table1[[#This Row],[2025]:[2018]])</f>
        <v>22635</v>
      </c>
      <c r="O573" s="2">
        <f>Table1[[#This Row],[ttl]]/SUM(Table1[ttl])</f>
        <v>4.5641870023319737E-5</v>
      </c>
      <c r="P573" s="3">
        <f>SUM($O$2:Table1[[#This Row],[pctAllTimeExp]])</f>
        <v>0.98681489980204762</v>
      </c>
      <c r="Q573" t="b">
        <f>Table1[[#This Row],[cumPctAllTimeExp]]&lt;0.95</f>
        <v>0</v>
      </c>
    </row>
    <row r="574" spans="1:17" x14ac:dyDescent="0.25">
      <c r="A574">
        <v>213</v>
      </c>
      <c r="C574" t="s">
        <v>2508</v>
      </c>
      <c r="E574" t="s">
        <v>215</v>
      </c>
      <c r="F574" s="4">
        <v>12186.05</v>
      </c>
      <c r="G574" s="4">
        <v>10423.5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f>SUM(Table1[[#This Row],[2025]:[2018]])</f>
        <v>22609.55</v>
      </c>
      <c r="O574" s="2">
        <f>Table1[[#This Row],[ttl]]/SUM(Table1[ttl])</f>
        <v>4.5590551905710128E-5</v>
      </c>
      <c r="P574" s="3">
        <f>SUM($O$2:Table1[[#This Row],[pctAllTimeExp]])</f>
        <v>0.98686049035395329</v>
      </c>
      <c r="Q574" t="b">
        <f>Table1[[#This Row],[cumPctAllTimeExp]]&lt;0.95</f>
        <v>0</v>
      </c>
    </row>
    <row r="575" spans="1:17" x14ac:dyDescent="0.25">
      <c r="A575">
        <v>156</v>
      </c>
      <c r="C575" t="s">
        <v>2508</v>
      </c>
      <c r="E575" t="s">
        <v>158</v>
      </c>
      <c r="F575" s="4">
        <v>22500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f>SUM(Table1[[#This Row],[2025]:[2018]])</f>
        <v>22500</v>
      </c>
      <c r="O575" s="2">
        <f>Table1[[#This Row],[ttl]]/SUM(Table1[ttl])</f>
        <v>4.5369652110655804E-5</v>
      </c>
      <c r="P575" s="3">
        <f>SUM($O$2:Table1[[#This Row],[pctAllTimeExp]])</f>
        <v>0.98690586000606395</v>
      </c>
      <c r="Q575" t="b">
        <f>Table1[[#This Row],[cumPctAllTimeExp]]&lt;0.95</f>
        <v>0</v>
      </c>
    </row>
    <row r="576" spans="1:17" x14ac:dyDescent="0.25">
      <c r="A576">
        <v>406</v>
      </c>
      <c r="C576" t="s">
        <v>2508</v>
      </c>
      <c r="E576" t="s">
        <v>408</v>
      </c>
      <c r="F576" s="4">
        <v>1792</v>
      </c>
      <c r="G576" s="4">
        <v>0</v>
      </c>
      <c r="H576" s="4">
        <v>7480</v>
      </c>
      <c r="I576" s="4">
        <v>0</v>
      </c>
      <c r="J576" s="4">
        <v>0</v>
      </c>
      <c r="K576" s="4">
        <v>1894</v>
      </c>
      <c r="L576" s="4">
        <v>9474</v>
      </c>
      <c r="M576" s="4">
        <v>1579</v>
      </c>
      <c r="N576" s="4">
        <f>SUM(Table1[[#This Row],[2025]:[2018]])</f>
        <v>22219</v>
      </c>
      <c r="O576" s="2">
        <f>Table1[[#This Row],[ttl]]/SUM(Table1[ttl])</f>
        <v>4.4803035566518282E-5</v>
      </c>
      <c r="P576" s="3">
        <f>SUM($O$2:Table1[[#This Row],[pctAllTimeExp]])</f>
        <v>0.98695066304163048</v>
      </c>
      <c r="Q576" t="b">
        <f>Table1[[#This Row],[cumPctAllTimeExp]]&lt;0.95</f>
        <v>0</v>
      </c>
    </row>
    <row r="577" spans="1:17" x14ac:dyDescent="0.25">
      <c r="A577">
        <v>740</v>
      </c>
      <c r="C577" t="s">
        <v>2508</v>
      </c>
      <c r="E577" t="s">
        <v>742</v>
      </c>
      <c r="F577" s="4">
        <v>0</v>
      </c>
      <c r="G577" s="4">
        <v>11000</v>
      </c>
      <c r="H577" s="4">
        <v>11000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f>SUM(Table1[[#This Row],[2025]:[2018]])</f>
        <v>22000</v>
      </c>
      <c r="O577" s="2">
        <f>Table1[[#This Row],[ttl]]/SUM(Table1[ttl])</f>
        <v>4.4361437619307895E-5</v>
      </c>
      <c r="P577" s="3">
        <f>SUM($O$2:Table1[[#This Row],[pctAllTimeExp]])</f>
        <v>0.98699502447924981</v>
      </c>
      <c r="Q577" t="b">
        <f>Table1[[#This Row],[cumPctAllTimeExp]]&lt;0.95</f>
        <v>0</v>
      </c>
    </row>
    <row r="578" spans="1:17" x14ac:dyDescent="0.25">
      <c r="A578">
        <v>329</v>
      </c>
      <c r="C578" t="s">
        <v>2508</v>
      </c>
      <c r="E578" t="s">
        <v>331</v>
      </c>
      <c r="F578" s="4">
        <v>3704</v>
      </c>
      <c r="G578" s="4">
        <v>0</v>
      </c>
      <c r="H578" s="4">
        <v>0</v>
      </c>
      <c r="I578" s="4">
        <v>18200</v>
      </c>
      <c r="J578" s="4">
        <v>0</v>
      </c>
      <c r="K578" s="4">
        <v>0</v>
      </c>
      <c r="L578" s="4">
        <v>0</v>
      </c>
      <c r="M578" s="4">
        <v>0</v>
      </c>
      <c r="N578" s="4">
        <f>SUM(Table1[[#This Row],[2025]:[2018]])</f>
        <v>21904</v>
      </c>
      <c r="O578" s="2">
        <f>Table1[[#This Row],[ttl]]/SUM(Table1[ttl])</f>
        <v>4.4167860436969097E-5</v>
      </c>
      <c r="P578" s="3">
        <f>SUM($O$2:Table1[[#This Row],[pctAllTimeExp]])</f>
        <v>0.98703919233968673</v>
      </c>
      <c r="Q578" t="b">
        <f>Table1[[#This Row],[cumPctAllTimeExp]]&lt;0.95</f>
        <v>0</v>
      </c>
    </row>
    <row r="579" spans="1:17" x14ac:dyDescent="0.25">
      <c r="A579">
        <v>1672</v>
      </c>
      <c r="C579" t="s">
        <v>2508</v>
      </c>
      <c r="E579" t="s">
        <v>1674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21500</v>
      </c>
      <c r="L579" s="4">
        <v>0</v>
      </c>
      <c r="M579" s="4">
        <v>375.56</v>
      </c>
      <c r="N579" s="4">
        <f>SUM(Table1[[#This Row],[2025]:[2018]])</f>
        <v>21875.56</v>
      </c>
      <c r="O579" s="2">
        <f>Table1[[#This Row],[ttl]]/SUM(Table1[ttl])</f>
        <v>4.411051319670123E-5</v>
      </c>
      <c r="P579" s="3">
        <f>SUM($O$2:Table1[[#This Row],[pctAllTimeExp]])</f>
        <v>0.98708330285288348</v>
      </c>
      <c r="Q579" t="b">
        <f>Table1[[#This Row],[cumPctAllTimeExp]]&lt;0.95</f>
        <v>0</v>
      </c>
    </row>
    <row r="580" spans="1:17" x14ac:dyDescent="0.25">
      <c r="A580">
        <v>181</v>
      </c>
      <c r="C580" t="s">
        <v>2508</v>
      </c>
      <c r="E580" t="s">
        <v>183</v>
      </c>
      <c r="F580" s="4">
        <v>17507.98</v>
      </c>
      <c r="G580" s="4">
        <v>3752.82</v>
      </c>
      <c r="H580" s="4">
        <v>502.67</v>
      </c>
      <c r="I580" s="4">
        <v>0</v>
      </c>
      <c r="J580" s="4">
        <v>0</v>
      </c>
      <c r="K580" s="4">
        <v>0</v>
      </c>
      <c r="L580" s="4">
        <v>69.3</v>
      </c>
      <c r="M580" s="4">
        <v>0</v>
      </c>
      <c r="N580" s="4">
        <f>SUM(Table1[[#This Row],[2025]:[2018]])</f>
        <v>21832.769999999997</v>
      </c>
      <c r="O580" s="2">
        <f>Table1[[#This Row],[ttl]]/SUM(Table1[ttl])</f>
        <v>4.4024230200531669E-5</v>
      </c>
      <c r="P580" s="3">
        <f>SUM($O$2:Table1[[#This Row],[pctAllTimeExp]])</f>
        <v>0.98712732708308404</v>
      </c>
      <c r="Q580" t="b">
        <f>Table1[[#This Row],[cumPctAllTimeExp]]&lt;0.95</f>
        <v>0</v>
      </c>
    </row>
    <row r="581" spans="1:17" x14ac:dyDescent="0.25">
      <c r="A581">
        <v>747</v>
      </c>
      <c r="C581" t="s">
        <v>2508</v>
      </c>
      <c r="E581" t="s">
        <v>749</v>
      </c>
      <c r="F581" s="4">
        <v>0</v>
      </c>
      <c r="G581" s="4">
        <v>9423</v>
      </c>
      <c r="H581" s="4">
        <v>0</v>
      </c>
      <c r="I581" s="4">
        <v>12182</v>
      </c>
      <c r="J581" s="4">
        <v>0</v>
      </c>
      <c r="K581" s="4">
        <v>0</v>
      </c>
      <c r="L581" s="4">
        <v>0</v>
      </c>
      <c r="M581" s="4">
        <v>0</v>
      </c>
      <c r="N581" s="4">
        <f>SUM(Table1[[#This Row],[2025]:[2018]])</f>
        <v>21605</v>
      </c>
      <c r="O581" s="2">
        <f>Table1[[#This Row],[ttl]]/SUM(Table1[ttl])</f>
        <v>4.3564948171143053E-5</v>
      </c>
      <c r="P581" s="3">
        <f>SUM($O$2:Table1[[#This Row],[pctAllTimeExp]])</f>
        <v>0.98717089203125519</v>
      </c>
      <c r="Q581" t="b">
        <f>Table1[[#This Row],[cumPctAllTimeExp]]&lt;0.95</f>
        <v>0</v>
      </c>
    </row>
    <row r="582" spans="1:17" x14ac:dyDescent="0.25">
      <c r="A582">
        <v>1670</v>
      </c>
      <c r="C582" t="s">
        <v>2508</v>
      </c>
      <c r="E582" t="s">
        <v>1672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21600</v>
      </c>
      <c r="L582" s="4">
        <v>0</v>
      </c>
      <c r="M582" s="4">
        <v>0</v>
      </c>
      <c r="N582" s="4">
        <f>SUM(Table1[[#This Row],[2025]:[2018]])</f>
        <v>21600</v>
      </c>
      <c r="O582" s="2">
        <f>Table1[[#This Row],[ttl]]/SUM(Table1[ttl])</f>
        <v>4.3554866026229574E-5</v>
      </c>
      <c r="P582" s="3">
        <f>SUM($O$2:Table1[[#This Row],[pctAllTimeExp]])</f>
        <v>0.98721444689728144</v>
      </c>
      <c r="Q582" t="b">
        <f>Table1[[#This Row],[cumPctAllTimeExp]]&lt;0.95</f>
        <v>0</v>
      </c>
    </row>
    <row r="583" spans="1:17" x14ac:dyDescent="0.25">
      <c r="A583">
        <v>1671</v>
      </c>
      <c r="C583" t="s">
        <v>2508</v>
      </c>
      <c r="E583" t="s">
        <v>1673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21575.8</v>
      </c>
      <c r="L583" s="4">
        <v>0</v>
      </c>
      <c r="M583" s="4">
        <v>0</v>
      </c>
      <c r="N583" s="4">
        <f>SUM(Table1[[#This Row],[2025]:[2018]])</f>
        <v>21575.8</v>
      </c>
      <c r="O583" s="2">
        <f>Table1[[#This Row],[ttl]]/SUM(Table1[ttl])</f>
        <v>4.3506068444848334E-5</v>
      </c>
      <c r="P583" s="3">
        <f>SUM($O$2:Table1[[#This Row],[pctAllTimeExp]])</f>
        <v>0.98725795296572627</v>
      </c>
      <c r="Q583" t="b">
        <f>Table1[[#This Row],[cumPctAllTimeExp]]&lt;0.95</f>
        <v>0</v>
      </c>
    </row>
    <row r="584" spans="1:17" x14ac:dyDescent="0.25">
      <c r="A584">
        <v>1674</v>
      </c>
      <c r="C584" t="s">
        <v>2508</v>
      </c>
      <c r="E584" t="s">
        <v>1676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21208</v>
      </c>
      <c r="L584" s="4">
        <v>345</v>
      </c>
      <c r="M584" s="4">
        <v>0</v>
      </c>
      <c r="N584" s="4">
        <f>SUM(Table1[[#This Row],[2025]:[2018]])</f>
        <v>21553</v>
      </c>
      <c r="O584" s="2">
        <f>Table1[[#This Row],[ttl]]/SUM(Table1[ttl])</f>
        <v>4.3460093864042868E-5</v>
      </c>
      <c r="P584" s="3">
        <f>SUM($O$2:Table1[[#This Row],[pctAllTimeExp]])</f>
        <v>0.98730141305959029</v>
      </c>
      <c r="Q584" t="b">
        <f>Table1[[#This Row],[cumPctAllTimeExp]]&lt;0.95</f>
        <v>0</v>
      </c>
    </row>
    <row r="585" spans="1:17" x14ac:dyDescent="0.25">
      <c r="A585">
        <v>1165</v>
      </c>
      <c r="C585" t="s">
        <v>2508</v>
      </c>
      <c r="E585" t="s">
        <v>1167</v>
      </c>
      <c r="F585" s="4">
        <v>0</v>
      </c>
      <c r="G585" s="4">
        <v>0</v>
      </c>
      <c r="H585" s="4">
        <v>154.41999999999999</v>
      </c>
      <c r="I585" s="4">
        <v>0</v>
      </c>
      <c r="J585" s="4">
        <v>282.67</v>
      </c>
      <c r="K585" s="4">
        <v>4413.4799999999996</v>
      </c>
      <c r="L585" s="4">
        <v>3598.95</v>
      </c>
      <c r="M585" s="4">
        <v>13080.44</v>
      </c>
      <c r="N585" s="4">
        <f>SUM(Table1[[#This Row],[2025]:[2018]])</f>
        <v>21529.96</v>
      </c>
      <c r="O585" s="2">
        <f>Table1[[#This Row],[ttl]]/SUM(Table1[ttl])</f>
        <v>4.3413635340281558E-5</v>
      </c>
      <c r="P585" s="3">
        <f>SUM($O$2:Table1[[#This Row],[pctAllTimeExp]])</f>
        <v>0.98734482669493062</v>
      </c>
      <c r="Q585" t="b">
        <f>Table1[[#This Row],[cumPctAllTimeExp]]&lt;0.95</f>
        <v>0</v>
      </c>
    </row>
    <row r="586" spans="1:17" x14ac:dyDescent="0.25">
      <c r="A586">
        <v>160</v>
      </c>
      <c r="C586" t="s">
        <v>2508</v>
      </c>
      <c r="E586" t="s">
        <v>162</v>
      </c>
      <c r="F586" s="4">
        <v>21490.36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f>SUM(Table1[[#This Row],[2025]:[2018]])</f>
        <v>21490.36</v>
      </c>
      <c r="O586" s="2">
        <f>Table1[[#This Row],[ttl]]/SUM(Table1[ttl])</f>
        <v>4.3333784752566803E-5</v>
      </c>
      <c r="P586" s="3">
        <f>SUM($O$2:Table1[[#This Row],[pctAllTimeExp]])</f>
        <v>0.98738816047968314</v>
      </c>
      <c r="Q586" t="b">
        <f>Table1[[#This Row],[cumPctAllTimeExp]]&lt;0.95</f>
        <v>0</v>
      </c>
    </row>
    <row r="587" spans="1:17" x14ac:dyDescent="0.25">
      <c r="A587">
        <v>209</v>
      </c>
      <c r="C587" t="s">
        <v>2508</v>
      </c>
      <c r="E587" t="s">
        <v>211</v>
      </c>
      <c r="F587" s="4">
        <v>12630</v>
      </c>
      <c r="G587" s="4">
        <v>7498.75</v>
      </c>
      <c r="H587" s="4">
        <v>745.65</v>
      </c>
      <c r="I587" s="4">
        <v>608.26</v>
      </c>
      <c r="J587" s="4">
        <v>0</v>
      </c>
      <c r="K587" s="4">
        <v>0</v>
      </c>
      <c r="L587" s="4">
        <v>0</v>
      </c>
      <c r="M587" s="4">
        <v>0</v>
      </c>
      <c r="N587" s="4">
        <f>SUM(Table1[[#This Row],[2025]:[2018]])</f>
        <v>21482.66</v>
      </c>
      <c r="O587" s="2">
        <f>Table1[[#This Row],[ttl]]/SUM(Table1[ttl])</f>
        <v>4.3318258249400042E-5</v>
      </c>
      <c r="P587" s="3">
        <f>SUM($O$2:Table1[[#This Row],[pctAllTimeExp]])</f>
        <v>0.98743147873793258</v>
      </c>
      <c r="Q587" t="b">
        <f>Table1[[#This Row],[cumPctAllTimeExp]]&lt;0.95</f>
        <v>0</v>
      </c>
    </row>
    <row r="588" spans="1:17" x14ac:dyDescent="0.25">
      <c r="A588">
        <v>1673</v>
      </c>
      <c r="C588" t="s">
        <v>2508</v>
      </c>
      <c r="E588" t="s">
        <v>1675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21437</v>
      </c>
      <c r="L588" s="4">
        <v>0</v>
      </c>
      <c r="M588" s="4">
        <v>0</v>
      </c>
      <c r="N588" s="4">
        <f>SUM(Table1[[#This Row],[2025]:[2018]])</f>
        <v>21437</v>
      </c>
      <c r="O588" s="2">
        <f>Table1[[#This Row],[ttl]]/SUM(Table1[ttl])</f>
        <v>4.3226188102050154E-5</v>
      </c>
      <c r="P588" s="3">
        <f>SUM($O$2:Table1[[#This Row],[pctAllTimeExp]])</f>
        <v>0.98747470492603462</v>
      </c>
      <c r="Q588" t="b">
        <f>Table1[[#This Row],[cumPctAllTimeExp]]&lt;0.95</f>
        <v>0</v>
      </c>
    </row>
    <row r="589" spans="1:17" x14ac:dyDescent="0.25">
      <c r="A589">
        <v>161</v>
      </c>
      <c r="C589" t="s">
        <v>2508</v>
      </c>
      <c r="E589" t="s">
        <v>163</v>
      </c>
      <c r="F589" s="4">
        <v>21432.03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f>SUM(Table1[[#This Row],[2025]:[2018]])</f>
        <v>21432.03</v>
      </c>
      <c r="O589" s="2">
        <f>Table1[[#This Row],[ttl]]/SUM(Table1[ttl])</f>
        <v>4.321616645000615E-5</v>
      </c>
      <c r="P589" s="3">
        <f>SUM($O$2:Table1[[#This Row],[pctAllTimeExp]])</f>
        <v>0.9875179210924846</v>
      </c>
      <c r="Q589" t="b">
        <f>Table1[[#This Row],[cumPctAllTimeExp]]&lt;0.95</f>
        <v>0</v>
      </c>
    </row>
    <row r="590" spans="1:17" x14ac:dyDescent="0.25">
      <c r="A590">
        <v>813</v>
      </c>
      <c r="C590" t="s">
        <v>2508</v>
      </c>
      <c r="E590" t="s">
        <v>815</v>
      </c>
      <c r="F590" s="4">
        <v>0</v>
      </c>
      <c r="G590" s="4">
        <v>1675.08</v>
      </c>
      <c r="H590" s="4">
        <v>15240.32</v>
      </c>
      <c r="I590" s="4">
        <v>1226.1300000000001</v>
      </c>
      <c r="J590" s="4">
        <v>0</v>
      </c>
      <c r="K590" s="4">
        <v>2388.61</v>
      </c>
      <c r="L590" s="4">
        <v>0</v>
      </c>
      <c r="M590" s="4">
        <v>728.37</v>
      </c>
      <c r="N590" s="4">
        <f>SUM(Table1[[#This Row],[2025]:[2018]])</f>
        <v>21258.510000000002</v>
      </c>
      <c r="O590" s="2">
        <f>Table1[[#This Row],[ttl]]/SUM(Table1[ttl])</f>
        <v>4.2866275692928785E-5</v>
      </c>
      <c r="P590" s="3">
        <f>SUM($O$2:Table1[[#This Row],[pctAllTimeExp]])</f>
        <v>0.98756078736817754</v>
      </c>
      <c r="Q590" t="b">
        <f>Table1[[#This Row],[cumPctAllTimeExp]]&lt;0.95</f>
        <v>0</v>
      </c>
    </row>
    <row r="591" spans="1:17" x14ac:dyDescent="0.25">
      <c r="A591">
        <v>1213</v>
      </c>
      <c r="C591" t="s">
        <v>2508</v>
      </c>
      <c r="E591" t="s">
        <v>1215</v>
      </c>
      <c r="F591" s="4">
        <v>0</v>
      </c>
      <c r="G591" s="4">
        <v>0</v>
      </c>
      <c r="H591" s="4">
        <v>0</v>
      </c>
      <c r="I591" s="4">
        <v>14522.25</v>
      </c>
      <c r="J591" s="4">
        <v>0</v>
      </c>
      <c r="K591" s="4">
        <v>6662.96</v>
      </c>
      <c r="L591" s="4">
        <v>0</v>
      </c>
      <c r="M591" s="4">
        <v>0</v>
      </c>
      <c r="N591" s="4">
        <f>SUM(Table1[[#This Row],[2025]:[2018]])</f>
        <v>21185.21</v>
      </c>
      <c r="O591" s="2">
        <f>Table1[[#This Row],[ttl]]/SUM(Table1[ttl])</f>
        <v>4.2718471448497171E-5</v>
      </c>
      <c r="P591" s="3">
        <f>SUM($O$2:Table1[[#This Row],[pctAllTimeExp]])</f>
        <v>0.98760350583962608</v>
      </c>
      <c r="Q591" t="b">
        <f>Table1[[#This Row],[cumPctAllTimeExp]]&lt;0.95</f>
        <v>0</v>
      </c>
    </row>
    <row r="592" spans="1:17" x14ac:dyDescent="0.25">
      <c r="A592">
        <v>327</v>
      </c>
      <c r="C592" t="s">
        <v>2508</v>
      </c>
      <c r="E592" t="s">
        <v>329</v>
      </c>
      <c r="F592" s="4">
        <v>3795</v>
      </c>
      <c r="G592" s="4">
        <v>3595</v>
      </c>
      <c r="H592" s="4">
        <v>3595</v>
      </c>
      <c r="I592" s="4">
        <v>3495</v>
      </c>
      <c r="J592" s="4">
        <v>0</v>
      </c>
      <c r="K592" s="4">
        <v>0</v>
      </c>
      <c r="L592" s="4">
        <v>3300</v>
      </c>
      <c r="M592" s="4">
        <v>3300</v>
      </c>
      <c r="N592" s="4">
        <f>SUM(Table1[[#This Row],[2025]:[2018]])</f>
        <v>21080</v>
      </c>
      <c r="O592" s="2">
        <f>Table1[[#This Row],[ttl]]/SUM(Table1[ttl])</f>
        <v>4.2506322955227749E-5</v>
      </c>
      <c r="P592" s="3">
        <f>SUM($O$2:Table1[[#This Row],[pctAllTimeExp]])</f>
        <v>0.9876460121625813</v>
      </c>
      <c r="Q592" t="b">
        <f>Table1[[#This Row],[cumPctAllTimeExp]]&lt;0.95</f>
        <v>0</v>
      </c>
    </row>
    <row r="593" spans="1:17" x14ac:dyDescent="0.25">
      <c r="A593">
        <v>1419</v>
      </c>
      <c r="C593" t="s">
        <v>2508</v>
      </c>
      <c r="E593" t="s">
        <v>1421</v>
      </c>
      <c r="F593" s="4">
        <v>0</v>
      </c>
      <c r="G593" s="4">
        <v>0</v>
      </c>
      <c r="H593" s="4">
        <v>0</v>
      </c>
      <c r="I593" s="4">
        <v>0</v>
      </c>
      <c r="J593" s="4">
        <v>16431.009999999998</v>
      </c>
      <c r="K593" s="4">
        <v>0</v>
      </c>
      <c r="L593" s="4">
        <v>4478.01</v>
      </c>
      <c r="M593" s="4">
        <v>0</v>
      </c>
      <c r="N593" s="4">
        <f>SUM(Table1[[#This Row],[2025]:[2018]])</f>
        <v>20909.019999999997</v>
      </c>
      <c r="O593" s="2">
        <f>Table1[[#This Row],[ttl]]/SUM(Table1[ttl])</f>
        <v>4.2161553927766413E-5</v>
      </c>
      <c r="P593" s="3">
        <f>SUM($O$2:Table1[[#This Row],[pctAllTimeExp]])</f>
        <v>0.98768817371650908</v>
      </c>
      <c r="Q593" t="b">
        <f>Table1[[#This Row],[cumPctAllTimeExp]]&lt;0.95</f>
        <v>0</v>
      </c>
    </row>
    <row r="594" spans="1:17" x14ac:dyDescent="0.25">
      <c r="A594">
        <v>333</v>
      </c>
      <c r="C594" t="s">
        <v>2508</v>
      </c>
      <c r="E594" t="s">
        <v>335</v>
      </c>
      <c r="F594" s="4">
        <v>3570.82</v>
      </c>
      <c r="G594" s="4">
        <v>0</v>
      </c>
      <c r="H594" s="4">
        <v>7229.28</v>
      </c>
      <c r="I594" s="4">
        <v>3611.61</v>
      </c>
      <c r="J594" s="4">
        <v>3306.78</v>
      </c>
      <c r="K594" s="4">
        <v>2208.02</v>
      </c>
      <c r="L594" s="4">
        <v>0</v>
      </c>
      <c r="M594" s="4">
        <v>510.71</v>
      </c>
      <c r="N594" s="4">
        <f>SUM(Table1[[#This Row],[2025]:[2018]])</f>
        <v>20437.22</v>
      </c>
      <c r="O594" s="2">
        <f>Table1[[#This Row],[ttl]]/SUM(Table1[ttl])</f>
        <v>4.1210202733730533E-5</v>
      </c>
      <c r="P594" s="3">
        <f>SUM($O$2:Table1[[#This Row],[pctAllTimeExp]])</f>
        <v>0.98772938391924281</v>
      </c>
      <c r="Q594" t="b">
        <f>Table1[[#This Row],[cumPctAllTimeExp]]&lt;0.95</f>
        <v>0</v>
      </c>
    </row>
    <row r="595" spans="1:17" x14ac:dyDescent="0.25">
      <c r="A595">
        <v>2063</v>
      </c>
      <c r="C595" t="s">
        <v>2508</v>
      </c>
      <c r="E595" t="s">
        <v>2065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1470.06</v>
      </c>
      <c r="M595" s="4">
        <v>18896.79</v>
      </c>
      <c r="N595" s="4">
        <f>SUM(Table1[[#This Row],[2025]:[2018]])</f>
        <v>20366.850000000002</v>
      </c>
      <c r="O595" s="2">
        <f>Table1[[#This Row],[ttl]]/SUM(Table1[ttl])</f>
        <v>4.1068306626218232E-5</v>
      </c>
      <c r="P595" s="3">
        <f>SUM($O$2:Table1[[#This Row],[pctAllTimeExp]])</f>
        <v>0.98777045222586901</v>
      </c>
      <c r="Q595" t="b">
        <f>Table1[[#This Row],[cumPctAllTimeExp]]&lt;0.95</f>
        <v>0</v>
      </c>
    </row>
    <row r="596" spans="1:17" x14ac:dyDescent="0.25">
      <c r="A596">
        <v>1240</v>
      </c>
      <c r="C596" t="s">
        <v>2508</v>
      </c>
      <c r="E596" t="s">
        <v>1242</v>
      </c>
      <c r="F596" s="4">
        <v>0</v>
      </c>
      <c r="G596" s="4">
        <v>0</v>
      </c>
      <c r="H596" s="4">
        <v>0</v>
      </c>
      <c r="I596" s="4">
        <v>4338.3599999999997</v>
      </c>
      <c r="J596" s="4">
        <v>4974.1099999999997</v>
      </c>
      <c r="K596" s="4">
        <v>5094.3100000000004</v>
      </c>
      <c r="L596" s="4">
        <v>2956.8</v>
      </c>
      <c r="M596" s="4">
        <v>2956.34</v>
      </c>
      <c r="N596" s="4">
        <f>SUM(Table1[[#This Row],[2025]:[2018]])</f>
        <v>20319.919999999998</v>
      </c>
      <c r="O596" s="2">
        <f>Table1[[#This Row],[ttl]]/SUM(Table1[ttl])</f>
        <v>4.0973675614060312E-5</v>
      </c>
      <c r="P596" s="3">
        <f>SUM($O$2:Table1[[#This Row],[pctAllTimeExp]])</f>
        <v>0.98781142590148308</v>
      </c>
      <c r="Q596" t="b">
        <f>Table1[[#This Row],[cumPctAllTimeExp]]&lt;0.95</f>
        <v>0</v>
      </c>
    </row>
    <row r="597" spans="1:17" x14ac:dyDescent="0.25">
      <c r="A597">
        <v>1739</v>
      </c>
      <c r="C597" t="s">
        <v>2508</v>
      </c>
      <c r="E597" t="s">
        <v>1741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2058.7199999999998</v>
      </c>
      <c r="L597" s="4">
        <v>3916.54</v>
      </c>
      <c r="M597" s="4">
        <v>14338.83</v>
      </c>
      <c r="N597" s="4">
        <f>SUM(Table1[[#This Row],[2025]:[2018]])</f>
        <v>20314.09</v>
      </c>
      <c r="O597" s="2">
        <f>Table1[[#This Row],[ttl]]/SUM(Table1[ttl])</f>
        <v>4.0961919833091195E-5</v>
      </c>
      <c r="P597" s="3">
        <f>SUM($O$2:Table1[[#This Row],[pctAllTimeExp]])</f>
        <v>0.98785238782131612</v>
      </c>
      <c r="Q597" t="b">
        <f>Table1[[#This Row],[cumPctAllTimeExp]]&lt;0.95</f>
        <v>0</v>
      </c>
    </row>
    <row r="598" spans="1:17" x14ac:dyDescent="0.25">
      <c r="A598">
        <v>259</v>
      </c>
      <c r="C598" t="s">
        <v>2508</v>
      </c>
      <c r="E598" t="s">
        <v>261</v>
      </c>
      <c r="F598" s="4">
        <v>7395</v>
      </c>
      <c r="G598" s="4">
        <v>10295</v>
      </c>
      <c r="H598" s="4">
        <v>2600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f>SUM(Table1[[#This Row],[2025]:[2018]])</f>
        <v>20290</v>
      </c>
      <c r="O598" s="2">
        <f>Table1[[#This Row],[ttl]]/SUM(Table1[ttl])</f>
        <v>4.0913344058898057E-5</v>
      </c>
      <c r="P598" s="3">
        <f>SUM($O$2:Table1[[#This Row],[pctAllTimeExp]])</f>
        <v>0.98789330116537499</v>
      </c>
      <c r="Q598" t="b">
        <f>Table1[[#This Row],[cumPctAllTimeExp]]&lt;0.95</f>
        <v>0</v>
      </c>
    </row>
    <row r="599" spans="1:17" x14ac:dyDescent="0.25">
      <c r="A599">
        <v>772</v>
      </c>
      <c r="C599" t="s">
        <v>2508</v>
      </c>
      <c r="E599" t="s">
        <v>774</v>
      </c>
      <c r="F599" s="4">
        <v>0</v>
      </c>
      <c r="G599" s="4">
        <v>4500</v>
      </c>
      <c r="H599" s="4">
        <v>3000</v>
      </c>
      <c r="I599" s="4">
        <v>0</v>
      </c>
      <c r="J599" s="4">
        <v>0</v>
      </c>
      <c r="K599" s="4">
        <v>0</v>
      </c>
      <c r="L599" s="4">
        <v>9000</v>
      </c>
      <c r="M599" s="4">
        <v>3750</v>
      </c>
      <c r="N599" s="4">
        <f>SUM(Table1[[#This Row],[2025]:[2018]])</f>
        <v>20250</v>
      </c>
      <c r="O599" s="2">
        <f>Table1[[#This Row],[ttl]]/SUM(Table1[ttl])</f>
        <v>4.0832686899590225E-5</v>
      </c>
      <c r="P599" s="3">
        <f>SUM($O$2:Table1[[#This Row],[pctAllTimeExp]])</f>
        <v>0.98793413385227458</v>
      </c>
      <c r="Q599" t="b">
        <f>Table1[[#This Row],[cumPctAllTimeExp]]&lt;0.95</f>
        <v>0</v>
      </c>
    </row>
    <row r="600" spans="1:17" x14ac:dyDescent="0.25">
      <c r="A600">
        <v>360</v>
      </c>
      <c r="C600" t="s">
        <v>2508</v>
      </c>
      <c r="E600" t="s">
        <v>362</v>
      </c>
      <c r="F600" s="4">
        <v>2885</v>
      </c>
      <c r="G600" s="4">
        <v>3406.5</v>
      </c>
      <c r="H600" s="4">
        <v>1678.5</v>
      </c>
      <c r="I600" s="4">
        <v>2437</v>
      </c>
      <c r="J600" s="4">
        <v>3391.5</v>
      </c>
      <c r="K600" s="4">
        <v>1012.42</v>
      </c>
      <c r="L600" s="4">
        <v>3013.42</v>
      </c>
      <c r="M600" s="4">
        <v>2290.42</v>
      </c>
      <c r="N600" s="4">
        <f>SUM(Table1[[#This Row],[2025]:[2018]])</f>
        <v>20114.760000000002</v>
      </c>
      <c r="O600" s="2">
        <f>Table1[[#This Row],[ttl]]/SUM(Table1[ttl])</f>
        <v>4.0559985043970446E-5</v>
      </c>
      <c r="P600" s="3">
        <f>SUM($O$2:Table1[[#This Row],[pctAllTimeExp]])</f>
        <v>0.98797469383731851</v>
      </c>
      <c r="Q600" t="b">
        <f>Table1[[#This Row],[cumPctAllTimeExp]]&lt;0.95</f>
        <v>0</v>
      </c>
    </row>
    <row r="601" spans="1:17" x14ac:dyDescent="0.25">
      <c r="A601">
        <v>372</v>
      </c>
      <c r="C601" t="s">
        <v>2508</v>
      </c>
      <c r="E601" t="s">
        <v>374</v>
      </c>
      <c r="F601" s="4">
        <v>2500</v>
      </c>
      <c r="G601" s="4">
        <v>2500</v>
      </c>
      <c r="H601" s="4">
        <v>2500</v>
      </c>
      <c r="I601" s="4">
        <v>2500</v>
      </c>
      <c r="J601" s="4">
        <v>2500</v>
      </c>
      <c r="K601" s="4">
        <v>2500</v>
      </c>
      <c r="L601" s="4">
        <v>2500</v>
      </c>
      <c r="M601" s="4">
        <v>2500</v>
      </c>
      <c r="N601" s="4">
        <f>SUM(Table1[[#This Row],[2025]:[2018]])</f>
        <v>20000</v>
      </c>
      <c r="O601" s="2">
        <f>Table1[[#This Row],[ttl]]/SUM(Table1[ttl])</f>
        <v>4.0328579653916267E-5</v>
      </c>
      <c r="P601" s="3">
        <f>SUM($O$2:Table1[[#This Row],[pctAllTimeExp]])</f>
        <v>0.98801502241697248</v>
      </c>
      <c r="Q601" t="b">
        <f>Table1[[#This Row],[cumPctAllTimeExp]]&lt;0.95</f>
        <v>0</v>
      </c>
    </row>
    <row r="602" spans="1:17" x14ac:dyDescent="0.25">
      <c r="A602">
        <v>2002</v>
      </c>
      <c r="C602" t="s">
        <v>2508</v>
      </c>
      <c r="E602" t="s">
        <v>2004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7652.76</v>
      </c>
      <c r="M602" s="4">
        <v>12339.24</v>
      </c>
      <c r="N602" s="4">
        <f>SUM(Table1[[#This Row],[2025]:[2018]])</f>
        <v>19992</v>
      </c>
      <c r="O602" s="2">
        <f>Table1[[#This Row],[ttl]]/SUM(Table1[ttl])</f>
        <v>4.0312448222054703E-5</v>
      </c>
      <c r="P602" s="3">
        <f>SUM($O$2:Table1[[#This Row],[pctAllTimeExp]])</f>
        <v>0.98805533486519448</v>
      </c>
      <c r="Q602" t="b">
        <f>Table1[[#This Row],[cumPctAllTimeExp]]&lt;0.95</f>
        <v>0</v>
      </c>
    </row>
    <row r="603" spans="1:17" x14ac:dyDescent="0.25">
      <c r="A603">
        <v>1858</v>
      </c>
      <c r="C603" t="s">
        <v>2508</v>
      </c>
      <c r="E603" t="s">
        <v>1860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230</v>
      </c>
      <c r="L603" s="4">
        <v>19445</v>
      </c>
      <c r="M603" s="4">
        <v>0</v>
      </c>
      <c r="N603" s="4">
        <f>SUM(Table1[[#This Row],[2025]:[2018]])</f>
        <v>19675</v>
      </c>
      <c r="O603" s="2">
        <f>Table1[[#This Row],[ttl]]/SUM(Table1[ttl])</f>
        <v>3.9673240234540131E-5</v>
      </c>
      <c r="P603" s="3">
        <f>SUM($O$2:Table1[[#This Row],[pctAllTimeExp]])</f>
        <v>0.98809500810542905</v>
      </c>
      <c r="Q603" t="b">
        <f>Table1[[#This Row],[cumPctAllTimeExp]]&lt;0.95</f>
        <v>0</v>
      </c>
    </row>
    <row r="604" spans="1:17" x14ac:dyDescent="0.25">
      <c r="A604">
        <v>359</v>
      </c>
      <c r="C604" t="s">
        <v>2508</v>
      </c>
      <c r="E604" t="s">
        <v>361</v>
      </c>
      <c r="F604" s="4">
        <v>2885.53</v>
      </c>
      <c r="G604" s="4">
        <v>0</v>
      </c>
      <c r="H604" s="4">
        <v>16725.86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f>SUM(Table1[[#This Row],[2025]:[2018]])</f>
        <v>19611.39</v>
      </c>
      <c r="O604" s="2">
        <f>Table1[[#This Row],[ttl]]/SUM(Table1[ttl])</f>
        <v>3.9544975186950851E-5</v>
      </c>
      <c r="P604" s="3">
        <f>SUM($O$2:Table1[[#This Row],[pctAllTimeExp]])</f>
        <v>0.98813455308061604</v>
      </c>
      <c r="Q604" t="b">
        <f>Table1[[#This Row],[cumPctAllTimeExp]]&lt;0.95</f>
        <v>0</v>
      </c>
    </row>
    <row r="605" spans="1:17" x14ac:dyDescent="0.25">
      <c r="A605">
        <v>1035</v>
      </c>
      <c r="C605" t="s">
        <v>2508</v>
      </c>
      <c r="E605" t="s">
        <v>1037</v>
      </c>
      <c r="F605" s="4">
        <v>0</v>
      </c>
      <c r="G605" s="4">
        <v>0</v>
      </c>
      <c r="H605" s="4">
        <v>5835</v>
      </c>
      <c r="I605" s="4">
        <v>7601</v>
      </c>
      <c r="J605" s="4">
        <v>1644</v>
      </c>
      <c r="K605" s="4">
        <v>0</v>
      </c>
      <c r="L605" s="4">
        <v>234</v>
      </c>
      <c r="M605" s="4">
        <v>4272</v>
      </c>
      <c r="N605" s="4">
        <f>SUM(Table1[[#This Row],[2025]:[2018]])</f>
        <v>19586</v>
      </c>
      <c r="O605" s="2">
        <f>Table1[[#This Row],[ttl]]/SUM(Table1[ttl])</f>
        <v>3.9493778055080206E-5</v>
      </c>
      <c r="P605" s="3">
        <f>SUM($O$2:Table1[[#This Row],[pctAllTimeExp]])</f>
        <v>0.98817404685867116</v>
      </c>
      <c r="Q605" t="b">
        <f>Table1[[#This Row],[cumPctAllTimeExp]]&lt;0.95</f>
        <v>0</v>
      </c>
    </row>
    <row r="606" spans="1:17" x14ac:dyDescent="0.25">
      <c r="A606">
        <v>731</v>
      </c>
      <c r="C606" t="s">
        <v>2508</v>
      </c>
      <c r="E606" t="s">
        <v>733</v>
      </c>
      <c r="F606" s="4">
        <v>0</v>
      </c>
      <c r="G606" s="4">
        <v>14347</v>
      </c>
      <c r="H606" s="4">
        <v>5176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f>SUM(Table1[[#This Row],[2025]:[2018]])</f>
        <v>19523</v>
      </c>
      <c r="O606" s="2">
        <f>Table1[[#This Row],[ttl]]/SUM(Table1[ttl])</f>
        <v>3.9366743029170366E-5</v>
      </c>
      <c r="P606" s="3">
        <f>SUM($O$2:Table1[[#This Row],[pctAllTimeExp]])</f>
        <v>0.98821341360170034</v>
      </c>
      <c r="Q606" t="b">
        <f>Table1[[#This Row],[cumPctAllTimeExp]]&lt;0.95</f>
        <v>0</v>
      </c>
    </row>
    <row r="607" spans="1:17" x14ac:dyDescent="0.25">
      <c r="A607">
        <v>1997</v>
      </c>
      <c r="C607" t="s">
        <v>2508</v>
      </c>
      <c r="E607" t="s">
        <v>1999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9171.82</v>
      </c>
      <c r="M607" s="4">
        <v>10348.68</v>
      </c>
      <c r="N607" s="4">
        <f>SUM(Table1[[#This Row],[2025]:[2018]])</f>
        <v>19520.5</v>
      </c>
      <c r="O607" s="2">
        <f>Table1[[#This Row],[ttl]]/SUM(Table1[ttl])</f>
        <v>3.9361701956713626E-5</v>
      </c>
      <c r="P607" s="3">
        <f>SUM($O$2:Table1[[#This Row],[pctAllTimeExp]])</f>
        <v>0.98825277530365707</v>
      </c>
      <c r="Q607" t="b">
        <f>Table1[[#This Row],[cumPctAllTimeExp]]&lt;0.95</f>
        <v>0</v>
      </c>
    </row>
    <row r="608" spans="1:17" x14ac:dyDescent="0.25">
      <c r="A608">
        <v>199</v>
      </c>
      <c r="C608" t="s">
        <v>2508</v>
      </c>
      <c r="E608" t="s">
        <v>201</v>
      </c>
      <c r="F608" s="4">
        <v>14350</v>
      </c>
      <c r="G608" s="4">
        <v>4950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f>SUM(Table1[[#This Row],[2025]:[2018]])</f>
        <v>19300</v>
      </c>
      <c r="O608" s="2">
        <f>Table1[[#This Row],[ttl]]/SUM(Table1[ttl])</f>
        <v>3.8917079366029198E-5</v>
      </c>
      <c r="P608" s="3">
        <f>SUM($O$2:Table1[[#This Row],[pctAllTimeExp]])</f>
        <v>0.98829169238302306</v>
      </c>
      <c r="Q608" t="b">
        <f>Table1[[#This Row],[cumPctAllTimeExp]]&lt;0.95</f>
        <v>0</v>
      </c>
    </row>
    <row r="609" spans="1:17" x14ac:dyDescent="0.25">
      <c r="A609">
        <v>2254</v>
      </c>
      <c r="C609" t="s">
        <v>2508</v>
      </c>
      <c r="E609" t="s">
        <v>2256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19226.5</v>
      </c>
      <c r="N609" s="4">
        <f>SUM(Table1[[#This Row],[2025]:[2018]])</f>
        <v>19226.5</v>
      </c>
      <c r="O609" s="2">
        <f>Table1[[#This Row],[ttl]]/SUM(Table1[ttl])</f>
        <v>3.8768871835801061E-5</v>
      </c>
      <c r="P609" s="3">
        <f>SUM($O$2:Table1[[#This Row],[pctAllTimeExp]])</f>
        <v>0.98833046125485891</v>
      </c>
      <c r="Q609" t="b">
        <f>Table1[[#This Row],[cumPctAllTimeExp]]&lt;0.95</f>
        <v>0</v>
      </c>
    </row>
    <row r="610" spans="1:17" x14ac:dyDescent="0.25">
      <c r="A610">
        <v>562</v>
      </c>
      <c r="C610" t="s">
        <v>2508</v>
      </c>
      <c r="E610" t="s">
        <v>564</v>
      </c>
      <c r="F610" s="4">
        <v>487</v>
      </c>
      <c r="G610" s="4">
        <v>16025</v>
      </c>
      <c r="H610" s="4">
        <v>979</v>
      </c>
      <c r="I610" s="4">
        <v>0</v>
      </c>
      <c r="J610" s="4">
        <v>0</v>
      </c>
      <c r="K610" s="4">
        <v>0</v>
      </c>
      <c r="L610" s="4">
        <v>1600</v>
      </c>
      <c r="M610" s="4">
        <v>0</v>
      </c>
      <c r="N610" s="4">
        <f>SUM(Table1[[#This Row],[2025]:[2018]])</f>
        <v>19091</v>
      </c>
      <c r="O610" s="2">
        <f>Table1[[#This Row],[ttl]]/SUM(Table1[ttl])</f>
        <v>3.8495645708645776E-5</v>
      </c>
      <c r="P610" s="3">
        <f>SUM($O$2:Table1[[#This Row],[pctAllTimeExp]])</f>
        <v>0.98836895690056759</v>
      </c>
      <c r="Q610" t="b">
        <f>Table1[[#This Row],[cumPctAllTimeExp]]&lt;0.95</f>
        <v>0</v>
      </c>
    </row>
    <row r="611" spans="1:17" x14ac:dyDescent="0.25">
      <c r="A611">
        <v>172</v>
      </c>
      <c r="C611" t="s">
        <v>2508</v>
      </c>
      <c r="E611" t="s">
        <v>174</v>
      </c>
      <c r="F611" s="4">
        <v>19080.5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f>SUM(Table1[[#This Row],[2025]:[2018]])</f>
        <v>19080.5</v>
      </c>
      <c r="O611" s="2">
        <f>Table1[[#This Row],[ttl]]/SUM(Table1[ttl])</f>
        <v>3.8474473204327466E-5</v>
      </c>
      <c r="P611" s="3">
        <f>SUM($O$2:Table1[[#This Row],[pctAllTimeExp]])</f>
        <v>0.98840743137377196</v>
      </c>
      <c r="Q611" t="b">
        <f>Table1[[#This Row],[cumPctAllTimeExp]]&lt;0.95</f>
        <v>0</v>
      </c>
    </row>
    <row r="612" spans="1:17" x14ac:dyDescent="0.25">
      <c r="A612">
        <v>253</v>
      </c>
      <c r="C612" t="s">
        <v>2508</v>
      </c>
      <c r="E612" t="s">
        <v>255</v>
      </c>
      <c r="F612" s="4">
        <v>7609</v>
      </c>
      <c r="G612" s="4">
        <v>3550</v>
      </c>
      <c r="H612" s="4">
        <v>0</v>
      </c>
      <c r="I612" s="4">
        <v>871</v>
      </c>
      <c r="J612" s="4">
        <v>0</v>
      </c>
      <c r="K612" s="4">
        <v>4800</v>
      </c>
      <c r="L612" s="4">
        <v>2200</v>
      </c>
      <c r="M612" s="4">
        <v>0</v>
      </c>
      <c r="N612" s="4">
        <f>SUM(Table1[[#This Row],[2025]:[2018]])</f>
        <v>19030</v>
      </c>
      <c r="O612" s="2">
        <f>Table1[[#This Row],[ttl]]/SUM(Table1[ttl])</f>
        <v>3.8372643540701331E-5</v>
      </c>
      <c r="P612" s="3">
        <f>SUM($O$2:Table1[[#This Row],[pctAllTimeExp]])</f>
        <v>0.98844580401731263</v>
      </c>
      <c r="Q612" t="b">
        <f>Table1[[#This Row],[cumPctAllTimeExp]]&lt;0.95</f>
        <v>0</v>
      </c>
    </row>
    <row r="613" spans="1:17" x14ac:dyDescent="0.25">
      <c r="A613">
        <v>985</v>
      </c>
      <c r="C613" t="s">
        <v>2508</v>
      </c>
      <c r="E613" t="s">
        <v>987</v>
      </c>
      <c r="F613" s="4">
        <v>0</v>
      </c>
      <c r="G613" s="4">
        <v>0</v>
      </c>
      <c r="H613" s="4">
        <v>19015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f>SUM(Table1[[#This Row],[2025]:[2018]])</f>
        <v>19015</v>
      </c>
      <c r="O613" s="2">
        <f>Table1[[#This Row],[ttl]]/SUM(Table1[ttl])</f>
        <v>3.8342397105960894E-5</v>
      </c>
      <c r="P613" s="3">
        <f>SUM($O$2:Table1[[#This Row],[pctAllTimeExp]])</f>
        <v>0.98848414641441862</v>
      </c>
      <c r="Q613" t="b">
        <f>Table1[[#This Row],[cumPctAllTimeExp]]&lt;0.95</f>
        <v>0</v>
      </c>
    </row>
    <row r="614" spans="1:17" x14ac:dyDescent="0.25">
      <c r="A614">
        <v>1416</v>
      </c>
      <c r="C614" t="s">
        <v>2508</v>
      </c>
      <c r="E614" t="s">
        <v>1418</v>
      </c>
      <c r="F614" s="4">
        <v>0</v>
      </c>
      <c r="G614" s="4">
        <v>0</v>
      </c>
      <c r="H614" s="4">
        <v>0</v>
      </c>
      <c r="I614" s="4">
        <v>0</v>
      </c>
      <c r="J614" s="4">
        <v>19000</v>
      </c>
      <c r="K614" s="4">
        <v>0</v>
      </c>
      <c r="L614" s="4">
        <v>0</v>
      </c>
      <c r="M614" s="4">
        <v>0</v>
      </c>
      <c r="N614" s="4">
        <f>SUM(Table1[[#This Row],[2025]:[2018]])</f>
        <v>19000</v>
      </c>
      <c r="O614" s="2">
        <f>Table1[[#This Row],[ttl]]/SUM(Table1[ttl])</f>
        <v>3.8312150671220456E-5</v>
      </c>
      <c r="P614" s="3">
        <f>SUM($O$2:Table1[[#This Row],[pctAllTimeExp]])</f>
        <v>0.9885224585650898</v>
      </c>
      <c r="Q614" t="b">
        <f>Table1[[#This Row],[cumPctAllTimeExp]]&lt;0.95</f>
        <v>0</v>
      </c>
    </row>
    <row r="615" spans="1:17" x14ac:dyDescent="0.25">
      <c r="A615">
        <v>1450</v>
      </c>
      <c r="C615" t="s">
        <v>2508</v>
      </c>
      <c r="E615" t="s">
        <v>1452</v>
      </c>
      <c r="F615" s="4">
        <v>0</v>
      </c>
      <c r="G615" s="4">
        <v>0</v>
      </c>
      <c r="H615" s="4">
        <v>0</v>
      </c>
      <c r="I615" s="4">
        <v>0</v>
      </c>
      <c r="J615" s="4">
        <v>3810.46</v>
      </c>
      <c r="K615" s="4">
        <v>5348.54</v>
      </c>
      <c r="L615" s="4">
        <v>3841.16</v>
      </c>
      <c r="M615" s="4">
        <v>5966.72</v>
      </c>
      <c r="N615" s="4">
        <f>SUM(Table1[[#This Row],[2025]:[2018]])</f>
        <v>18966.88</v>
      </c>
      <c r="O615" s="2">
        <f>Table1[[#This Row],[ttl]]/SUM(Table1[ttl])</f>
        <v>3.8245366543313575E-5</v>
      </c>
      <c r="P615" s="3">
        <f>SUM($O$2:Table1[[#This Row],[pctAllTimeExp]])</f>
        <v>0.98856070393163309</v>
      </c>
      <c r="Q615" t="b">
        <f>Table1[[#This Row],[cumPctAllTimeExp]]&lt;0.95</f>
        <v>0</v>
      </c>
    </row>
    <row r="616" spans="1:17" x14ac:dyDescent="0.25">
      <c r="A616">
        <v>1686</v>
      </c>
      <c r="C616" t="s">
        <v>2508</v>
      </c>
      <c r="E616" t="s">
        <v>1688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11760</v>
      </c>
      <c r="L616" s="4">
        <v>7160</v>
      </c>
      <c r="M616" s="4">
        <v>0</v>
      </c>
      <c r="N616" s="4">
        <f>SUM(Table1[[#This Row],[2025]:[2018]])</f>
        <v>18920</v>
      </c>
      <c r="O616" s="2">
        <f>Table1[[#This Row],[ttl]]/SUM(Table1[ttl])</f>
        <v>3.8150836352604792E-5</v>
      </c>
      <c r="P616" s="3">
        <f>SUM($O$2:Table1[[#This Row],[pctAllTimeExp]])</f>
        <v>0.9885988547679857</v>
      </c>
      <c r="Q616" t="b">
        <f>Table1[[#This Row],[cumPctAllTimeExp]]&lt;0.95</f>
        <v>0</v>
      </c>
    </row>
    <row r="617" spans="1:17" x14ac:dyDescent="0.25">
      <c r="A617">
        <v>1014</v>
      </c>
      <c r="C617" t="s">
        <v>2508</v>
      </c>
      <c r="E617" t="s">
        <v>1016</v>
      </c>
      <c r="F617" s="4">
        <v>0</v>
      </c>
      <c r="G617" s="4">
        <v>0</v>
      </c>
      <c r="H617" s="4">
        <v>8920.77</v>
      </c>
      <c r="I617" s="4">
        <v>9999</v>
      </c>
      <c r="J617" s="4">
        <v>0</v>
      </c>
      <c r="K617" s="4">
        <v>0</v>
      </c>
      <c r="L617" s="4">
        <v>0</v>
      </c>
      <c r="M617" s="4">
        <v>0</v>
      </c>
      <c r="N617" s="4">
        <f>SUM(Table1[[#This Row],[2025]:[2018]])</f>
        <v>18919.77</v>
      </c>
      <c r="O617" s="2">
        <f>Table1[[#This Row],[ttl]]/SUM(Table1[ttl])</f>
        <v>3.8150372573938774E-5</v>
      </c>
      <c r="P617" s="3">
        <f>SUM($O$2:Table1[[#This Row],[pctAllTimeExp]])</f>
        <v>0.98863700514055963</v>
      </c>
      <c r="Q617" t="b">
        <f>Table1[[#This Row],[cumPctAllTimeExp]]&lt;0.95</f>
        <v>0</v>
      </c>
    </row>
    <row r="618" spans="1:17" x14ac:dyDescent="0.25">
      <c r="A618">
        <v>472</v>
      </c>
      <c r="C618" t="s">
        <v>2508</v>
      </c>
      <c r="E618" t="s">
        <v>474</v>
      </c>
      <c r="F618" s="4">
        <v>1000</v>
      </c>
      <c r="G618" s="4">
        <v>500</v>
      </c>
      <c r="H618" s="4">
        <v>1787</v>
      </c>
      <c r="I618" s="4">
        <v>320</v>
      </c>
      <c r="J618" s="4">
        <v>1819</v>
      </c>
      <c r="K618" s="4">
        <v>8793</v>
      </c>
      <c r="L618" s="4">
        <v>3710.5</v>
      </c>
      <c r="M618" s="4">
        <v>900</v>
      </c>
      <c r="N618" s="4">
        <f>SUM(Table1[[#This Row],[2025]:[2018]])</f>
        <v>18829.5</v>
      </c>
      <c r="O618" s="2">
        <f>Table1[[#This Row],[ttl]]/SUM(Table1[ttl])</f>
        <v>3.7968349529670818E-5</v>
      </c>
      <c r="P618" s="3">
        <f>SUM($O$2:Table1[[#This Row],[pctAllTimeExp]])</f>
        <v>0.98867497349008926</v>
      </c>
      <c r="Q618" t="b">
        <f>Table1[[#This Row],[cumPctAllTimeExp]]&lt;0.95</f>
        <v>0</v>
      </c>
    </row>
    <row r="619" spans="1:17" x14ac:dyDescent="0.25">
      <c r="A619">
        <v>1998</v>
      </c>
      <c r="C619" t="s">
        <v>2508</v>
      </c>
      <c r="E619" t="s">
        <v>2000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9079.25</v>
      </c>
      <c r="M619" s="4">
        <v>9723.36</v>
      </c>
      <c r="N619" s="4">
        <f>SUM(Table1[[#This Row],[2025]:[2018]])</f>
        <v>18802.61</v>
      </c>
      <c r="O619" s="2">
        <f>Table1[[#This Row],[ttl]]/SUM(Table1[ttl])</f>
        <v>3.791412775432613E-5</v>
      </c>
      <c r="P619" s="3">
        <f>SUM($O$2:Table1[[#This Row],[pctAllTimeExp]])</f>
        <v>0.98871288761784359</v>
      </c>
      <c r="Q619" t="b">
        <f>Table1[[#This Row],[cumPctAllTimeExp]]&lt;0.95</f>
        <v>0</v>
      </c>
    </row>
    <row r="620" spans="1:17" x14ac:dyDescent="0.25">
      <c r="A620">
        <v>493</v>
      </c>
      <c r="C620" t="s">
        <v>2508</v>
      </c>
      <c r="E620" t="s">
        <v>495</v>
      </c>
      <c r="F620" s="4">
        <v>840</v>
      </c>
      <c r="G620" s="4">
        <v>4165</v>
      </c>
      <c r="H620" s="4">
        <v>5280</v>
      </c>
      <c r="I620" s="4">
        <v>4000</v>
      </c>
      <c r="J620" s="4">
        <v>4500</v>
      </c>
      <c r="K620" s="4">
        <v>0</v>
      </c>
      <c r="L620" s="4">
        <v>0</v>
      </c>
      <c r="M620" s="4">
        <v>0</v>
      </c>
      <c r="N620" s="4">
        <f>SUM(Table1[[#This Row],[2025]:[2018]])</f>
        <v>18785</v>
      </c>
      <c r="O620" s="2">
        <f>Table1[[#This Row],[ttl]]/SUM(Table1[ttl])</f>
        <v>3.7878618439940859E-5</v>
      </c>
      <c r="P620" s="3">
        <f>SUM($O$2:Table1[[#This Row],[pctAllTimeExp]])</f>
        <v>0.98875076623628355</v>
      </c>
      <c r="Q620" t="b">
        <f>Table1[[#This Row],[cumPctAllTimeExp]]&lt;0.95</f>
        <v>0</v>
      </c>
    </row>
    <row r="621" spans="1:17" x14ac:dyDescent="0.25">
      <c r="A621">
        <v>741</v>
      </c>
      <c r="C621" t="s">
        <v>2508</v>
      </c>
      <c r="E621" t="s">
        <v>743</v>
      </c>
      <c r="F621" s="4">
        <v>0</v>
      </c>
      <c r="G621" s="4">
        <v>10008.959999999999</v>
      </c>
      <c r="H621" s="4">
        <v>8757.11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f>SUM(Table1[[#This Row],[2025]:[2018]])</f>
        <v>18766.07</v>
      </c>
      <c r="O621" s="2">
        <f>Table1[[#This Row],[ttl]]/SUM(Table1[ttl])</f>
        <v>3.7840447439298425E-5</v>
      </c>
      <c r="P621" s="3">
        <f>SUM($O$2:Table1[[#This Row],[pctAllTimeExp]])</f>
        <v>0.98878860668372281</v>
      </c>
      <c r="Q621" t="b">
        <f>Table1[[#This Row],[cumPctAllTimeExp]]&lt;0.95</f>
        <v>0</v>
      </c>
    </row>
    <row r="622" spans="1:17" x14ac:dyDescent="0.25">
      <c r="A622">
        <v>1041</v>
      </c>
      <c r="C622" t="s">
        <v>2508</v>
      </c>
      <c r="E622" t="s">
        <v>1043</v>
      </c>
      <c r="F622" s="4">
        <v>0</v>
      </c>
      <c r="G622" s="4">
        <v>0</v>
      </c>
      <c r="H622" s="4">
        <v>4510.93</v>
      </c>
      <c r="I622" s="4">
        <v>2903.46</v>
      </c>
      <c r="J622" s="4">
        <v>1384.8</v>
      </c>
      <c r="K622" s="4">
        <v>2991.11</v>
      </c>
      <c r="L622" s="4">
        <v>3001.55</v>
      </c>
      <c r="M622" s="4">
        <v>3940.43</v>
      </c>
      <c r="N622" s="4">
        <f>SUM(Table1[[#This Row],[2025]:[2018]])</f>
        <v>18732.280000000002</v>
      </c>
      <c r="O622" s="2">
        <f>Table1[[#This Row],[ttl]]/SUM(Table1[ttl])</f>
        <v>3.7772312303973139E-5</v>
      </c>
      <c r="P622" s="3">
        <f>SUM($O$2:Table1[[#This Row],[pctAllTimeExp]])</f>
        <v>0.98882637899602677</v>
      </c>
      <c r="Q622" t="b">
        <f>Table1[[#This Row],[cumPctAllTimeExp]]&lt;0.95</f>
        <v>0</v>
      </c>
    </row>
    <row r="623" spans="1:17" x14ac:dyDescent="0.25">
      <c r="A623">
        <v>1025</v>
      </c>
      <c r="C623" t="s">
        <v>2508</v>
      </c>
      <c r="E623" t="s">
        <v>1027</v>
      </c>
      <c r="F623" s="4">
        <v>0</v>
      </c>
      <c r="G623" s="4">
        <v>0</v>
      </c>
      <c r="H623" s="4">
        <v>7000</v>
      </c>
      <c r="I623" s="4">
        <v>6000</v>
      </c>
      <c r="J623" s="4">
        <v>5000</v>
      </c>
      <c r="K623" s="4">
        <v>672.84</v>
      </c>
      <c r="L623" s="4">
        <v>0</v>
      </c>
      <c r="M623" s="4">
        <v>0</v>
      </c>
      <c r="N623" s="4">
        <f>SUM(Table1[[#This Row],[2025]:[2018]])</f>
        <v>18672.84</v>
      </c>
      <c r="O623" s="2">
        <f>Table1[[#This Row],[ttl]]/SUM(Table1[ttl])</f>
        <v>3.7652455765241694E-5</v>
      </c>
      <c r="P623" s="3">
        <f>SUM($O$2:Table1[[#This Row],[pctAllTimeExp]])</f>
        <v>0.98886403145179202</v>
      </c>
      <c r="Q623" t="b">
        <f>Table1[[#This Row],[cumPctAllTimeExp]]&lt;0.95</f>
        <v>0</v>
      </c>
    </row>
    <row r="624" spans="1:17" x14ac:dyDescent="0.25">
      <c r="A624">
        <v>1745</v>
      </c>
      <c r="C624" t="s">
        <v>2508</v>
      </c>
      <c r="E624" t="s">
        <v>1747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1813.4</v>
      </c>
      <c r="L624" s="4">
        <v>8712.08</v>
      </c>
      <c r="M624" s="4">
        <v>8048.33</v>
      </c>
      <c r="N624" s="4">
        <f>SUM(Table1[[#This Row],[2025]:[2018]])</f>
        <v>18573.809999999998</v>
      </c>
      <c r="O624" s="2">
        <f>Table1[[#This Row],[ttl]]/SUM(Table1[ttl])</f>
        <v>3.7452768803085321E-5</v>
      </c>
      <c r="P624" s="3">
        <f>SUM($O$2:Table1[[#This Row],[pctAllTimeExp]])</f>
        <v>0.9889014842205951</v>
      </c>
      <c r="Q624" t="b">
        <f>Table1[[#This Row],[cumPctAllTimeExp]]&lt;0.95</f>
        <v>0</v>
      </c>
    </row>
    <row r="625" spans="1:17" x14ac:dyDescent="0.25">
      <c r="A625">
        <v>762</v>
      </c>
      <c r="C625" t="s">
        <v>2508</v>
      </c>
      <c r="E625" t="s">
        <v>764</v>
      </c>
      <c r="F625" s="4">
        <v>0</v>
      </c>
      <c r="G625" s="4">
        <v>6000</v>
      </c>
      <c r="H625" s="4">
        <v>2500</v>
      </c>
      <c r="I625" s="4">
        <v>2500</v>
      </c>
      <c r="J625" s="4">
        <v>0</v>
      </c>
      <c r="K625" s="4">
        <v>2000</v>
      </c>
      <c r="L625" s="4">
        <v>5500</v>
      </c>
      <c r="M625" s="4">
        <v>0</v>
      </c>
      <c r="N625" s="4">
        <f>SUM(Table1[[#This Row],[2025]:[2018]])</f>
        <v>18500</v>
      </c>
      <c r="O625" s="2">
        <f>Table1[[#This Row],[ttl]]/SUM(Table1[ttl])</f>
        <v>3.7303936179872548E-5</v>
      </c>
      <c r="P625" s="3">
        <f>SUM($O$2:Table1[[#This Row],[pctAllTimeExp]])</f>
        <v>0.98893878815677494</v>
      </c>
      <c r="Q625" t="b">
        <f>Table1[[#This Row],[cumPctAllTimeExp]]&lt;0.95</f>
        <v>0</v>
      </c>
    </row>
    <row r="626" spans="1:17" x14ac:dyDescent="0.25">
      <c r="A626">
        <v>289</v>
      </c>
      <c r="C626" t="s">
        <v>2508</v>
      </c>
      <c r="E626" t="s">
        <v>291</v>
      </c>
      <c r="F626" s="4">
        <v>5604.48</v>
      </c>
      <c r="G626" s="4">
        <v>4873.49</v>
      </c>
      <c r="H626" s="4">
        <v>5098.18</v>
      </c>
      <c r="I626" s="4">
        <v>2836.65</v>
      </c>
      <c r="J626" s="4">
        <v>0</v>
      </c>
      <c r="K626" s="4">
        <v>0</v>
      </c>
      <c r="L626" s="4">
        <v>0</v>
      </c>
      <c r="M626" s="4">
        <v>0</v>
      </c>
      <c r="N626" s="4">
        <f>SUM(Table1[[#This Row],[2025]:[2018]])</f>
        <v>18412.8</v>
      </c>
      <c r="O626" s="2">
        <f>Table1[[#This Row],[ttl]]/SUM(Table1[ttl])</f>
        <v>3.7128103572581475E-5</v>
      </c>
      <c r="P626" s="3">
        <f>SUM($O$2:Table1[[#This Row],[pctAllTimeExp]])</f>
        <v>0.98897591626034753</v>
      </c>
      <c r="Q626" t="b">
        <f>Table1[[#This Row],[cumPctAllTimeExp]]&lt;0.95</f>
        <v>0</v>
      </c>
    </row>
    <row r="627" spans="1:17" x14ac:dyDescent="0.25">
      <c r="A627">
        <v>323</v>
      </c>
      <c r="C627" t="s">
        <v>2508</v>
      </c>
      <c r="E627" t="s">
        <v>325</v>
      </c>
      <c r="F627" s="4">
        <v>3960.06</v>
      </c>
      <c r="G627" s="4">
        <v>3050.42</v>
      </c>
      <c r="H627" s="4">
        <v>4759.43</v>
      </c>
      <c r="I627" s="4">
        <v>1842.76</v>
      </c>
      <c r="J627" s="4">
        <v>3157.86</v>
      </c>
      <c r="K627" s="4">
        <v>1542.24</v>
      </c>
      <c r="L627" s="4">
        <v>0</v>
      </c>
      <c r="M627" s="4">
        <v>0</v>
      </c>
      <c r="N627" s="4">
        <f>SUM(Table1[[#This Row],[2025]:[2018]])</f>
        <v>18312.77</v>
      </c>
      <c r="O627" s="2">
        <f>Table1[[#This Row],[ttl]]/SUM(Table1[ttl])</f>
        <v>3.6926400181442412E-5</v>
      </c>
      <c r="P627" s="3">
        <f>SUM($O$2:Table1[[#This Row],[pctAllTimeExp]])</f>
        <v>0.98901284266052902</v>
      </c>
      <c r="Q627" t="b">
        <f>Table1[[#This Row],[cumPctAllTimeExp]]&lt;0.95</f>
        <v>0</v>
      </c>
    </row>
    <row r="628" spans="1:17" x14ac:dyDescent="0.25">
      <c r="A628">
        <v>269</v>
      </c>
      <c r="C628" t="s">
        <v>2508</v>
      </c>
      <c r="E628" t="s">
        <v>271</v>
      </c>
      <c r="F628" s="4">
        <v>6746.26</v>
      </c>
      <c r="G628" s="4">
        <v>5622.4</v>
      </c>
      <c r="H628" s="4">
        <v>5927.93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f>SUM(Table1[[#This Row],[2025]:[2018]])</f>
        <v>18296.59</v>
      </c>
      <c r="O628" s="2">
        <f>Table1[[#This Row],[ttl]]/SUM(Table1[ttl])</f>
        <v>3.6893774360502397E-5</v>
      </c>
      <c r="P628" s="3">
        <f>SUM($O$2:Table1[[#This Row],[pctAllTimeExp]])</f>
        <v>0.98904973643488947</v>
      </c>
      <c r="Q628" t="b">
        <f>Table1[[#This Row],[cumPctAllTimeExp]]&lt;0.95</f>
        <v>0</v>
      </c>
    </row>
    <row r="629" spans="1:17" x14ac:dyDescent="0.25">
      <c r="A629">
        <v>179</v>
      </c>
      <c r="C629" t="s">
        <v>2508</v>
      </c>
      <c r="E629" t="s">
        <v>181</v>
      </c>
      <c r="F629" s="4">
        <v>18248.75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f>SUM(Table1[[#This Row],[2025]:[2018]])</f>
        <v>18248.75</v>
      </c>
      <c r="O629" s="2">
        <f>Table1[[#This Row],[ttl]]/SUM(Table1[ttl])</f>
        <v>3.6797308397970227E-5</v>
      </c>
      <c r="P629" s="3">
        <f>SUM($O$2:Table1[[#This Row],[pctAllTimeExp]])</f>
        <v>0.98908653374328748</v>
      </c>
      <c r="Q629" t="b">
        <f>Table1[[#This Row],[cumPctAllTimeExp]]&lt;0.95</f>
        <v>0</v>
      </c>
    </row>
    <row r="630" spans="1:17" x14ac:dyDescent="0.25">
      <c r="A630">
        <v>1234</v>
      </c>
      <c r="C630" t="s">
        <v>2508</v>
      </c>
      <c r="E630" t="s">
        <v>1236</v>
      </c>
      <c r="F630" s="4">
        <v>0</v>
      </c>
      <c r="G630" s="4">
        <v>0</v>
      </c>
      <c r="H630" s="4">
        <v>0</v>
      </c>
      <c r="I630" s="4">
        <v>4666.6000000000004</v>
      </c>
      <c r="J630" s="4">
        <v>7719.3</v>
      </c>
      <c r="K630" s="4">
        <v>3604</v>
      </c>
      <c r="L630" s="4">
        <v>1045</v>
      </c>
      <c r="M630" s="4">
        <v>1201</v>
      </c>
      <c r="N630" s="4">
        <f>SUM(Table1[[#This Row],[2025]:[2018]])</f>
        <v>18235.900000000001</v>
      </c>
      <c r="O630" s="2">
        <f>Table1[[#This Row],[ttl]]/SUM(Table1[ttl])</f>
        <v>3.6771397285542589E-5</v>
      </c>
      <c r="P630" s="3">
        <f>SUM($O$2:Table1[[#This Row],[pctAllTimeExp]])</f>
        <v>0.98912330514057301</v>
      </c>
      <c r="Q630" t="b">
        <f>Table1[[#This Row],[cumPctAllTimeExp]]&lt;0.95</f>
        <v>0</v>
      </c>
    </row>
    <row r="631" spans="1:17" x14ac:dyDescent="0.25">
      <c r="A631">
        <v>379</v>
      </c>
      <c r="C631" t="s">
        <v>2508</v>
      </c>
      <c r="E631" t="s">
        <v>381</v>
      </c>
      <c r="F631" s="4">
        <v>2305.31</v>
      </c>
      <c r="G631" s="4">
        <v>1929.22</v>
      </c>
      <c r="H631" s="4">
        <v>2372.91</v>
      </c>
      <c r="I631" s="4">
        <v>2572.62</v>
      </c>
      <c r="J631" s="4">
        <v>2318.85</v>
      </c>
      <c r="K631" s="4">
        <v>1975.44</v>
      </c>
      <c r="L631" s="4">
        <v>2142.9699999999998</v>
      </c>
      <c r="M631" s="4">
        <v>2604.11</v>
      </c>
      <c r="N631" s="4">
        <f>SUM(Table1[[#This Row],[2025]:[2018]])</f>
        <v>18221.43</v>
      </c>
      <c r="O631" s="2">
        <f>Table1[[#This Row],[ttl]]/SUM(Table1[ttl])</f>
        <v>3.674221955816298E-5</v>
      </c>
      <c r="P631" s="3">
        <f>SUM($O$2:Table1[[#This Row],[pctAllTimeExp]])</f>
        <v>0.98916004736013119</v>
      </c>
      <c r="Q631" t="b">
        <f>Table1[[#This Row],[cumPctAllTimeExp]]&lt;0.95</f>
        <v>0</v>
      </c>
    </row>
    <row r="632" spans="1:17" x14ac:dyDescent="0.25">
      <c r="A632">
        <v>991</v>
      </c>
      <c r="C632" t="s">
        <v>2508</v>
      </c>
      <c r="E632" t="s">
        <v>993</v>
      </c>
      <c r="F632" s="4">
        <v>0</v>
      </c>
      <c r="G632" s="4">
        <v>0</v>
      </c>
      <c r="H632" s="4">
        <v>17160</v>
      </c>
      <c r="I632" s="4">
        <v>0</v>
      </c>
      <c r="J632" s="4">
        <v>0</v>
      </c>
      <c r="K632" s="4">
        <v>0</v>
      </c>
      <c r="L632" s="4">
        <v>900</v>
      </c>
      <c r="M632" s="4">
        <v>0</v>
      </c>
      <c r="N632" s="4">
        <f>SUM(Table1[[#This Row],[2025]:[2018]])</f>
        <v>18060</v>
      </c>
      <c r="O632" s="2">
        <f>Table1[[#This Row],[ttl]]/SUM(Table1[ttl])</f>
        <v>3.6416707427486394E-5</v>
      </c>
      <c r="P632" s="3">
        <f>SUM($O$2:Table1[[#This Row],[pctAllTimeExp]])</f>
        <v>0.98919646406755868</v>
      </c>
      <c r="Q632" t="b">
        <f>Table1[[#This Row],[cumPctAllTimeExp]]&lt;0.95</f>
        <v>0</v>
      </c>
    </row>
    <row r="633" spans="1:17" x14ac:dyDescent="0.25">
      <c r="A633">
        <v>1444</v>
      </c>
      <c r="C633" t="s">
        <v>2508</v>
      </c>
      <c r="E633" t="s">
        <v>1446</v>
      </c>
      <c r="F633" s="4">
        <v>0</v>
      </c>
      <c r="G633" s="4">
        <v>0</v>
      </c>
      <c r="H633" s="4">
        <v>0</v>
      </c>
      <c r="I633" s="4">
        <v>0</v>
      </c>
      <c r="J633" s="4">
        <v>4500</v>
      </c>
      <c r="K633" s="4">
        <v>4500</v>
      </c>
      <c r="L633" s="4">
        <v>6000</v>
      </c>
      <c r="M633" s="4">
        <v>3000</v>
      </c>
      <c r="N633" s="4">
        <f>SUM(Table1[[#This Row],[2025]:[2018]])</f>
        <v>18000</v>
      </c>
      <c r="O633" s="2">
        <f>Table1[[#This Row],[ttl]]/SUM(Table1[ttl])</f>
        <v>3.6295721688524646E-5</v>
      </c>
      <c r="P633" s="3">
        <f>SUM($O$2:Table1[[#This Row],[pctAllTimeExp]])</f>
        <v>0.98923275978924718</v>
      </c>
      <c r="Q633" t="b">
        <f>Table1[[#This Row],[cumPctAllTimeExp]]&lt;0.95</f>
        <v>0</v>
      </c>
    </row>
    <row r="634" spans="1:17" x14ac:dyDescent="0.25">
      <c r="A634">
        <v>1676</v>
      </c>
      <c r="C634" t="s">
        <v>2508</v>
      </c>
      <c r="E634" t="s">
        <v>1678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17865</v>
      </c>
      <c r="L634" s="4">
        <v>0</v>
      </c>
      <c r="M634" s="4">
        <v>0</v>
      </c>
      <c r="N634" s="4">
        <f>SUM(Table1[[#This Row],[2025]:[2018]])</f>
        <v>17865</v>
      </c>
      <c r="O634" s="2">
        <f>Table1[[#This Row],[ttl]]/SUM(Table1[ttl])</f>
        <v>3.6023503775860706E-5</v>
      </c>
      <c r="P634" s="3">
        <f>SUM($O$2:Table1[[#This Row],[pctAllTimeExp]])</f>
        <v>0.98926878329302304</v>
      </c>
      <c r="Q634" t="b">
        <f>Table1[[#This Row],[cumPctAllTimeExp]]&lt;0.95</f>
        <v>0</v>
      </c>
    </row>
    <row r="635" spans="1:17" x14ac:dyDescent="0.25">
      <c r="A635">
        <v>1417</v>
      </c>
      <c r="C635" t="s">
        <v>2508</v>
      </c>
      <c r="E635" t="s">
        <v>1419</v>
      </c>
      <c r="F635" s="4">
        <v>0</v>
      </c>
      <c r="G635" s="4">
        <v>0</v>
      </c>
      <c r="H635" s="4">
        <v>0</v>
      </c>
      <c r="I635" s="4">
        <v>0</v>
      </c>
      <c r="J635" s="4">
        <v>17812.5</v>
      </c>
      <c r="K635" s="4">
        <v>0</v>
      </c>
      <c r="L635" s="4">
        <v>0</v>
      </c>
      <c r="M635" s="4">
        <v>0</v>
      </c>
      <c r="N635" s="4">
        <f>SUM(Table1[[#This Row],[2025]:[2018]])</f>
        <v>17812.5</v>
      </c>
      <c r="O635" s="2">
        <f>Table1[[#This Row],[ttl]]/SUM(Table1[ttl])</f>
        <v>3.5917641254269176E-5</v>
      </c>
      <c r="P635" s="3">
        <f>SUM($O$2:Table1[[#This Row],[pctAllTimeExp]])</f>
        <v>0.98930470093427736</v>
      </c>
      <c r="Q635" t="b">
        <f>Table1[[#This Row],[cumPctAllTimeExp]]&lt;0.95</f>
        <v>0</v>
      </c>
    </row>
    <row r="636" spans="1:17" x14ac:dyDescent="0.25">
      <c r="A636">
        <v>1750</v>
      </c>
      <c r="C636" t="s">
        <v>2508</v>
      </c>
      <c r="E636" t="s">
        <v>1752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1625</v>
      </c>
      <c r="L636" s="4">
        <v>15490</v>
      </c>
      <c r="M636" s="4">
        <v>642</v>
      </c>
      <c r="N636" s="4">
        <f>SUM(Table1[[#This Row],[2025]:[2018]])</f>
        <v>17757</v>
      </c>
      <c r="O636" s="2">
        <f>Table1[[#This Row],[ttl]]/SUM(Table1[ttl])</f>
        <v>3.5805729445729561E-5</v>
      </c>
      <c r="P636" s="3">
        <f>SUM($O$2:Table1[[#This Row],[pctAllTimeExp]])</f>
        <v>0.98934050666372308</v>
      </c>
      <c r="Q636" t="b">
        <f>Table1[[#This Row],[cumPctAllTimeExp]]&lt;0.95</f>
        <v>0</v>
      </c>
    </row>
    <row r="637" spans="1:17" x14ac:dyDescent="0.25">
      <c r="A637">
        <v>180</v>
      </c>
      <c r="C637" t="s">
        <v>2508</v>
      </c>
      <c r="E637" t="s">
        <v>182</v>
      </c>
      <c r="F637" s="4">
        <v>17725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f>SUM(Table1[[#This Row],[2025]:[2018]])</f>
        <v>17725</v>
      </c>
      <c r="O637" s="2">
        <f>Table1[[#This Row],[ttl]]/SUM(Table1[ttl])</f>
        <v>3.5741203718283293E-5</v>
      </c>
      <c r="P637" s="3">
        <f>SUM($O$2:Table1[[#This Row],[pctAllTimeExp]])</f>
        <v>0.98937624786744138</v>
      </c>
      <c r="Q637" t="b">
        <f>Table1[[#This Row],[cumPctAllTimeExp]]&lt;0.95</f>
        <v>0</v>
      </c>
    </row>
    <row r="638" spans="1:17" x14ac:dyDescent="0.25">
      <c r="A638">
        <v>373</v>
      </c>
      <c r="C638" t="s">
        <v>2508</v>
      </c>
      <c r="E638" t="s">
        <v>375</v>
      </c>
      <c r="F638" s="4">
        <v>2451</v>
      </c>
      <c r="G638" s="4">
        <v>0</v>
      </c>
      <c r="H638" s="4">
        <v>15259.5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f>SUM(Table1[[#This Row],[2025]:[2018]])</f>
        <v>17710.5</v>
      </c>
      <c r="O638" s="2">
        <f>Table1[[#This Row],[ttl]]/SUM(Table1[ttl])</f>
        <v>3.5711965498034208E-5</v>
      </c>
      <c r="P638" s="3">
        <f>SUM($O$2:Table1[[#This Row],[pctAllTimeExp]])</f>
        <v>0.98941195983293939</v>
      </c>
      <c r="Q638" t="b">
        <f>Table1[[#This Row],[cumPctAllTimeExp]]&lt;0.95</f>
        <v>0</v>
      </c>
    </row>
    <row r="639" spans="1:17" x14ac:dyDescent="0.25">
      <c r="A639">
        <v>870</v>
      </c>
      <c r="C639" t="s">
        <v>2508</v>
      </c>
      <c r="E639" t="s">
        <v>872</v>
      </c>
      <c r="F639" s="4">
        <v>0</v>
      </c>
      <c r="G639" s="4">
        <v>550</v>
      </c>
      <c r="H639" s="4">
        <v>0</v>
      </c>
      <c r="I639" s="4">
        <v>8740</v>
      </c>
      <c r="J639" s="4">
        <v>825</v>
      </c>
      <c r="K639" s="4">
        <v>575</v>
      </c>
      <c r="L639" s="4">
        <v>4887.5</v>
      </c>
      <c r="M639" s="4">
        <v>2050</v>
      </c>
      <c r="N639" s="4">
        <f>SUM(Table1[[#This Row],[2025]:[2018]])</f>
        <v>17627.5</v>
      </c>
      <c r="O639" s="2">
        <f>Table1[[#This Row],[ttl]]/SUM(Table1[ttl])</f>
        <v>3.5544601892470452E-5</v>
      </c>
      <c r="P639" s="3">
        <f>SUM($O$2:Table1[[#This Row],[pctAllTimeExp]])</f>
        <v>0.98944750443483187</v>
      </c>
      <c r="Q639" t="b">
        <f>Table1[[#This Row],[cumPctAllTimeExp]]&lt;0.95</f>
        <v>0</v>
      </c>
    </row>
    <row r="640" spans="1:17" x14ac:dyDescent="0.25">
      <c r="A640">
        <v>313</v>
      </c>
      <c r="C640" t="s">
        <v>2508</v>
      </c>
      <c r="E640" t="s">
        <v>315</v>
      </c>
      <c r="F640" s="4">
        <v>4445</v>
      </c>
      <c r="G640" s="4">
        <v>7660</v>
      </c>
      <c r="H640" s="4">
        <v>5400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f>SUM(Table1[[#This Row],[2025]:[2018]])</f>
        <v>17505</v>
      </c>
      <c r="O640" s="2">
        <f>Table1[[#This Row],[ttl]]/SUM(Table1[ttl])</f>
        <v>3.5297589342090216E-5</v>
      </c>
      <c r="P640" s="3">
        <f>SUM($O$2:Table1[[#This Row],[pctAllTimeExp]])</f>
        <v>0.98948280202417394</v>
      </c>
      <c r="Q640" t="b">
        <f>Table1[[#This Row],[cumPctAllTimeExp]]&lt;0.95</f>
        <v>0</v>
      </c>
    </row>
    <row r="641" spans="1:17" x14ac:dyDescent="0.25">
      <c r="A641">
        <v>2018</v>
      </c>
      <c r="C641" t="s">
        <v>2508</v>
      </c>
      <c r="E641" t="s">
        <v>2020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4288.3</v>
      </c>
      <c r="M641" s="4">
        <v>13145.65</v>
      </c>
      <c r="N641" s="4">
        <f>SUM(Table1[[#This Row],[2025]:[2018]])</f>
        <v>17433.95</v>
      </c>
      <c r="O641" s="2">
        <f>Table1[[#This Row],[ttl]]/SUM(Table1[ttl])</f>
        <v>3.5154322062869682E-5</v>
      </c>
      <c r="P641" s="3">
        <f>SUM($O$2:Table1[[#This Row],[pctAllTimeExp]])</f>
        <v>0.98951795634623685</v>
      </c>
      <c r="Q641" t="b">
        <f>Table1[[#This Row],[cumPctAllTimeExp]]&lt;0.95</f>
        <v>0</v>
      </c>
    </row>
    <row r="642" spans="1:17" x14ac:dyDescent="0.25">
      <c r="A642">
        <v>229</v>
      </c>
      <c r="C642" t="s">
        <v>2508</v>
      </c>
      <c r="E642" t="s">
        <v>231</v>
      </c>
      <c r="F642" s="4">
        <v>9315</v>
      </c>
      <c r="G642" s="4">
        <v>0</v>
      </c>
      <c r="H642" s="4">
        <v>0</v>
      </c>
      <c r="I642" s="4">
        <v>300</v>
      </c>
      <c r="J642" s="4">
        <v>500</v>
      </c>
      <c r="K642" s="4">
        <v>6875</v>
      </c>
      <c r="L642" s="4">
        <v>0</v>
      </c>
      <c r="M642" s="4">
        <v>350</v>
      </c>
      <c r="N642" s="4">
        <f>SUM(Table1[[#This Row],[2025]:[2018]])</f>
        <v>17340</v>
      </c>
      <c r="O642" s="2">
        <f>Table1[[#This Row],[ttl]]/SUM(Table1[ttl])</f>
        <v>3.4964878559945408E-5</v>
      </c>
      <c r="P642" s="3">
        <f>SUM($O$2:Table1[[#This Row],[pctAllTimeExp]])</f>
        <v>0.98955292122479677</v>
      </c>
      <c r="Q642" t="b">
        <f>Table1[[#This Row],[cumPctAllTimeExp]]&lt;0.95</f>
        <v>0</v>
      </c>
    </row>
    <row r="643" spans="1:17" x14ac:dyDescent="0.25">
      <c r="A643">
        <v>400</v>
      </c>
      <c r="C643" t="s">
        <v>2508</v>
      </c>
      <c r="E643" t="s">
        <v>402</v>
      </c>
      <c r="F643" s="4">
        <v>1897.96</v>
      </c>
      <c r="G643" s="4">
        <v>2282.94</v>
      </c>
      <c r="H643" s="4">
        <v>1811.89</v>
      </c>
      <c r="I643" s="4">
        <v>783.26</v>
      </c>
      <c r="J643" s="4">
        <v>3104.3</v>
      </c>
      <c r="K643" s="4">
        <v>2679.41</v>
      </c>
      <c r="L643" s="4">
        <v>4645.45</v>
      </c>
      <c r="M643" s="4">
        <v>87.75</v>
      </c>
      <c r="N643" s="4">
        <f>SUM(Table1[[#This Row],[2025]:[2018]])</f>
        <v>17292.96</v>
      </c>
      <c r="O643" s="2">
        <f>Table1[[#This Row],[ttl]]/SUM(Table1[ttl])</f>
        <v>3.4870025740599393E-5</v>
      </c>
      <c r="P643" s="3">
        <f>SUM($O$2:Table1[[#This Row],[pctAllTimeExp]])</f>
        <v>0.98958779125053742</v>
      </c>
      <c r="Q643" t="b">
        <f>Table1[[#This Row],[cumPctAllTimeExp]]&lt;0.95</f>
        <v>0</v>
      </c>
    </row>
    <row r="644" spans="1:17" x14ac:dyDescent="0.25">
      <c r="A644">
        <v>239</v>
      </c>
      <c r="C644" t="s">
        <v>2508</v>
      </c>
      <c r="E644" t="s">
        <v>241</v>
      </c>
      <c r="F644" s="4">
        <v>8479.2999999999993</v>
      </c>
      <c r="G644" s="4">
        <v>8758.07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f>SUM(Table1[[#This Row],[2025]:[2018]])</f>
        <v>17237.37</v>
      </c>
      <c r="O644" s="2">
        <f>Table1[[#This Row],[ttl]]/SUM(Table1[ttl])</f>
        <v>3.4757932453451332E-5</v>
      </c>
      <c r="P644" s="3">
        <f>SUM($O$2:Table1[[#This Row],[pctAllTimeExp]])</f>
        <v>0.98962254918299086</v>
      </c>
      <c r="Q644" t="b">
        <f>Table1[[#This Row],[cumPctAllTimeExp]]&lt;0.95</f>
        <v>0</v>
      </c>
    </row>
    <row r="645" spans="1:17" x14ac:dyDescent="0.25">
      <c r="A645">
        <v>1677</v>
      </c>
      <c r="C645" t="s">
        <v>2508</v>
      </c>
      <c r="E645" t="s">
        <v>1679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17158.009999999998</v>
      </c>
      <c r="L645" s="4">
        <v>0</v>
      </c>
      <c r="M645" s="4">
        <v>0</v>
      </c>
      <c r="N645" s="4">
        <f>SUM(Table1[[#This Row],[2025]:[2018]])</f>
        <v>17158.009999999998</v>
      </c>
      <c r="O645" s="2">
        <f>Table1[[#This Row],[ttl]]/SUM(Table1[ttl])</f>
        <v>3.459790864938459E-5</v>
      </c>
      <c r="P645" s="3">
        <f>SUM($O$2:Table1[[#This Row],[pctAllTimeExp]])</f>
        <v>0.98965714709164021</v>
      </c>
      <c r="Q645" t="b">
        <f>Table1[[#This Row],[cumPctAllTimeExp]]&lt;0.95</f>
        <v>0</v>
      </c>
    </row>
    <row r="646" spans="1:17" x14ac:dyDescent="0.25">
      <c r="A646">
        <v>1718</v>
      </c>
      <c r="C646" t="s">
        <v>2508</v>
      </c>
      <c r="E646" t="s">
        <v>1720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4145.68</v>
      </c>
      <c r="L646" s="4">
        <v>4071.44</v>
      </c>
      <c r="M646" s="4">
        <v>8858.17</v>
      </c>
      <c r="N646" s="4">
        <f>SUM(Table1[[#This Row],[2025]:[2018]])</f>
        <v>17075.29</v>
      </c>
      <c r="O646" s="2">
        <f>Table1[[#This Row],[ttl]]/SUM(Table1[ttl])</f>
        <v>3.4431109643935996E-5</v>
      </c>
      <c r="P646" s="3">
        <f>SUM($O$2:Table1[[#This Row],[pctAllTimeExp]])</f>
        <v>0.98969157820128417</v>
      </c>
      <c r="Q646" t="b">
        <f>Table1[[#This Row],[cumPctAllTimeExp]]&lt;0.95</f>
        <v>0</v>
      </c>
    </row>
    <row r="647" spans="1:17" x14ac:dyDescent="0.25">
      <c r="A647">
        <v>222</v>
      </c>
      <c r="C647" t="s">
        <v>2508</v>
      </c>
      <c r="E647" t="s">
        <v>224</v>
      </c>
      <c r="F647" s="4">
        <v>10272.5</v>
      </c>
      <c r="G647" s="4">
        <v>0</v>
      </c>
      <c r="H647" s="4">
        <v>0</v>
      </c>
      <c r="I647" s="4">
        <v>0</v>
      </c>
      <c r="J647" s="4">
        <v>6800</v>
      </c>
      <c r="K647" s="4">
        <v>0</v>
      </c>
      <c r="L647" s="4">
        <v>0</v>
      </c>
      <c r="M647" s="4">
        <v>0</v>
      </c>
      <c r="N647" s="4">
        <f>SUM(Table1[[#This Row],[2025]:[2018]])</f>
        <v>17072.5</v>
      </c>
      <c r="O647" s="2">
        <f>Table1[[#This Row],[ttl]]/SUM(Table1[ttl])</f>
        <v>3.4425483807074274E-5</v>
      </c>
      <c r="P647" s="3">
        <f>SUM($O$2:Table1[[#This Row],[pctAllTimeExp]])</f>
        <v>0.98972600368509123</v>
      </c>
      <c r="Q647" t="b">
        <f>Table1[[#This Row],[cumPctAllTimeExp]]&lt;0.95</f>
        <v>0</v>
      </c>
    </row>
    <row r="648" spans="1:17" x14ac:dyDescent="0.25">
      <c r="A648">
        <v>1981</v>
      </c>
      <c r="C648" t="s">
        <v>2508</v>
      </c>
      <c r="E648" t="s">
        <v>1983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17000</v>
      </c>
      <c r="M648" s="4">
        <v>0</v>
      </c>
      <c r="N648" s="4">
        <f>SUM(Table1[[#This Row],[2025]:[2018]])</f>
        <v>17000</v>
      </c>
      <c r="O648" s="2">
        <f>Table1[[#This Row],[ttl]]/SUM(Table1[ttl])</f>
        <v>3.4279292705828828E-5</v>
      </c>
      <c r="P648" s="3">
        <f>SUM($O$2:Table1[[#This Row],[pctAllTimeExp]])</f>
        <v>0.98976028297779706</v>
      </c>
      <c r="Q648" t="b">
        <f>Table1[[#This Row],[cumPctAllTimeExp]]&lt;0.95</f>
        <v>0</v>
      </c>
    </row>
    <row r="649" spans="1:17" x14ac:dyDescent="0.25">
      <c r="A649">
        <v>1418</v>
      </c>
      <c r="C649" t="s">
        <v>2508</v>
      </c>
      <c r="E649" t="s">
        <v>1420</v>
      </c>
      <c r="F649" s="4">
        <v>0</v>
      </c>
      <c r="G649" s="4">
        <v>0</v>
      </c>
      <c r="H649" s="4">
        <v>0</v>
      </c>
      <c r="I649" s="4">
        <v>0</v>
      </c>
      <c r="J649" s="4">
        <v>16990</v>
      </c>
      <c r="K649" s="4">
        <v>0</v>
      </c>
      <c r="L649" s="4">
        <v>0</v>
      </c>
      <c r="M649" s="4">
        <v>0</v>
      </c>
      <c r="N649" s="4">
        <f>SUM(Table1[[#This Row],[2025]:[2018]])</f>
        <v>16990</v>
      </c>
      <c r="O649" s="2">
        <f>Table1[[#This Row],[ttl]]/SUM(Table1[ttl])</f>
        <v>3.425912841600187E-5</v>
      </c>
      <c r="P649" s="3">
        <f>SUM($O$2:Table1[[#This Row],[pctAllTimeExp]])</f>
        <v>0.98979454210621309</v>
      </c>
      <c r="Q649" t="b">
        <f>Table1[[#This Row],[cumPctAllTimeExp]]&lt;0.95</f>
        <v>0</v>
      </c>
    </row>
    <row r="650" spans="1:17" x14ac:dyDescent="0.25">
      <c r="A650">
        <v>361</v>
      </c>
      <c r="C650" t="s">
        <v>2508</v>
      </c>
      <c r="E650" t="s">
        <v>363</v>
      </c>
      <c r="F650" s="4">
        <v>2850</v>
      </c>
      <c r="G650" s="4">
        <v>5385</v>
      </c>
      <c r="H650" s="4">
        <v>0</v>
      </c>
      <c r="I650" s="4">
        <v>0</v>
      </c>
      <c r="J650" s="4">
        <v>0</v>
      </c>
      <c r="K650" s="4">
        <v>3307</v>
      </c>
      <c r="L650" s="4">
        <v>2584</v>
      </c>
      <c r="M650" s="4">
        <v>2855</v>
      </c>
      <c r="N650" s="4">
        <f>SUM(Table1[[#This Row],[2025]:[2018]])</f>
        <v>16981</v>
      </c>
      <c r="O650" s="2">
        <f>Table1[[#This Row],[ttl]]/SUM(Table1[ttl])</f>
        <v>3.4240980555157609E-5</v>
      </c>
      <c r="P650" s="3">
        <f>SUM($O$2:Table1[[#This Row],[pctAllTimeExp]])</f>
        <v>0.98982878308676825</v>
      </c>
      <c r="Q650" t="b">
        <f>Table1[[#This Row],[cumPctAllTimeExp]]&lt;0.95</f>
        <v>0</v>
      </c>
    </row>
    <row r="651" spans="1:17" x14ac:dyDescent="0.25">
      <c r="A651">
        <v>236</v>
      </c>
      <c r="C651" t="s">
        <v>2508</v>
      </c>
      <c r="E651" t="s">
        <v>238</v>
      </c>
      <c r="F651" s="4">
        <v>8735</v>
      </c>
      <c r="G651" s="4">
        <v>0</v>
      </c>
      <c r="H651" s="4">
        <v>2394</v>
      </c>
      <c r="I651" s="4">
        <v>733</v>
      </c>
      <c r="J651" s="4">
        <v>828</v>
      </c>
      <c r="K651" s="4">
        <v>0</v>
      </c>
      <c r="L651" s="4">
        <v>2623</v>
      </c>
      <c r="M651" s="4">
        <v>1579.05</v>
      </c>
      <c r="N651" s="4">
        <f>SUM(Table1[[#This Row],[2025]:[2018]])</f>
        <v>16892.05</v>
      </c>
      <c r="O651" s="2">
        <f>Table1[[#This Row],[ttl]]/SUM(Table1[ttl])</f>
        <v>3.4061619197146815E-5</v>
      </c>
      <c r="P651" s="3">
        <f>SUM($O$2:Table1[[#This Row],[pctAllTimeExp]])</f>
        <v>0.98986284470596542</v>
      </c>
      <c r="Q651" t="b">
        <f>Table1[[#This Row],[cumPctAllTimeExp]]&lt;0.95</f>
        <v>0</v>
      </c>
    </row>
    <row r="652" spans="1:17" x14ac:dyDescent="0.25">
      <c r="A652">
        <v>771</v>
      </c>
      <c r="C652" t="s">
        <v>2508</v>
      </c>
      <c r="E652" t="s">
        <v>773</v>
      </c>
      <c r="F652" s="4">
        <v>0</v>
      </c>
      <c r="G652" s="4">
        <v>4541.9799999999996</v>
      </c>
      <c r="H652" s="4">
        <v>2267.7399999999998</v>
      </c>
      <c r="I652" s="4">
        <v>2189.3000000000002</v>
      </c>
      <c r="J652" s="4">
        <v>2076.34</v>
      </c>
      <c r="K652" s="4">
        <v>1627.61</v>
      </c>
      <c r="L652" s="4">
        <v>1937.09</v>
      </c>
      <c r="M652" s="4">
        <v>2225.25</v>
      </c>
      <c r="N652" s="4">
        <f>SUM(Table1[[#This Row],[2025]:[2018]])</f>
        <v>16865.310000000001</v>
      </c>
      <c r="O652" s="2">
        <f>Table1[[#This Row],[ttl]]/SUM(Table1[ttl])</f>
        <v>3.4007699886149532E-5</v>
      </c>
      <c r="P652" s="3">
        <f>SUM($O$2:Table1[[#This Row],[pctAllTimeExp]])</f>
        <v>0.98989685240585157</v>
      </c>
      <c r="Q652" t="b">
        <f>Table1[[#This Row],[cumPctAllTimeExp]]&lt;0.95</f>
        <v>0</v>
      </c>
    </row>
    <row r="653" spans="1:17" x14ac:dyDescent="0.25">
      <c r="A653">
        <v>306</v>
      </c>
      <c r="C653" t="s">
        <v>2508</v>
      </c>
      <c r="E653" t="s">
        <v>308</v>
      </c>
      <c r="F653" s="4">
        <v>4800</v>
      </c>
      <c r="G653" s="4">
        <v>7000</v>
      </c>
      <c r="H653" s="4">
        <v>5000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f>SUM(Table1[[#This Row],[2025]:[2018]])</f>
        <v>16800</v>
      </c>
      <c r="O653" s="2">
        <f>Table1[[#This Row],[ttl]]/SUM(Table1[ttl])</f>
        <v>3.3876006909289668E-5</v>
      </c>
      <c r="P653" s="3">
        <f>SUM($O$2:Table1[[#This Row],[pctAllTimeExp]])</f>
        <v>0.98993072841276086</v>
      </c>
      <c r="Q653" t="b">
        <f>Table1[[#This Row],[cumPctAllTimeExp]]&lt;0.95</f>
        <v>0</v>
      </c>
    </row>
    <row r="654" spans="1:17" x14ac:dyDescent="0.25">
      <c r="A654">
        <v>993</v>
      </c>
      <c r="C654" t="s">
        <v>2508</v>
      </c>
      <c r="E654" t="s">
        <v>995</v>
      </c>
      <c r="F654" s="4">
        <v>0</v>
      </c>
      <c r="G654" s="4">
        <v>0</v>
      </c>
      <c r="H654" s="4">
        <v>16730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f>SUM(Table1[[#This Row],[2025]:[2018]])</f>
        <v>16730</v>
      </c>
      <c r="O654" s="2">
        <f>Table1[[#This Row],[ttl]]/SUM(Table1[ttl])</f>
        <v>3.3734856880500961E-5</v>
      </c>
      <c r="P654" s="3">
        <f>SUM($O$2:Table1[[#This Row],[pctAllTimeExp]])</f>
        <v>0.98996446326964138</v>
      </c>
      <c r="Q654" t="b">
        <f>Table1[[#This Row],[cumPctAllTimeExp]]&lt;0.95</f>
        <v>0</v>
      </c>
    </row>
    <row r="655" spans="1:17" x14ac:dyDescent="0.25">
      <c r="A655">
        <v>994</v>
      </c>
      <c r="C655" t="s">
        <v>2508</v>
      </c>
      <c r="E655" t="s">
        <v>996</v>
      </c>
      <c r="F655" s="4">
        <v>0</v>
      </c>
      <c r="G655" s="4">
        <v>0</v>
      </c>
      <c r="H655" s="4">
        <v>16680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f>SUM(Table1[[#This Row],[2025]:[2018]])</f>
        <v>16680</v>
      </c>
      <c r="O655" s="2">
        <f>Table1[[#This Row],[ttl]]/SUM(Table1[ttl])</f>
        <v>3.3634035431366171E-5</v>
      </c>
      <c r="P655" s="3">
        <f>SUM($O$2:Table1[[#This Row],[pctAllTimeExp]])</f>
        <v>0.98999809730507271</v>
      </c>
      <c r="Q655" t="b">
        <f>Table1[[#This Row],[cumPctAllTimeExp]]&lt;0.95</f>
        <v>0</v>
      </c>
    </row>
    <row r="656" spans="1:17" x14ac:dyDescent="0.25">
      <c r="A656">
        <v>1425</v>
      </c>
      <c r="C656" t="s">
        <v>2508</v>
      </c>
      <c r="E656" t="s">
        <v>1427</v>
      </c>
      <c r="F656" s="4">
        <v>0</v>
      </c>
      <c r="G656" s="4">
        <v>0</v>
      </c>
      <c r="H656" s="4">
        <v>0</v>
      </c>
      <c r="I656" s="4">
        <v>0</v>
      </c>
      <c r="J656" s="4">
        <v>11364</v>
      </c>
      <c r="K656" s="4">
        <v>0</v>
      </c>
      <c r="L656" s="4">
        <v>173.76</v>
      </c>
      <c r="M656" s="4">
        <v>5053.96</v>
      </c>
      <c r="N656" s="4">
        <f>SUM(Table1[[#This Row],[2025]:[2018]])</f>
        <v>16591.72</v>
      </c>
      <c r="O656" s="2">
        <f>Table1[[#This Row],[ttl]]/SUM(Table1[ttl])</f>
        <v>3.3456025080773788E-5</v>
      </c>
      <c r="P656" s="3">
        <f>SUM($O$2:Table1[[#This Row],[pctAllTimeExp]])</f>
        <v>0.99003155333015347</v>
      </c>
      <c r="Q656" t="b">
        <f>Table1[[#This Row],[cumPctAllTimeExp]]&lt;0.95</f>
        <v>0</v>
      </c>
    </row>
    <row r="657" spans="1:17" x14ac:dyDescent="0.25">
      <c r="A657">
        <v>187</v>
      </c>
      <c r="C657" t="s">
        <v>2508</v>
      </c>
      <c r="E657" t="s">
        <v>189</v>
      </c>
      <c r="F657" s="4">
        <v>16447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f>SUM(Table1[[#This Row],[2025]:[2018]])</f>
        <v>16447</v>
      </c>
      <c r="O657" s="2">
        <f>Table1[[#This Row],[ttl]]/SUM(Table1[ttl])</f>
        <v>3.3164207478398045E-5</v>
      </c>
      <c r="P657" s="3">
        <f>SUM($O$2:Table1[[#This Row],[pctAllTimeExp]])</f>
        <v>0.99006471753763192</v>
      </c>
      <c r="Q657" t="b">
        <f>Table1[[#This Row],[cumPctAllTimeExp]]&lt;0.95</f>
        <v>0</v>
      </c>
    </row>
    <row r="658" spans="1:17" x14ac:dyDescent="0.25">
      <c r="A658">
        <v>223</v>
      </c>
      <c r="C658" t="s">
        <v>2508</v>
      </c>
      <c r="E658" t="s">
        <v>225</v>
      </c>
      <c r="F658" s="4">
        <v>10184.58</v>
      </c>
      <c r="G658" s="4">
        <v>6259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f>SUM(Table1[[#This Row],[2025]:[2018]])</f>
        <v>16443.580000000002</v>
      </c>
      <c r="O658" s="2">
        <f>Table1[[#This Row],[ttl]]/SUM(Table1[ttl])</f>
        <v>3.3157311291277228E-5</v>
      </c>
      <c r="P658" s="3">
        <f>SUM($O$2:Table1[[#This Row],[pctAllTimeExp]])</f>
        <v>0.9900978748489232</v>
      </c>
      <c r="Q658" t="b">
        <f>Table1[[#This Row],[cumPctAllTimeExp]]&lt;0.95</f>
        <v>0</v>
      </c>
    </row>
    <row r="659" spans="1:17" x14ac:dyDescent="0.25">
      <c r="A659">
        <v>321</v>
      </c>
      <c r="C659" t="s">
        <v>2508</v>
      </c>
      <c r="E659" t="s">
        <v>323</v>
      </c>
      <c r="F659" s="4">
        <v>4029</v>
      </c>
      <c r="G659" s="4">
        <v>1560</v>
      </c>
      <c r="H659" s="4">
        <v>936</v>
      </c>
      <c r="I659" s="4">
        <v>2652</v>
      </c>
      <c r="J659" s="4">
        <v>3240</v>
      </c>
      <c r="K659" s="4">
        <v>2262</v>
      </c>
      <c r="L659" s="4">
        <v>1718</v>
      </c>
      <c r="M659" s="4">
        <v>0</v>
      </c>
      <c r="N659" s="4">
        <f>SUM(Table1[[#This Row],[2025]:[2018]])</f>
        <v>16397</v>
      </c>
      <c r="O659" s="2">
        <f>Table1[[#This Row],[ttl]]/SUM(Table1[ttl])</f>
        <v>3.3063386029263255E-5</v>
      </c>
      <c r="P659" s="3">
        <f>SUM($O$2:Table1[[#This Row],[pctAllTimeExp]])</f>
        <v>0.99013093823495246</v>
      </c>
      <c r="Q659" t="b">
        <f>Table1[[#This Row],[cumPctAllTimeExp]]&lt;0.95</f>
        <v>0</v>
      </c>
    </row>
    <row r="660" spans="1:17" x14ac:dyDescent="0.25">
      <c r="A660">
        <v>386</v>
      </c>
      <c r="C660" t="s">
        <v>2508</v>
      </c>
      <c r="E660" t="s">
        <v>388</v>
      </c>
      <c r="F660" s="4">
        <v>2167.65</v>
      </c>
      <c r="G660" s="4">
        <v>1956.2</v>
      </c>
      <c r="H660" s="4">
        <v>2827.55</v>
      </c>
      <c r="I660" s="4">
        <v>3204.15</v>
      </c>
      <c r="J660" s="4">
        <v>0</v>
      </c>
      <c r="K660" s="4">
        <v>1641.7</v>
      </c>
      <c r="L660" s="4">
        <v>2500.4499999999998</v>
      </c>
      <c r="M660" s="4">
        <v>1972.2</v>
      </c>
      <c r="N660" s="4">
        <f>SUM(Table1[[#This Row],[2025]:[2018]])</f>
        <v>16269.900000000001</v>
      </c>
      <c r="O660" s="2">
        <f>Table1[[#This Row],[ttl]]/SUM(Table1[ttl])</f>
        <v>3.2807097905562617E-5</v>
      </c>
      <c r="P660" s="3">
        <f>SUM($O$2:Table1[[#This Row],[pctAllTimeExp]])</f>
        <v>0.990163745332858</v>
      </c>
      <c r="Q660" t="b">
        <f>Table1[[#This Row],[cumPctAllTimeExp]]&lt;0.95</f>
        <v>0</v>
      </c>
    </row>
    <row r="661" spans="1:17" x14ac:dyDescent="0.25">
      <c r="A661">
        <v>344</v>
      </c>
      <c r="C661" t="s">
        <v>2508</v>
      </c>
      <c r="E661" t="s">
        <v>346</v>
      </c>
      <c r="F661" s="4">
        <v>3333</v>
      </c>
      <c r="G661" s="4">
        <v>0</v>
      </c>
      <c r="H661" s="4">
        <v>2227.5</v>
      </c>
      <c r="I661" s="4">
        <v>657</v>
      </c>
      <c r="J661" s="4">
        <v>3834</v>
      </c>
      <c r="K661" s="4">
        <v>2558.75</v>
      </c>
      <c r="L661" s="4">
        <v>1477</v>
      </c>
      <c r="M661" s="4">
        <v>2172.5</v>
      </c>
      <c r="N661" s="4">
        <f>SUM(Table1[[#This Row],[2025]:[2018]])</f>
        <v>16259.75</v>
      </c>
      <c r="O661" s="2">
        <f>Table1[[#This Row],[ttl]]/SUM(Table1[ttl])</f>
        <v>3.2786631151388254E-5</v>
      </c>
      <c r="P661" s="3">
        <f>SUM($O$2:Table1[[#This Row],[pctAllTimeExp]])</f>
        <v>0.99019653196400936</v>
      </c>
      <c r="Q661" t="b">
        <f>Table1[[#This Row],[cumPctAllTimeExp]]&lt;0.95</f>
        <v>0</v>
      </c>
    </row>
    <row r="662" spans="1:17" x14ac:dyDescent="0.25">
      <c r="A662">
        <v>995</v>
      </c>
      <c r="C662" t="s">
        <v>2508</v>
      </c>
      <c r="E662" t="s">
        <v>997</v>
      </c>
      <c r="F662" s="4">
        <v>0</v>
      </c>
      <c r="G662" s="4">
        <v>0</v>
      </c>
      <c r="H662" s="4">
        <v>16127.46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f>SUM(Table1[[#This Row],[2025]:[2018]])</f>
        <v>16127.46</v>
      </c>
      <c r="O662" s="2">
        <f>Table1[[#This Row],[ttl]]/SUM(Table1[ttl])</f>
        <v>3.2519877761267423E-5</v>
      </c>
      <c r="P662" s="3">
        <f>SUM($O$2:Table1[[#This Row],[pctAllTimeExp]])</f>
        <v>0.99022905184177068</v>
      </c>
      <c r="Q662" t="b">
        <f>Table1[[#This Row],[cumPctAllTimeExp]]&lt;0.95</f>
        <v>0</v>
      </c>
    </row>
    <row r="663" spans="1:17" x14ac:dyDescent="0.25">
      <c r="A663">
        <v>1170</v>
      </c>
      <c r="C663" t="s">
        <v>2508</v>
      </c>
      <c r="E663" t="s">
        <v>1172</v>
      </c>
      <c r="F663" s="4">
        <v>0</v>
      </c>
      <c r="G663" s="4">
        <v>0</v>
      </c>
      <c r="H663" s="4">
        <v>150</v>
      </c>
      <c r="I663" s="4">
        <v>1516.5</v>
      </c>
      <c r="J663" s="4">
        <v>1772.5</v>
      </c>
      <c r="K663" s="4">
        <v>2829.75</v>
      </c>
      <c r="L663" s="4">
        <v>8227.4</v>
      </c>
      <c r="M663" s="4">
        <v>1606.5</v>
      </c>
      <c r="N663" s="4">
        <f>SUM(Table1[[#This Row],[2025]:[2018]])</f>
        <v>16102.65</v>
      </c>
      <c r="O663" s="2">
        <f>Table1[[#This Row],[ttl]]/SUM(Table1[ttl])</f>
        <v>3.2469850158206743E-5</v>
      </c>
      <c r="P663" s="3">
        <f>SUM($O$2:Table1[[#This Row],[pctAllTimeExp]])</f>
        <v>0.99026152169192894</v>
      </c>
      <c r="Q663" t="b">
        <f>Table1[[#This Row],[cumPctAllTimeExp]]&lt;0.95</f>
        <v>0</v>
      </c>
    </row>
    <row r="664" spans="1:17" x14ac:dyDescent="0.25">
      <c r="A664">
        <v>293</v>
      </c>
      <c r="C664" t="s">
        <v>2508</v>
      </c>
      <c r="E664" t="s">
        <v>295</v>
      </c>
      <c r="F664" s="4">
        <v>5437.03</v>
      </c>
      <c r="G664" s="4">
        <v>4983.7700000000004</v>
      </c>
      <c r="H664" s="4">
        <v>2629.79</v>
      </c>
      <c r="I664" s="4">
        <v>2047.57</v>
      </c>
      <c r="J664" s="4">
        <v>0</v>
      </c>
      <c r="K664" s="4">
        <v>964.81</v>
      </c>
      <c r="L664" s="4">
        <v>0</v>
      </c>
      <c r="M664" s="4">
        <v>0</v>
      </c>
      <c r="N664" s="4">
        <f>SUM(Table1[[#This Row],[2025]:[2018]])</f>
        <v>16062.97</v>
      </c>
      <c r="O664" s="2">
        <f>Table1[[#This Row],[ttl]]/SUM(Table1[ttl])</f>
        <v>3.2389838256173368E-5</v>
      </c>
      <c r="P664" s="3">
        <f>SUM($O$2:Table1[[#This Row],[pctAllTimeExp]])</f>
        <v>0.99029391153018509</v>
      </c>
      <c r="Q664" t="b">
        <f>Table1[[#This Row],[cumPctAllTimeExp]]&lt;0.95</f>
        <v>0</v>
      </c>
    </row>
    <row r="665" spans="1:17" x14ac:dyDescent="0.25">
      <c r="A665">
        <v>1680</v>
      </c>
      <c r="C665" t="s">
        <v>2508</v>
      </c>
      <c r="E665" t="s">
        <v>1682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16000</v>
      </c>
      <c r="L665" s="4">
        <v>0</v>
      </c>
      <c r="M665" s="4">
        <v>0</v>
      </c>
      <c r="N665" s="4">
        <f>SUM(Table1[[#This Row],[2025]:[2018]])</f>
        <v>16000</v>
      </c>
      <c r="O665" s="2">
        <f>Table1[[#This Row],[ttl]]/SUM(Table1[ttl])</f>
        <v>3.2262863723133018E-5</v>
      </c>
      <c r="P665" s="3">
        <f>SUM($O$2:Table1[[#This Row],[pctAllTimeExp]])</f>
        <v>0.99032617439390824</v>
      </c>
      <c r="Q665" t="b">
        <f>Table1[[#This Row],[cumPctAllTimeExp]]&lt;0.95</f>
        <v>0</v>
      </c>
    </row>
    <row r="666" spans="1:17" x14ac:dyDescent="0.25">
      <c r="A666">
        <v>1264</v>
      </c>
      <c r="C666" t="s">
        <v>2508</v>
      </c>
      <c r="E666" t="s">
        <v>1266</v>
      </c>
      <c r="F666" s="4">
        <v>0</v>
      </c>
      <c r="G666" s="4">
        <v>0</v>
      </c>
      <c r="H666" s="4">
        <v>0</v>
      </c>
      <c r="I666" s="4">
        <v>1761.97</v>
      </c>
      <c r="J666" s="4">
        <v>1600.32</v>
      </c>
      <c r="K666" s="4">
        <v>2104.7600000000002</v>
      </c>
      <c r="L666" s="4">
        <v>3394.93</v>
      </c>
      <c r="M666" s="4">
        <v>7124.27</v>
      </c>
      <c r="N666" s="4">
        <f>SUM(Table1[[#This Row],[2025]:[2018]])</f>
        <v>15986.25</v>
      </c>
      <c r="O666" s="2">
        <f>Table1[[#This Row],[ttl]]/SUM(Table1[ttl])</f>
        <v>3.223513782462095E-5</v>
      </c>
      <c r="P666" s="3">
        <f>SUM($O$2:Table1[[#This Row],[pctAllTimeExp]])</f>
        <v>0.99035840953173282</v>
      </c>
      <c r="Q666" t="b">
        <f>Table1[[#This Row],[cumPctAllTimeExp]]&lt;0.95</f>
        <v>0</v>
      </c>
    </row>
    <row r="667" spans="1:17" x14ac:dyDescent="0.25">
      <c r="A667">
        <v>1421</v>
      </c>
      <c r="C667" t="s">
        <v>2508</v>
      </c>
      <c r="E667" t="s">
        <v>1423</v>
      </c>
      <c r="F667" s="4">
        <v>0</v>
      </c>
      <c r="G667" s="4">
        <v>0</v>
      </c>
      <c r="H667" s="4">
        <v>0</v>
      </c>
      <c r="I667" s="4">
        <v>0</v>
      </c>
      <c r="J667" s="4">
        <v>15770</v>
      </c>
      <c r="K667" s="4">
        <v>0</v>
      </c>
      <c r="L667" s="4">
        <v>0</v>
      </c>
      <c r="M667" s="4">
        <v>0</v>
      </c>
      <c r="N667" s="4">
        <f>SUM(Table1[[#This Row],[2025]:[2018]])</f>
        <v>15770</v>
      </c>
      <c r="O667" s="2">
        <f>Table1[[#This Row],[ttl]]/SUM(Table1[ttl])</f>
        <v>3.1799085057112976E-5</v>
      </c>
      <c r="P667" s="3">
        <f>SUM($O$2:Table1[[#This Row],[pctAllTimeExp]])</f>
        <v>0.99039020861678995</v>
      </c>
      <c r="Q667" t="b">
        <f>Table1[[#This Row],[cumPctAllTimeExp]]&lt;0.95</f>
        <v>0</v>
      </c>
    </row>
    <row r="668" spans="1:17" x14ac:dyDescent="0.25">
      <c r="A668">
        <v>1681</v>
      </c>
      <c r="C668" t="s">
        <v>2508</v>
      </c>
      <c r="E668" t="s">
        <v>1683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15700</v>
      </c>
      <c r="L668" s="4">
        <v>0</v>
      </c>
      <c r="M668" s="4">
        <v>0</v>
      </c>
      <c r="N668" s="4">
        <f>SUM(Table1[[#This Row],[2025]:[2018]])</f>
        <v>15700</v>
      </c>
      <c r="O668" s="2">
        <f>Table1[[#This Row],[ttl]]/SUM(Table1[ttl])</f>
        <v>3.165793502832427E-5</v>
      </c>
      <c r="P668" s="3">
        <f>SUM($O$2:Table1[[#This Row],[pctAllTimeExp]])</f>
        <v>0.9904218665518183</v>
      </c>
      <c r="Q668" t="b">
        <f>Table1[[#This Row],[cumPctAllTimeExp]]&lt;0.95</f>
        <v>0</v>
      </c>
    </row>
    <row r="669" spans="1:17" x14ac:dyDescent="0.25">
      <c r="A669">
        <v>352</v>
      </c>
      <c r="C669" t="s">
        <v>2508</v>
      </c>
      <c r="E669" t="s">
        <v>354</v>
      </c>
      <c r="F669" s="4">
        <v>3069.68</v>
      </c>
      <c r="G669" s="4">
        <v>0</v>
      </c>
      <c r="H669" s="4">
        <v>0</v>
      </c>
      <c r="I669" s="4">
        <v>12597.8</v>
      </c>
      <c r="J669" s="4">
        <v>0</v>
      </c>
      <c r="K669" s="4">
        <v>0</v>
      </c>
      <c r="L669" s="4">
        <v>0</v>
      </c>
      <c r="M669" s="4">
        <v>0</v>
      </c>
      <c r="N669" s="4">
        <f>SUM(Table1[[#This Row],[2025]:[2018]])</f>
        <v>15667.48</v>
      </c>
      <c r="O669" s="2">
        <f>Table1[[#This Row],[ttl]]/SUM(Table1[ttl])</f>
        <v>3.1592360757807001E-5</v>
      </c>
      <c r="P669" s="3">
        <f>SUM($O$2:Table1[[#This Row],[pctAllTimeExp]])</f>
        <v>0.99045345891257608</v>
      </c>
      <c r="Q669" t="b">
        <f>Table1[[#This Row],[cumPctAllTimeExp]]&lt;0.95</f>
        <v>0</v>
      </c>
    </row>
    <row r="670" spans="1:17" x14ac:dyDescent="0.25">
      <c r="A670">
        <v>1982</v>
      </c>
      <c r="C670" t="s">
        <v>2508</v>
      </c>
      <c r="E670" t="s">
        <v>1984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15651.06</v>
      </c>
      <c r="M670" s="4">
        <v>0</v>
      </c>
      <c r="N670" s="4">
        <f>SUM(Table1[[#This Row],[2025]:[2018]])</f>
        <v>15651.06</v>
      </c>
      <c r="O670" s="2">
        <f>Table1[[#This Row],[ttl]]/SUM(Table1[ttl])</f>
        <v>3.1559250993911135E-5</v>
      </c>
      <c r="P670" s="3">
        <f>SUM($O$2:Table1[[#This Row],[pctAllTimeExp]])</f>
        <v>0.99048501816357004</v>
      </c>
      <c r="Q670" t="b">
        <f>Table1[[#This Row],[cumPctAllTimeExp]]&lt;0.95</f>
        <v>0</v>
      </c>
    </row>
    <row r="671" spans="1:17" x14ac:dyDescent="0.25">
      <c r="A671">
        <v>1983</v>
      </c>
      <c r="C671" t="s">
        <v>2508</v>
      </c>
      <c r="E671" t="s">
        <v>1985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15600</v>
      </c>
      <c r="M671" s="4">
        <v>0</v>
      </c>
      <c r="N671" s="4">
        <f>SUM(Table1[[#This Row],[2025]:[2018]])</f>
        <v>15600</v>
      </c>
      <c r="O671" s="2">
        <f>Table1[[#This Row],[ttl]]/SUM(Table1[ttl])</f>
        <v>3.1456292130054689E-5</v>
      </c>
      <c r="P671" s="3">
        <f>SUM($O$2:Table1[[#This Row],[pctAllTimeExp]])</f>
        <v>0.99051647445570012</v>
      </c>
      <c r="Q671" t="b">
        <f>Table1[[#This Row],[cumPctAllTimeExp]]&lt;0.95</f>
        <v>0</v>
      </c>
    </row>
    <row r="672" spans="1:17" x14ac:dyDescent="0.25">
      <c r="A672">
        <v>551</v>
      </c>
      <c r="C672" t="s">
        <v>2508</v>
      </c>
      <c r="E672" t="s">
        <v>553</v>
      </c>
      <c r="F672" s="4">
        <v>503</v>
      </c>
      <c r="G672" s="4">
        <v>1240</v>
      </c>
      <c r="H672" s="4">
        <v>929</v>
      </c>
      <c r="I672" s="4">
        <v>0</v>
      </c>
      <c r="J672" s="4">
        <v>0</v>
      </c>
      <c r="K672" s="4">
        <v>2790</v>
      </c>
      <c r="L672" s="4">
        <v>4540.29</v>
      </c>
      <c r="M672" s="4">
        <v>5570</v>
      </c>
      <c r="N672" s="4">
        <f>SUM(Table1[[#This Row],[2025]:[2018]])</f>
        <v>15572.29</v>
      </c>
      <c r="O672" s="2">
        <f>Table1[[#This Row],[ttl]]/SUM(Table1[ttl])</f>
        <v>3.1400416882944192E-5</v>
      </c>
      <c r="P672" s="3">
        <f>SUM($O$2:Table1[[#This Row],[pctAllTimeExp]])</f>
        <v>0.99054787487258311</v>
      </c>
      <c r="Q672" t="b">
        <f>Table1[[#This Row],[cumPctAllTimeExp]]&lt;0.95</f>
        <v>0</v>
      </c>
    </row>
    <row r="673" spans="1:17" x14ac:dyDescent="0.25">
      <c r="A673">
        <v>520</v>
      </c>
      <c r="C673" t="s">
        <v>2508</v>
      </c>
      <c r="E673" t="s">
        <v>522</v>
      </c>
      <c r="F673" s="4">
        <v>650</v>
      </c>
      <c r="G673" s="4">
        <v>14800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f>SUM(Table1[[#This Row],[2025]:[2018]])</f>
        <v>15450</v>
      </c>
      <c r="O673" s="2">
        <f>Table1[[#This Row],[ttl]]/SUM(Table1[ttl])</f>
        <v>3.1153827782650319E-5</v>
      </c>
      <c r="P673" s="3">
        <f>SUM($O$2:Table1[[#This Row],[pctAllTimeExp]])</f>
        <v>0.99057902870036574</v>
      </c>
      <c r="Q673" t="b">
        <f>Table1[[#This Row],[cumPctAllTimeExp]]&lt;0.95</f>
        <v>0</v>
      </c>
    </row>
    <row r="674" spans="1:17" x14ac:dyDescent="0.25">
      <c r="A674">
        <v>413</v>
      </c>
      <c r="C674" t="s">
        <v>2508</v>
      </c>
      <c r="E674" t="s">
        <v>415</v>
      </c>
      <c r="F674" s="4">
        <v>1683.64</v>
      </c>
      <c r="G674" s="4">
        <v>1374</v>
      </c>
      <c r="H674" s="4">
        <v>1822.16</v>
      </c>
      <c r="I674" s="4">
        <v>1290.45</v>
      </c>
      <c r="J674" s="4">
        <v>1089.75</v>
      </c>
      <c r="K674" s="4">
        <v>1815.67</v>
      </c>
      <c r="L674" s="4">
        <v>2974.38</v>
      </c>
      <c r="M674" s="4">
        <v>3395.81</v>
      </c>
      <c r="N674" s="4">
        <f>SUM(Table1[[#This Row],[2025]:[2018]])</f>
        <v>15445.859999999999</v>
      </c>
      <c r="O674" s="2">
        <f>Table1[[#This Row],[ttl]]/SUM(Table1[ttl])</f>
        <v>3.1145479766661953E-5</v>
      </c>
      <c r="P674" s="3">
        <f>SUM($O$2:Table1[[#This Row],[pctAllTimeExp]])</f>
        <v>0.99061017418013242</v>
      </c>
      <c r="Q674" t="b">
        <f>Table1[[#This Row],[cumPctAllTimeExp]]&lt;0.95</f>
        <v>0</v>
      </c>
    </row>
    <row r="675" spans="1:17" x14ac:dyDescent="0.25">
      <c r="A675">
        <v>913</v>
      </c>
      <c r="C675" t="s">
        <v>2508</v>
      </c>
      <c r="E675" t="s">
        <v>915</v>
      </c>
      <c r="F675" s="4">
        <v>0</v>
      </c>
      <c r="G675" s="4">
        <v>200</v>
      </c>
      <c r="H675" s="4">
        <v>0</v>
      </c>
      <c r="I675" s="4">
        <v>0</v>
      </c>
      <c r="J675" s="4">
        <v>108.13</v>
      </c>
      <c r="K675" s="4">
        <v>13890.22</v>
      </c>
      <c r="L675" s="4">
        <v>0</v>
      </c>
      <c r="M675" s="4">
        <v>1181.28</v>
      </c>
      <c r="N675" s="4">
        <f>SUM(Table1[[#This Row],[2025]:[2018]])</f>
        <v>15379.63</v>
      </c>
      <c r="O675" s="2">
        <f>Table1[[#This Row],[ttl]]/SUM(Table1[ttl])</f>
        <v>3.1011931675138011E-5</v>
      </c>
      <c r="P675" s="3">
        <f>SUM($O$2:Table1[[#This Row],[pctAllTimeExp]])</f>
        <v>0.99064118611180751</v>
      </c>
      <c r="Q675" t="b">
        <f>Table1[[#This Row],[cumPctAllTimeExp]]&lt;0.95</f>
        <v>0</v>
      </c>
    </row>
    <row r="676" spans="1:17" x14ac:dyDescent="0.25">
      <c r="A676">
        <v>1682</v>
      </c>
      <c r="C676" t="s">
        <v>2508</v>
      </c>
      <c r="E676" t="s">
        <v>1684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15286.74</v>
      </c>
      <c r="L676" s="4">
        <v>0</v>
      </c>
      <c r="M676" s="4">
        <v>0</v>
      </c>
      <c r="N676" s="4">
        <f>SUM(Table1[[#This Row],[2025]:[2018]])</f>
        <v>15286.74</v>
      </c>
      <c r="O676" s="2">
        <f>Table1[[#This Row],[ttl]]/SUM(Table1[ttl])</f>
        <v>3.0824625586935399E-5</v>
      </c>
      <c r="P676" s="3">
        <f>SUM($O$2:Table1[[#This Row],[pctAllTimeExp]])</f>
        <v>0.99067201073739442</v>
      </c>
      <c r="Q676" t="b">
        <f>Table1[[#This Row],[cumPctAllTimeExp]]&lt;0.95</f>
        <v>0</v>
      </c>
    </row>
    <row r="677" spans="1:17" x14ac:dyDescent="0.25">
      <c r="A677">
        <v>729</v>
      </c>
      <c r="C677" t="s">
        <v>2508</v>
      </c>
      <c r="E677" t="s">
        <v>731</v>
      </c>
      <c r="F677" s="4">
        <v>0</v>
      </c>
      <c r="G677" s="4">
        <v>15185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f>SUM(Table1[[#This Row],[2025]:[2018]])</f>
        <v>15185</v>
      </c>
      <c r="O677" s="2">
        <f>Table1[[#This Row],[ttl]]/SUM(Table1[ttl])</f>
        <v>3.0619474102235931E-5</v>
      </c>
      <c r="P677" s="3">
        <f>SUM($O$2:Table1[[#This Row],[pctAllTimeExp]])</f>
        <v>0.99070263021149663</v>
      </c>
      <c r="Q677" t="b">
        <f>Table1[[#This Row],[cumPctAllTimeExp]]&lt;0.95</f>
        <v>0</v>
      </c>
    </row>
    <row r="678" spans="1:17" x14ac:dyDescent="0.25">
      <c r="A678">
        <v>1052</v>
      </c>
      <c r="C678" t="s">
        <v>2508</v>
      </c>
      <c r="E678" t="s">
        <v>1054</v>
      </c>
      <c r="F678" s="4">
        <v>0</v>
      </c>
      <c r="G678" s="4">
        <v>0</v>
      </c>
      <c r="H678" s="4">
        <v>2999.96</v>
      </c>
      <c r="I678" s="4">
        <v>12135</v>
      </c>
      <c r="J678" s="4">
        <v>0</v>
      </c>
      <c r="K678" s="4">
        <v>0</v>
      </c>
      <c r="L678" s="4">
        <v>0</v>
      </c>
      <c r="M678" s="4">
        <v>0</v>
      </c>
      <c r="N678" s="4">
        <f>SUM(Table1[[#This Row],[2025]:[2018]])</f>
        <v>15134.96</v>
      </c>
      <c r="O678" s="2">
        <f>Table1[[#This Row],[ttl]]/SUM(Table1[ttl])</f>
        <v>3.0518571995941831E-5</v>
      </c>
      <c r="P678" s="3">
        <f>SUM($O$2:Table1[[#This Row],[pctAllTimeExp]])</f>
        <v>0.99073314878349261</v>
      </c>
      <c r="Q678" t="b">
        <f>Table1[[#This Row],[cumPctAllTimeExp]]&lt;0.95</f>
        <v>0</v>
      </c>
    </row>
    <row r="679" spans="1:17" x14ac:dyDescent="0.25">
      <c r="A679">
        <v>2255</v>
      </c>
      <c r="C679" t="s">
        <v>2508</v>
      </c>
      <c r="E679" t="s">
        <v>2257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15000</v>
      </c>
      <c r="N679" s="4">
        <f>SUM(Table1[[#This Row],[2025]:[2018]])</f>
        <v>15000</v>
      </c>
      <c r="O679" s="2">
        <f>Table1[[#This Row],[ttl]]/SUM(Table1[ttl])</f>
        <v>3.0246434740437204E-5</v>
      </c>
      <c r="P679" s="3">
        <f>SUM($O$2:Table1[[#This Row],[pctAllTimeExp]])</f>
        <v>0.99076339521823309</v>
      </c>
      <c r="Q679" t="b">
        <f>Table1[[#This Row],[cumPctAllTimeExp]]&lt;0.95</f>
        <v>0</v>
      </c>
    </row>
    <row r="680" spans="1:17" x14ac:dyDescent="0.25">
      <c r="A680">
        <v>1108</v>
      </c>
      <c r="C680" t="s">
        <v>2508</v>
      </c>
      <c r="E680" t="s">
        <v>1110</v>
      </c>
      <c r="F680" s="4">
        <v>0</v>
      </c>
      <c r="G680" s="4">
        <v>0</v>
      </c>
      <c r="H680" s="4">
        <v>665</v>
      </c>
      <c r="I680" s="4">
        <v>8410</v>
      </c>
      <c r="J680" s="4">
        <v>5810</v>
      </c>
      <c r="K680" s="4">
        <v>0</v>
      </c>
      <c r="L680" s="4">
        <v>0</v>
      </c>
      <c r="M680" s="4">
        <v>0</v>
      </c>
      <c r="N680" s="4">
        <f>SUM(Table1[[#This Row],[2025]:[2018]])</f>
        <v>14885</v>
      </c>
      <c r="O680" s="2">
        <f>Table1[[#This Row],[ttl]]/SUM(Table1[ttl])</f>
        <v>3.0014545407427183E-5</v>
      </c>
      <c r="P680" s="3">
        <f>SUM($O$2:Table1[[#This Row],[pctAllTimeExp]])</f>
        <v>0.9907934097636405</v>
      </c>
      <c r="Q680" t="b">
        <f>Table1[[#This Row],[cumPctAllTimeExp]]&lt;0.95</f>
        <v>0</v>
      </c>
    </row>
    <row r="681" spans="1:17" x14ac:dyDescent="0.25">
      <c r="A681">
        <v>364</v>
      </c>
      <c r="C681" t="s">
        <v>2508</v>
      </c>
      <c r="E681" t="s">
        <v>366</v>
      </c>
      <c r="F681" s="4">
        <v>2752.45</v>
      </c>
      <c r="G681" s="4">
        <v>2302.3000000000002</v>
      </c>
      <c r="H681" s="4">
        <v>2873.35</v>
      </c>
      <c r="I681" s="4">
        <v>2713.7</v>
      </c>
      <c r="J681" s="4">
        <v>1523</v>
      </c>
      <c r="K681" s="4">
        <v>733.5</v>
      </c>
      <c r="L681" s="4">
        <v>904.75</v>
      </c>
      <c r="M681" s="4">
        <v>1032</v>
      </c>
      <c r="N681" s="4">
        <f>SUM(Table1[[#This Row],[2025]:[2018]])</f>
        <v>14835.05</v>
      </c>
      <c r="O681" s="2">
        <f>Table1[[#This Row],[ttl]]/SUM(Table1[ttl])</f>
        <v>2.9913824779741527E-5</v>
      </c>
      <c r="P681" s="3">
        <f>SUM($O$2:Table1[[#This Row],[pctAllTimeExp]])</f>
        <v>0.99082332358842029</v>
      </c>
      <c r="Q681" t="b">
        <f>Table1[[#This Row],[cumPctAllTimeExp]]&lt;0.95</f>
        <v>0</v>
      </c>
    </row>
    <row r="682" spans="1:17" x14ac:dyDescent="0.25">
      <c r="A682">
        <v>1985</v>
      </c>
      <c r="C682" t="s">
        <v>2508</v>
      </c>
      <c r="E682" t="s">
        <v>1987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14800</v>
      </c>
      <c r="M682" s="4">
        <v>0</v>
      </c>
      <c r="N682" s="4">
        <f>SUM(Table1[[#This Row],[2025]:[2018]])</f>
        <v>14800</v>
      </c>
      <c r="O682" s="2">
        <f>Table1[[#This Row],[ttl]]/SUM(Table1[ttl])</f>
        <v>2.984314894389804E-5</v>
      </c>
      <c r="P682" s="3">
        <f>SUM($O$2:Table1[[#This Row],[pctAllTimeExp]])</f>
        <v>0.99085316673736423</v>
      </c>
      <c r="Q682" t="b">
        <f>Table1[[#This Row],[cumPctAllTimeExp]]&lt;0.95</f>
        <v>0</v>
      </c>
    </row>
    <row r="683" spans="1:17" x14ac:dyDescent="0.25">
      <c r="A683">
        <v>1241</v>
      </c>
      <c r="C683" t="s">
        <v>2508</v>
      </c>
      <c r="E683" t="s">
        <v>1243</v>
      </c>
      <c r="F683" s="4">
        <v>0</v>
      </c>
      <c r="G683" s="4">
        <v>0</v>
      </c>
      <c r="H683" s="4">
        <v>0</v>
      </c>
      <c r="I683" s="4">
        <v>4250</v>
      </c>
      <c r="J683" s="4">
        <v>0</v>
      </c>
      <c r="K683" s="4">
        <v>3500</v>
      </c>
      <c r="L683" s="4">
        <v>3500</v>
      </c>
      <c r="M683" s="4">
        <v>3500</v>
      </c>
      <c r="N683" s="4">
        <f>SUM(Table1[[#This Row],[2025]:[2018]])</f>
        <v>14750</v>
      </c>
      <c r="O683" s="2">
        <f>Table1[[#This Row],[ttl]]/SUM(Table1[ttl])</f>
        <v>2.9742327494763249E-5</v>
      </c>
      <c r="P683" s="3">
        <f>SUM($O$2:Table1[[#This Row],[pctAllTimeExp]])</f>
        <v>0.99088290906485899</v>
      </c>
      <c r="Q683" t="b">
        <f>Table1[[#This Row],[cumPctAllTimeExp]]&lt;0.95</f>
        <v>0</v>
      </c>
    </row>
    <row r="684" spans="1:17" x14ac:dyDescent="0.25">
      <c r="A684">
        <v>1986</v>
      </c>
      <c r="C684" t="s">
        <v>2508</v>
      </c>
      <c r="E684" t="s">
        <v>1988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14750</v>
      </c>
      <c r="M684" s="4">
        <v>0</v>
      </c>
      <c r="N684" s="4">
        <f>SUM(Table1[[#This Row],[2025]:[2018]])</f>
        <v>14750</v>
      </c>
      <c r="O684" s="2">
        <f>Table1[[#This Row],[ttl]]/SUM(Table1[ttl])</f>
        <v>2.9742327494763249E-5</v>
      </c>
      <c r="P684" s="3">
        <f>SUM($O$2:Table1[[#This Row],[pctAllTimeExp]])</f>
        <v>0.99091265139235374</v>
      </c>
      <c r="Q684" t="b">
        <f>Table1[[#This Row],[cumPctAllTimeExp]]&lt;0.95</f>
        <v>0</v>
      </c>
    </row>
    <row r="685" spans="1:17" x14ac:dyDescent="0.25">
      <c r="A685">
        <v>1987</v>
      </c>
      <c r="C685" t="s">
        <v>2508</v>
      </c>
      <c r="E685" t="s">
        <v>1989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14749.25</v>
      </c>
      <c r="M685" s="4">
        <v>0</v>
      </c>
      <c r="N685" s="4">
        <f>SUM(Table1[[#This Row],[2025]:[2018]])</f>
        <v>14749.25</v>
      </c>
      <c r="O685" s="2">
        <f>Table1[[#This Row],[ttl]]/SUM(Table1[ttl])</f>
        <v>2.9740815173026228E-5</v>
      </c>
      <c r="P685" s="3">
        <f>SUM($O$2:Table1[[#This Row],[pctAllTimeExp]])</f>
        <v>0.99094239220752678</v>
      </c>
      <c r="Q685" t="b">
        <f>Table1[[#This Row],[cumPctAllTimeExp]]&lt;0.95</f>
        <v>0</v>
      </c>
    </row>
    <row r="686" spans="1:17" x14ac:dyDescent="0.25">
      <c r="A686">
        <v>1988</v>
      </c>
      <c r="C686" t="s">
        <v>2508</v>
      </c>
      <c r="E686" t="s">
        <v>1990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14725.1</v>
      </c>
      <c r="M686" s="4">
        <v>0</v>
      </c>
      <c r="N686" s="4">
        <f>SUM(Table1[[#This Row],[2025]:[2018]])</f>
        <v>14725.1</v>
      </c>
      <c r="O686" s="2">
        <f>Table1[[#This Row],[ttl]]/SUM(Table1[ttl])</f>
        <v>2.9692118413094125E-5</v>
      </c>
      <c r="P686" s="3">
        <f>SUM($O$2:Table1[[#This Row],[pctAllTimeExp]])</f>
        <v>0.99097208432593986</v>
      </c>
      <c r="Q686" t="b">
        <f>Table1[[#This Row],[cumPctAllTimeExp]]&lt;0.95</f>
        <v>0</v>
      </c>
    </row>
    <row r="687" spans="1:17" x14ac:dyDescent="0.25">
      <c r="A687">
        <v>197</v>
      </c>
      <c r="C687" t="s">
        <v>2508</v>
      </c>
      <c r="E687" t="s">
        <v>199</v>
      </c>
      <c r="F687" s="4">
        <v>14684.44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f>SUM(Table1[[#This Row],[2025]:[2018]])</f>
        <v>14684.44</v>
      </c>
      <c r="O687" s="2">
        <f>Table1[[#This Row],[ttl]]/SUM(Table1[ttl])</f>
        <v>2.9610130410657712E-5</v>
      </c>
      <c r="P687" s="3">
        <f>SUM($O$2:Table1[[#This Row],[pctAllTimeExp]])</f>
        <v>0.99100169445635056</v>
      </c>
      <c r="Q687" t="b">
        <f>Table1[[#This Row],[cumPctAllTimeExp]]&lt;0.95</f>
        <v>0</v>
      </c>
    </row>
    <row r="688" spans="1:17" x14ac:dyDescent="0.25">
      <c r="A688">
        <v>1232</v>
      </c>
      <c r="C688" t="s">
        <v>2508</v>
      </c>
      <c r="E688" t="s">
        <v>1234</v>
      </c>
      <c r="F688" s="4">
        <v>0</v>
      </c>
      <c r="G688" s="4">
        <v>0</v>
      </c>
      <c r="H688" s="4">
        <v>0</v>
      </c>
      <c r="I688" s="4">
        <v>5670</v>
      </c>
      <c r="J688" s="4">
        <v>0</v>
      </c>
      <c r="K688" s="4">
        <v>0</v>
      </c>
      <c r="L688" s="4">
        <v>8904</v>
      </c>
      <c r="M688" s="4">
        <v>0</v>
      </c>
      <c r="N688" s="4">
        <f>SUM(Table1[[#This Row],[2025]:[2018]])</f>
        <v>14574</v>
      </c>
      <c r="O688" s="2">
        <f>Table1[[#This Row],[ttl]]/SUM(Table1[ttl])</f>
        <v>2.9387435993808787E-5</v>
      </c>
      <c r="P688" s="3">
        <f>SUM($O$2:Table1[[#This Row],[pctAllTimeExp]])</f>
        <v>0.99103108189234435</v>
      </c>
      <c r="Q688" t="b">
        <f>Table1[[#This Row],[cumPctAllTimeExp]]&lt;0.95</f>
        <v>0</v>
      </c>
    </row>
    <row r="689" spans="1:17" x14ac:dyDescent="0.25">
      <c r="A689">
        <v>1253</v>
      </c>
      <c r="C689" t="s">
        <v>2508</v>
      </c>
      <c r="E689" t="s">
        <v>1255</v>
      </c>
      <c r="F689" s="4">
        <v>0</v>
      </c>
      <c r="G689" s="4">
        <v>0</v>
      </c>
      <c r="H689" s="4">
        <v>0</v>
      </c>
      <c r="I689" s="4">
        <v>2350</v>
      </c>
      <c r="J689" s="4">
        <v>0</v>
      </c>
      <c r="K689" s="4">
        <v>5868</v>
      </c>
      <c r="L689" s="4">
        <v>6288.25</v>
      </c>
      <c r="M689" s="4">
        <v>0</v>
      </c>
      <c r="N689" s="4">
        <f>SUM(Table1[[#This Row],[2025]:[2018]])</f>
        <v>14506.25</v>
      </c>
      <c r="O689" s="2">
        <f>Table1[[#This Row],[ttl]]/SUM(Table1[ttl])</f>
        <v>2.9250822930231144E-5</v>
      </c>
      <c r="P689" s="3">
        <f>SUM($O$2:Table1[[#This Row],[pctAllTimeExp]])</f>
        <v>0.99106033271527461</v>
      </c>
      <c r="Q689" t="b">
        <f>Table1[[#This Row],[cumPctAllTimeExp]]&lt;0.95</f>
        <v>0</v>
      </c>
    </row>
    <row r="690" spans="1:17" x14ac:dyDescent="0.25">
      <c r="A690">
        <v>1684</v>
      </c>
      <c r="C690" t="s">
        <v>2508</v>
      </c>
      <c r="E690" t="s">
        <v>1686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14450.2</v>
      </c>
      <c r="L690" s="4">
        <v>0</v>
      </c>
      <c r="M690" s="4">
        <v>0</v>
      </c>
      <c r="N690" s="4">
        <f>SUM(Table1[[#This Row],[2025]:[2018]])</f>
        <v>14450.2</v>
      </c>
      <c r="O690" s="2">
        <f>Table1[[#This Row],[ttl]]/SUM(Table1[ttl])</f>
        <v>2.9137802085751047E-5</v>
      </c>
      <c r="P690" s="3">
        <f>SUM($O$2:Table1[[#This Row],[pctAllTimeExp]])</f>
        <v>0.9910894705173604</v>
      </c>
      <c r="Q690" t="b">
        <f>Table1[[#This Row],[cumPctAllTimeExp]]&lt;0.95</f>
        <v>0</v>
      </c>
    </row>
    <row r="691" spans="1:17" x14ac:dyDescent="0.25">
      <c r="A691">
        <v>1006</v>
      </c>
      <c r="C691" t="s">
        <v>2508</v>
      </c>
      <c r="E691" t="s">
        <v>1008</v>
      </c>
      <c r="F691" s="4">
        <v>0</v>
      </c>
      <c r="G691" s="4">
        <v>0</v>
      </c>
      <c r="H691" s="4">
        <v>10216</v>
      </c>
      <c r="I691" s="4">
        <v>1411</v>
      </c>
      <c r="J691" s="4">
        <v>1213</v>
      </c>
      <c r="K691" s="4">
        <v>0</v>
      </c>
      <c r="L691" s="4">
        <v>1578</v>
      </c>
      <c r="M691" s="4">
        <v>0</v>
      </c>
      <c r="N691" s="4">
        <f>SUM(Table1[[#This Row],[2025]:[2018]])</f>
        <v>14418</v>
      </c>
      <c r="O691" s="2">
        <f>Table1[[#This Row],[ttl]]/SUM(Table1[ttl])</f>
        <v>2.907287307250824E-5</v>
      </c>
      <c r="P691" s="3">
        <f>SUM($O$2:Table1[[#This Row],[pctAllTimeExp]])</f>
        <v>0.99111854339043293</v>
      </c>
      <c r="Q691" t="b">
        <f>Table1[[#This Row],[cumPctAllTimeExp]]&lt;0.95</f>
        <v>0</v>
      </c>
    </row>
    <row r="692" spans="1:17" x14ac:dyDescent="0.25">
      <c r="A692">
        <v>326</v>
      </c>
      <c r="C692" t="s">
        <v>2508</v>
      </c>
      <c r="E692" t="s">
        <v>328</v>
      </c>
      <c r="F692" s="4">
        <v>3849.82</v>
      </c>
      <c r="G692" s="4">
        <v>3289.97</v>
      </c>
      <c r="H692" s="4">
        <v>1636.55</v>
      </c>
      <c r="I692" s="4">
        <v>164.99</v>
      </c>
      <c r="J692" s="4">
        <v>1667.92</v>
      </c>
      <c r="K692" s="4">
        <v>873.95</v>
      </c>
      <c r="L692" s="4">
        <v>1545.88</v>
      </c>
      <c r="M692" s="4">
        <v>1323.94</v>
      </c>
      <c r="N692" s="4">
        <f>SUM(Table1[[#This Row],[2025]:[2018]])</f>
        <v>14353.020000000002</v>
      </c>
      <c r="O692" s="2">
        <f>Table1[[#This Row],[ttl]]/SUM(Table1[ttl])</f>
        <v>2.8941845517212671E-5</v>
      </c>
      <c r="P692" s="3">
        <f>SUM($O$2:Table1[[#This Row],[pctAllTimeExp]])</f>
        <v>0.99114748523595009</v>
      </c>
      <c r="Q692" t="b">
        <f>Table1[[#This Row],[cumPctAllTimeExp]]&lt;0.95</f>
        <v>0</v>
      </c>
    </row>
    <row r="693" spans="1:17" x14ac:dyDescent="0.25">
      <c r="A693">
        <v>2256</v>
      </c>
      <c r="C693" t="s">
        <v>2508</v>
      </c>
      <c r="E693" t="s">
        <v>2258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14333.12</v>
      </c>
      <c r="N693" s="4">
        <f>SUM(Table1[[#This Row],[2025]:[2018]])</f>
        <v>14333.12</v>
      </c>
      <c r="O693" s="2">
        <f>Table1[[#This Row],[ttl]]/SUM(Table1[ttl])</f>
        <v>2.8901718580457019E-5</v>
      </c>
      <c r="P693" s="3">
        <f>SUM($O$2:Table1[[#This Row],[pctAllTimeExp]])</f>
        <v>0.99117638695453059</v>
      </c>
      <c r="Q693" t="b">
        <f>Table1[[#This Row],[cumPctAllTimeExp]]&lt;0.95</f>
        <v>0</v>
      </c>
    </row>
    <row r="694" spans="1:17" x14ac:dyDescent="0.25">
      <c r="A694">
        <v>1443</v>
      </c>
      <c r="C694" t="s">
        <v>2508</v>
      </c>
      <c r="E694" t="s">
        <v>1445</v>
      </c>
      <c r="F694" s="4">
        <v>0</v>
      </c>
      <c r="G694" s="4">
        <v>0</v>
      </c>
      <c r="H694" s="4">
        <v>0</v>
      </c>
      <c r="I694" s="4">
        <v>0</v>
      </c>
      <c r="J694" s="4">
        <v>4835</v>
      </c>
      <c r="K694" s="4">
        <v>9485</v>
      </c>
      <c r="L694" s="4">
        <v>0</v>
      </c>
      <c r="M694" s="4">
        <v>0</v>
      </c>
      <c r="N694" s="4">
        <f>SUM(Table1[[#This Row],[2025]:[2018]])</f>
        <v>14320</v>
      </c>
      <c r="O694" s="2">
        <f>Table1[[#This Row],[ttl]]/SUM(Table1[ttl])</f>
        <v>2.887526303220405E-5</v>
      </c>
      <c r="P694" s="3">
        <f>SUM($O$2:Table1[[#This Row],[pctAllTimeExp]])</f>
        <v>0.99120526221756278</v>
      </c>
      <c r="Q694" t="b">
        <f>Table1[[#This Row],[cumPctAllTimeExp]]&lt;0.95</f>
        <v>0</v>
      </c>
    </row>
    <row r="695" spans="1:17" x14ac:dyDescent="0.25">
      <c r="A695">
        <v>768</v>
      </c>
      <c r="C695" t="s">
        <v>2508</v>
      </c>
      <c r="E695" t="s">
        <v>770</v>
      </c>
      <c r="F695" s="4">
        <v>0</v>
      </c>
      <c r="G695" s="4">
        <v>4682.72</v>
      </c>
      <c r="H695" s="4">
        <v>9573.36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f>SUM(Table1[[#This Row],[2025]:[2018]])</f>
        <v>14256.080000000002</v>
      </c>
      <c r="O695" s="2">
        <f>Table1[[#This Row],[ttl]]/SUM(Table1[ttl])</f>
        <v>2.8746372891630136E-5</v>
      </c>
      <c r="P695" s="3">
        <f>SUM($O$2:Table1[[#This Row],[pctAllTimeExp]])</f>
        <v>0.99123400859045441</v>
      </c>
      <c r="Q695" t="b">
        <f>Table1[[#This Row],[cumPctAllTimeExp]]&lt;0.95</f>
        <v>0</v>
      </c>
    </row>
    <row r="696" spans="1:17" x14ac:dyDescent="0.25">
      <c r="A696">
        <v>407</v>
      </c>
      <c r="C696" t="s">
        <v>2508</v>
      </c>
      <c r="E696" t="s">
        <v>409</v>
      </c>
      <c r="F696" s="4">
        <v>1788.95</v>
      </c>
      <c r="G696" s="4">
        <v>394.95</v>
      </c>
      <c r="H696" s="4">
        <v>1362.06</v>
      </c>
      <c r="I696" s="4">
        <v>5483.89</v>
      </c>
      <c r="J696" s="4">
        <v>580.08000000000004</v>
      </c>
      <c r="K696" s="4">
        <v>271.5</v>
      </c>
      <c r="L696" s="4">
        <v>2441.84</v>
      </c>
      <c r="M696" s="4">
        <v>1833.89</v>
      </c>
      <c r="N696" s="4">
        <f>SUM(Table1[[#This Row],[2025]:[2018]])</f>
        <v>14157.16</v>
      </c>
      <c r="O696" s="2">
        <f>Table1[[#This Row],[ttl]]/SUM(Table1[ttl])</f>
        <v>2.8546907736661863E-5</v>
      </c>
      <c r="P696" s="3">
        <f>SUM($O$2:Table1[[#This Row],[pctAllTimeExp]])</f>
        <v>0.99126255549819109</v>
      </c>
      <c r="Q696" t="b">
        <f>Table1[[#This Row],[cumPctAllTimeExp]]&lt;0.95</f>
        <v>0</v>
      </c>
    </row>
    <row r="697" spans="1:17" x14ac:dyDescent="0.25">
      <c r="A697">
        <v>2201</v>
      </c>
      <c r="C697" t="s">
        <v>2508</v>
      </c>
      <c r="E697" t="s">
        <v>2203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112.5</v>
      </c>
      <c r="M697" s="4">
        <v>13794.8</v>
      </c>
      <c r="N697" s="4">
        <f>SUM(Table1[[#This Row],[2025]:[2018]])</f>
        <v>13907.3</v>
      </c>
      <c r="O697" s="2">
        <f>Table1[[#This Row],[ttl]]/SUM(Table1[ttl])</f>
        <v>2.8043082791045486E-5</v>
      </c>
      <c r="P697" s="3">
        <f>SUM($O$2:Table1[[#This Row],[pctAllTimeExp]])</f>
        <v>0.99129059858098212</v>
      </c>
      <c r="Q697" t="b">
        <f>Table1[[#This Row],[cumPctAllTimeExp]]&lt;0.95</f>
        <v>0</v>
      </c>
    </row>
    <row r="698" spans="1:17" x14ac:dyDescent="0.25">
      <c r="A698">
        <v>2257</v>
      </c>
      <c r="C698" t="s">
        <v>2508</v>
      </c>
      <c r="E698" t="s">
        <v>2259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13853.94</v>
      </c>
      <c r="N698" s="4">
        <f>SUM(Table1[[#This Row],[2025]:[2018]])</f>
        <v>13853.94</v>
      </c>
      <c r="O698" s="2">
        <f>Table1[[#This Row],[ttl]]/SUM(Table1[ttl])</f>
        <v>2.793548614052884E-5</v>
      </c>
      <c r="P698" s="3">
        <f>SUM($O$2:Table1[[#This Row],[pctAllTimeExp]])</f>
        <v>0.99131853406712267</v>
      </c>
      <c r="Q698" t="b">
        <f>Table1[[#This Row],[cumPctAllTimeExp]]&lt;0.95</f>
        <v>0</v>
      </c>
    </row>
    <row r="699" spans="1:17" x14ac:dyDescent="0.25">
      <c r="A699">
        <v>766</v>
      </c>
      <c r="C699" t="s">
        <v>2508</v>
      </c>
      <c r="E699" t="s">
        <v>768</v>
      </c>
      <c r="F699" s="4">
        <v>0</v>
      </c>
      <c r="G699" s="4">
        <v>5098.3599999999997</v>
      </c>
      <c r="H699" s="4">
        <v>8754.5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f>SUM(Table1[[#This Row],[2025]:[2018]])</f>
        <v>13852.86</v>
      </c>
      <c r="O699" s="2">
        <f>Table1[[#This Row],[ttl]]/SUM(Table1[ttl])</f>
        <v>2.793330839722753E-5</v>
      </c>
      <c r="P699" s="3">
        <f>SUM($O$2:Table1[[#This Row],[pctAllTimeExp]])</f>
        <v>0.9913464673755199</v>
      </c>
      <c r="Q699" t="b">
        <f>Table1[[#This Row],[cumPctAllTimeExp]]&lt;0.95</f>
        <v>0</v>
      </c>
    </row>
    <row r="700" spans="1:17" x14ac:dyDescent="0.25">
      <c r="A700">
        <v>1737</v>
      </c>
      <c r="C700" t="s">
        <v>2508</v>
      </c>
      <c r="E700" t="s">
        <v>1739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2139.11</v>
      </c>
      <c r="L700" s="4">
        <v>5623.39</v>
      </c>
      <c r="M700" s="4">
        <v>6086.91</v>
      </c>
      <c r="N700" s="4">
        <f>SUM(Table1[[#This Row],[2025]:[2018]])</f>
        <v>13849.41</v>
      </c>
      <c r="O700" s="2">
        <f>Table1[[#This Row],[ttl]]/SUM(Table1[ttl])</f>
        <v>2.7926351717237227E-5</v>
      </c>
      <c r="P700" s="3">
        <f>SUM($O$2:Table1[[#This Row],[pctAllTimeExp]])</f>
        <v>0.99137439372723712</v>
      </c>
      <c r="Q700" t="b">
        <f>Table1[[#This Row],[cumPctAllTimeExp]]&lt;0.95</f>
        <v>0</v>
      </c>
    </row>
    <row r="701" spans="1:17" x14ac:dyDescent="0.25">
      <c r="A701">
        <v>204</v>
      </c>
      <c r="C701" t="s">
        <v>2508</v>
      </c>
      <c r="E701" t="s">
        <v>206</v>
      </c>
      <c r="F701" s="4">
        <v>13765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f>SUM(Table1[[#This Row],[2025]:[2018]])</f>
        <v>13765</v>
      </c>
      <c r="O701" s="2">
        <f>Table1[[#This Row],[ttl]]/SUM(Table1[ttl])</f>
        <v>2.7756144946807872E-5</v>
      </c>
      <c r="P701" s="3">
        <f>SUM($O$2:Table1[[#This Row],[pctAllTimeExp]])</f>
        <v>0.99140214987218389</v>
      </c>
      <c r="Q701" t="b">
        <f>Table1[[#This Row],[cumPctAllTimeExp]]&lt;0.95</f>
        <v>0</v>
      </c>
    </row>
    <row r="702" spans="1:17" x14ac:dyDescent="0.25">
      <c r="A702">
        <v>300</v>
      </c>
      <c r="C702" t="s">
        <v>2508</v>
      </c>
      <c r="E702" t="s">
        <v>302</v>
      </c>
      <c r="F702" s="4">
        <v>5033</v>
      </c>
      <c r="G702" s="4">
        <v>90</v>
      </c>
      <c r="H702" s="4">
        <v>5135.5</v>
      </c>
      <c r="I702" s="4">
        <v>300</v>
      </c>
      <c r="J702" s="4">
        <v>662</v>
      </c>
      <c r="K702" s="4">
        <v>147.84</v>
      </c>
      <c r="L702" s="4">
        <v>2389.46</v>
      </c>
      <c r="M702" s="4">
        <v>0</v>
      </c>
      <c r="N702" s="4">
        <f>SUM(Table1[[#This Row],[2025]:[2018]])</f>
        <v>13757.8</v>
      </c>
      <c r="O702" s="2">
        <f>Table1[[#This Row],[ttl]]/SUM(Table1[ttl])</f>
        <v>2.774162665813246E-5</v>
      </c>
      <c r="P702" s="3">
        <f>SUM($O$2:Table1[[#This Row],[pctAllTimeExp]])</f>
        <v>0.99142989149884198</v>
      </c>
      <c r="Q702" t="b">
        <f>Table1[[#This Row],[cumPctAllTimeExp]]&lt;0.95</f>
        <v>0</v>
      </c>
    </row>
    <row r="703" spans="1:17" x14ac:dyDescent="0.25">
      <c r="A703">
        <v>2258</v>
      </c>
      <c r="C703" t="s">
        <v>2508</v>
      </c>
      <c r="E703" t="s">
        <v>2260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13756.09</v>
      </c>
      <c r="N703" s="4">
        <f>SUM(Table1[[#This Row],[2025]:[2018]])</f>
        <v>13756.09</v>
      </c>
      <c r="O703" s="2">
        <f>Table1[[#This Row],[ttl]]/SUM(Table1[ttl])</f>
        <v>2.7738178564572052E-5</v>
      </c>
      <c r="P703" s="3">
        <f>SUM($O$2:Table1[[#This Row],[pctAllTimeExp]])</f>
        <v>0.99145762967740658</v>
      </c>
      <c r="Q703" t="b">
        <f>Table1[[#This Row],[cumPctAllTimeExp]]&lt;0.95</f>
        <v>0</v>
      </c>
    </row>
    <row r="704" spans="1:17" x14ac:dyDescent="0.25">
      <c r="A704">
        <v>365</v>
      </c>
      <c r="C704" t="s">
        <v>2508</v>
      </c>
      <c r="E704" t="s">
        <v>367</v>
      </c>
      <c r="F704" s="4">
        <v>2750</v>
      </c>
      <c r="G704" s="4">
        <v>2750</v>
      </c>
      <c r="H704" s="4">
        <v>2750</v>
      </c>
      <c r="I704" s="4">
        <v>0</v>
      </c>
      <c r="J704" s="4">
        <v>0</v>
      </c>
      <c r="K704" s="4">
        <v>0</v>
      </c>
      <c r="L704" s="4">
        <v>2750</v>
      </c>
      <c r="M704" s="4">
        <v>2750</v>
      </c>
      <c r="N704" s="4">
        <f>SUM(Table1[[#This Row],[2025]:[2018]])</f>
        <v>13750</v>
      </c>
      <c r="O704" s="2">
        <f>Table1[[#This Row],[ttl]]/SUM(Table1[ttl])</f>
        <v>2.7725898512067435E-5</v>
      </c>
      <c r="P704" s="3">
        <f>SUM($O$2:Table1[[#This Row],[pctAllTimeExp]])</f>
        <v>0.99148535557591866</v>
      </c>
      <c r="Q704" t="b">
        <f>Table1[[#This Row],[cumPctAllTimeExp]]&lt;0.95</f>
        <v>0</v>
      </c>
    </row>
    <row r="705" spans="1:17" x14ac:dyDescent="0.25">
      <c r="A705">
        <v>1011</v>
      </c>
      <c r="C705" t="s">
        <v>2508</v>
      </c>
      <c r="E705" t="s">
        <v>1013</v>
      </c>
      <c r="F705" s="4">
        <v>0</v>
      </c>
      <c r="G705" s="4">
        <v>0</v>
      </c>
      <c r="H705" s="4">
        <v>9519</v>
      </c>
      <c r="I705" s="4">
        <v>0</v>
      </c>
      <c r="J705" s="4">
        <v>1811</v>
      </c>
      <c r="K705" s="4">
        <v>0</v>
      </c>
      <c r="L705" s="4">
        <v>2347</v>
      </c>
      <c r="M705" s="4">
        <v>0</v>
      </c>
      <c r="N705" s="4">
        <f>SUM(Table1[[#This Row],[2025]:[2018]])</f>
        <v>13677</v>
      </c>
      <c r="O705" s="2">
        <f>Table1[[#This Row],[ttl]]/SUM(Table1[ttl])</f>
        <v>2.7578699196330641E-5</v>
      </c>
      <c r="P705" s="3">
        <f>SUM($O$2:Table1[[#This Row],[pctAllTimeExp]])</f>
        <v>0.991512934275115</v>
      </c>
      <c r="Q705" t="b">
        <f>Table1[[#This Row],[cumPctAllTimeExp]]&lt;0.95</f>
        <v>0</v>
      </c>
    </row>
    <row r="706" spans="1:17" x14ac:dyDescent="0.25">
      <c r="A706">
        <v>2259</v>
      </c>
      <c r="C706" t="s">
        <v>2508</v>
      </c>
      <c r="E706" t="s">
        <v>2261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13661</v>
      </c>
      <c r="N706" s="4">
        <f>SUM(Table1[[#This Row],[2025]:[2018]])</f>
        <v>13661</v>
      </c>
      <c r="O706" s="2">
        <f>Table1[[#This Row],[ttl]]/SUM(Table1[ttl])</f>
        <v>2.7546436332607507E-5</v>
      </c>
      <c r="P706" s="3">
        <f>SUM($O$2:Table1[[#This Row],[pctAllTimeExp]])</f>
        <v>0.99154048071144762</v>
      </c>
      <c r="Q706" t="b">
        <f>Table1[[#This Row],[cumPctAllTimeExp]]&lt;0.95</f>
        <v>0</v>
      </c>
    </row>
    <row r="707" spans="1:17" x14ac:dyDescent="0.25">
      <c r="A707">
        <v>1711</v>
      </c>
      <c r="C707" t="s">
        <v>2508</v>
      </c>
      <c r="E707" t="s">
        <v>1713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4500.6499999999996</v>
      </c>
      <c r="L707" s="4">
        <v>3782.4</v>
      </c>
      <c r="M707" s="4">
        <v>5309.69</v>
      </c>
      <c r="N707" s="4">
        <f>SUM(Table1[[#This Row],[2025]:[2018]])</f>
        <v>13592.739999999998</v>
      </c>
      <c r="O707" s="2">
        <f>Table1[[#This Row],[ttl]]/SUM(Table1[ttl])</f>
        <v>2.7408794890248688E-5</v>
      </c>
      <c r="P707" s="3">
        <f>SUM($O$2:Table1[[#This Row],[pctAllTimeExp]])</f>
        <v>0.9915678895063379</v>
      </c>
      <c r="Q707" t="b">
        <f>Table1[[#This Row],[cumPctAllTimeExp]]&lt;0.95</f>
        <v>0</v>
      </c>
    </row>
    <row r="708" spans="1:17" x14ac:dyDescent="0.25">
      <c r="A708">
        <v>527</v>
      </c>
      <c r="C708" t="s">
        <v>2508</v>
      </c>
      <c r="E708" t="s">
        <v>529</v>
      </c>
      <c r="F708" s="4">
        <v>602.41999999999996</v>
      </c>
      <c r="G708" s="4">
        <v>264.85000000000002</v>
      </c>
      <c r="H708" s="4">
        <v>408.2</v>
      </c>
      <c r="I708" s="4">
        <v>2934.29</v>
      </c>
      <c r="J708" s="4">
        <v>1709.91</v>
      </c>
      <c r="K708" s="4">
        <v>1193.75</v>
      </c>
      <c r="L708" s="4">
        <v>4184.26</v>
      </c>
      <c r="M708" s="4">
        <v>2274.27</v>
      </c>
      <c r="N708" s="4">
        <f>SUM(Table1[[#This Row],[2025]:[2018]])</f>
        <v>13571.95</v>
      </c>
      <c r="O708" s="2">
        <f>Table1[[#This Row],[ttl]]/SUM(Table1[ttl])</f>
        <v>2.7366873331698448E-5</v>
      </c>
      <c r="P708" s="3">
        <f>SUM($O$2:Table1[[#This Row],[pctAllTimeExp]])</f>
        <v>0.99159525637966961</v>
      </c>
      <c r="Q708" t="b">
        <f>Table1[[#This Row],[cumPctAllTimeExp]]&lt;0.95</f>
        <v>0</v>
      </c>
    </row>
    <row r="709" spans="1:17" x14ac:dyDescent="0.25">
      <c r="A709">
        <v>2260</v>
      </c>
      <c r="C709" t="s">
        <v>2508</v>
      </c>
      <c r="E709" t="s">
        <v>2262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13531.77</v>
      </c>
      <c r="N709" s="4">
        <f>SUM(Table1[[#This Row],[2025]:[2018]])</f>
        <v>13531.77</v>
      </c>
      <c r="O709" s="2">
        <f>Table1[[#This Row],[ttl]]/SUM(Table1[ttl])</f>
        <v>2.7285853215173728E-5</v>
      </c>
      <c r="P709" s="3">
        <f>SUM($O$2:Table1[[#This Row],[pctAllTimeExp]])</f>
        <v>0.99162254223288482</v>
      </c>
      <c r="Q709" t="b">
        <f>Table1[[#This Row],[cumPctAllTimeExp]]&lt;0.95</f>
        <v>0</v>
      </c>
    </row>
    <row r="710" spans="1:17" x14ac:dyDescent="0.25">
      <c r="A710">
        <v>1085</v>
      </c>
      <c r="C710" t="s">
        <v>2508</v>
      </c>
      <c r="E710" t="s">
        <v>1087</v>
      </c>
      <c r="F710" s="4">
        <v>0</v>
      </c>
      <c r="G710" s="4">
        <v>0</v>
      </c>
      <c r="H710" s="4">
        <v>1022.28</v>
      </c>
      <c r="I710" s="4">
        <v>2680.18</v>
      </c>
      <c r="J710" s="4">
        <v>2580.1999999999998</v>
      </c>
      <c r="K710" s="4">
        <v>2087</v>
      </c>
      <c r="L710" s="4">
        <v>2741</v>
      </c>
      <c r="M710" s="4">
        <v>2405</v>
      </c>
      <c r="N710" s="4">
        <f>SUM(Table1[[#This Row],[2025]:[2018]])</f>
        <v>13515.66</v>
      </c>
      <c r="O710" s="2">
        <f>Table1[[#This Row],[ttl]]/SUM(Table1[ttl])</f>
        <v>2.7253368544262499E-5</v>
      </c>
      <c r="P710" s="3">
        <f>SUM($O$2:Table1[[#This Row],[pctAllTimeExp]])</f>
        <v>0.99164979560142907</v>
      </c>
      <c r="Q710" t="b">
        <f>Table1[[#This Row],[cumPctAllTimeExp]]&lt;0.95</f>
        <v>0</v>
      </c>
    </row>
    <row r="711" spans="1:17" x14ac:dyDescent="0.25">
      <c r="A711">
        <v>1456</v>
      </c>
      <c r="C711" t="s">
        <v>2508</v>
      </c>
      <c r="E711" t="s">
        <v>1458</v>
      </c>
      <c r="F711" s="4">
        <v>0</v>
      </c>
      <c r="G711" s="4">
        <v>0</v>
      </c>
      <c r="H711" s="4">
        <v>0</v>
      </c>
      <c r="I711" s="4">
        <v>0</v>
      </c>
      <c r="J711" s="4">
        <v>3011</v>
      </c>
      <c r="K711" s="4">
        <v>1055</v>
      </c>
      <c r="L711" s="4">
        <v>600</v>
      </c>
      <c r="M711" s="4">
        <v>8846</v>
      </c>
      <c r="N711" s="4">
        <f>SUM(Table1[[#This Row],[2025]:[2018]])</f>
        <v>13512</v>
      </c>
      <c r="O711" s="2">
        <f>Table1[[#This Row],[ttl]]/SUM(Table1[ttl])</f>
        <v>2.7245988414185833E-5</v>
      </c>
      <c r="P711" s="3">
        <f>SUM($O$2:Table1[[#This Row],[pctAllTimeExp]])</f>
        <v>0.99167704158984327</v>
      </c>
      <c r="Q711" t="b">
        <f>Table1[[#This Row],[cumPctAllTimeExp]]&lt;0.95</f>
        <v>0</v>
      </c>
    </row>
    <row r="712" spans="1:17" x14ac:dyDescent="0.25">
      <c r="A712">
        <v>733</v>
      </c>
      <c r="C712" t="s">
        <v>2508</v>
      </c>
      <c r="E712" t="s">
        <v>735</v>
      </c>
      <c r="F712" s="4">
        <v>0</v>
      </c>
      <c r="G712" s="4">
        <v>13500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f>SUM(Table1[[#This Row],[2025]:[2018]])</f>
        <v>13500</v>
      </c>
      <c r="O712" s="2">
        <f>Table1[[#This Row],[ttl]]/SUM(Table1[ttl])</f>
        <v>2.7221791266393481E-5</v>
      </c>
      <c r="P712" s="3">
        <f>SUM($O$2:Table1[[#This Row],[pctAllTimeExp]])</f>
        <v>0.99170426338110962</v>
      </c>
      <c r="Q712" t="b">
        <f>Table1[[#This Row],[cumPctAllTimeExp]]&lt;0.95</f>
        <v>0</v>
      </c>
    </row>
    <row r="713" spans="1:17" x14ac:dyDescent="0.25">
      <c r="A713">
        <v>734</v>
      </c>
      <c r="C713" t="s">
        <v>2508</v>
      </c>
      <c r="E713" t="s">
        <v>736</v>
      </c>
      <c r="F713" s="4">
        <v>0</v>
      </c>
      <c r="G713" s="4">
        <v>13500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f>SUM(Table1[[#This Row],[2025]:[2018]])</f>
        <v>13500</v>
      </c>
      <c r="O713" s="2">
        <f>Table1[[#This Row],[ttl]]/SUM(Table1[ttl])</f>
        <v>2.7221791266393481E-5</v>
      </c>
      <c r="P713" s="3">
        <f>SUM($O$2:Table1[[#This Row],[pctAllTimeExp]])</f>
        <v>0.99173148517237597</v>
      </c>
      <c r="Q713" t="b">
        <f>Table1[[#This Row],[cumPctAllTimeExp]]&lt;0.95</f>
        <v>0</v>
      </c>
    </row>
    <row r="714" spans="1:17" x14ac:dyDescent="0.25">
      <c r="A714">
        <v>2261</v>
      </c>
      <c r="C714" t="s">
        <v>2508</v>
      </c>
      <c r="E714" t="s">
        <v>2263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13500</v>
      </c>
      <c r="N714" s="4">
        <f>SUM(Table1[[#This Row],[2025]:[2018]])</f>
        <v>13500</v>
      </c>
      <c r="O714" s="2">
        <f>Table1[[#This Row],[ttl]]/SUM(Table1[ttl])</f>
        <v>2.7221791266393481E-5</v>
      </c>
      <c r="P714" s="3">
        <f>SUM($O$2:Table1[[#This Row],[pctAllTimeExp]])</f>
        <v>0.99175870696364232</v>
      </c>
      <c r="Q714" t="b">
        <f>Table1[[#This Row],[cumPctAllTimeExp]]&lt;0.95</f>
        <v>0</v>
      </c>
    </row>
    <row r="715" spans="1:17" x14ac:dyDescent="0.25">
      <c r="A715">
        <v>1704</v>
      </c>
      <c r="C715" t="s">
        <v>2508</v>
      </c>
      <c r="E715" t="s">
        <v>1706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5867.12</v>
      </c>
      <c r="L715" s="4">
        <v>4137.88</v>
      </c>
      <c r="M715" s="4">
        <v>3473.5</v>
      </c>
      <c r="N715" s="4">
        <f>SUM(Table1[[#This Row],[2025]:[2018]])</f>
        <v>13478.5</v>
      </c>
      <c r="O715" s="2">
        <f>Table1[[#This Row],[ttl]]/SUM(Table1[ttl])</f>
        <v>2.7178438043265523E-5</v>
      </c>
      <c r="P715" s="3">
        <f>SUM($O$2:Table1[[#This Row],[pctAllTimeExp]])</f>
        <v>0.99178588540168555</v>
      </c>
      <c r="Q715" t="b">
        <f>Table1[[#This Row],[cumPctAllTimeExp]]&lt;0.95</f>
        <v>0</v>
      </c>
    </row>
    <row r="716" spans="1:17" x14ac:dyDescent="0.25">
      <c r="A716">
        <v>238</v>
      </c>
      <c r="C716" t="s">
        <v>2508</v>
      </c>
      <c r="E716" t="s">
        <v>240</v>
      </c>
      <c r="F716" s="4">
        <v>8482</v>
      </c>
      <c r="G716" s="4">
        <v>4959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f>SUM(Table1[[#This Row],[2025]:[2018]])</f>
        <v>13441</v>
      </c>
      <c r="O716" s="2">
        <f>Table1[[#This Row],[ttl]]/SUM(Table1[ttl])</f>
        <v>2.710282195641443E-5</v>
      </c>
      <c r="P716" s="3">
        <f>SUM($O$2:Table1[[#This Row],[pctAllTimeExp]])</f>
        <v>0.99181298822364194</v>
      </c>
      <c r="Q716" t="b">
        <f>Table1[[#This Row],[cumPctAllTimeExp]]&lt;0.95</f>
        <v>0</v>
      </c>
    </row>
    <row r="717" spans="1:17" x14ac:dyDescent="0.25">
      <c r="A717">
        <v>1000</v>
      </c>
      <c r="C717" t="s">
        <v>2508</v>
      </c>
      <c r="E717" t="s">
        <v>1002</v>
      </c>
      <c r="F717" s="4">
        <v>0</v>
      </c>
      <c r="G717" s="4">
        <v>0</v>
      </c>
      <c r="H717" s="4">
        <v>13385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f>SUM(Table1[[#This Row],[2025]:[2018]])</f>
        <v>13385</v>
      </c>
      <c r="O717" s="2">
        <f>Table1[[#This Row],[ttl]]/SUM(Table1[ttl])</f>
        <v>2.6989901933383464E-5</v>
      </c>
      <c r="P717" s="3">
        <f>SUM($O$2:Table1[[#This Row],[pctAllTimeExp]])</f>
        <v>0.99183997812557534</v>
      </c>
      <c r="Q717" t="b">
        <f>Table1[[#This Row],[cumPctAllTimeExp]]&lt;0.95</f>
        <v>0</v>
      </c>
    </row>
    <row r="718" spans="1:17" x14ac:dyDescent="0.25">
      <c r="A718">
        <v>1715</v>
      </c>
      <c r="C718" t="s">
        <v>2508</v>
      </c>
      <c r="E718" t="s">
        <v>1717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4308.24</v>
      </c>
      <c r="L718" s="4">
        <v>5181.1099999999997</v>
      </c>
      <c r="M718" s="4">
        <v>3817.21</v>
      </c>
      <c r="N718" s="4">
        <f>SUM(Table1[[#This Row],[2025]:[2018]])</f>
        <v>13306.559999999998</v>
      </c>
      <c r="O718" s="2">
        <f>Table1[[#This Row],[ttl]]/SUM(Table1[ttl])</f>
        <v>2.6831733243980799E-5</v>
      </c>
      <c r="P718" s="3">
        <f>SUM($O$2:Table1[[#This Row],[pctAllTimeExp]])</f>
        <v>0.99186680985881936</v>
      </c>
      <c r="Q718" t="b">
        <f>Table1[[#This Row],[cumPctAllTimeExp]]&lt;0.95</f>
        <v>0</v>
      </c>
    </row>
    <row r="719" spans="1:17" x14ac:dyDescent="0.25">
      <c r="A719">
        <v>1216</v>
      </c>
      <c r="C719" t="s">
        <v>2508</v>
      </c>
      <c r="E719" t="s">
        <v>1218</v>
      </c>
      <c r="F719" s="4">
        <v>0</v>
      </c>
      <c r="G719" s="4">
        <v>0</v>
      </c>
      <c r="H719" s="4">
        <v>0</v>
      </c>
      <c r="I719" s="4">
        <v>13300</v>
      </c>
      <c r="J719" s="4">
        <v>0</v>
      </c>
      <c r="K719" s="4">
        <v>0</v>
      </c>
      <c r="L719" s="4">
        <v>0</v>
      </c>
      <c r="M719" s="4">
        <v>0</v>
      </c>
      <c r="N719" s="4">
        <f>SUM(Table1[[#This Row],[2025]:[2018]])</f>
        <v>13300</v>
      </c>
      <c r="O719" s="2">
        <f>Table1[[#This Row],[ttl]]/SUM(Table1[ttl])</f>
        <v>2.681850546985432E-5</v>
      </c>
      <c r="P719" s="3">
        <f>SUM($O$2:Table1[[#This Row],[pctAllTimeExp]])</f>
        <v>0.99189362836428918</v>
      </c>
      <c r="Q719" t="b">
        <f>Table1[[#This Row],[cumPctAllTimeExp]]&lt;0.95</f>
        <v>0</v>
      </c>
    </row>
    <row r="720" spans="1:17" x14ac:dyDescent="0.25">
      <c r="A720">
        <v>1989</v>
      </c>
      <c r="C720" t="s">
        <v>2508</v>
      </c>
      <c r="E720" t="s">
        <v>1991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13250</v>
      </c>
      <c r="M720" s="4">
        <v>0</v>
      </c>
      <c r="N720" s="4">
        <f>SUM(Table1[[#This Row],[2025]:[2018]])</f>
        <v>13250</v>
      </c>
      <c r="O720" s="2">
        <f>Table1[[#This Row],[ttl]]/SUM(Table1[ttl])</f>
        <v>2.671768402071953E-5</v>
      </c>
      <c r="P720" s="3">
        <f>SUM($O$2:Table1[[#This Row],[pctAllTimeExp]])</f>
        <v>0.99192034604830992</v>
      </c>
      <c r="Q720" t="b">
        <f>Table1[[#This Row],[cumPctAllTimeExp]]&lt;0.95</f>
        <v>0</v>
      </c>
    </row>
    <row r="721" spans="1:17" x14ac:dyDescent="0.25">
      <c r="A721">
        <v>1081</v>
      </c>
      <c r="C721" t="s">
        <v>2508</v>
      </c>
      <c r="E721" t="s">
        <v>1083</v>
      </c>
      <c r="F721" s="4">
        <v>0</v>
      </c>
      <c r="G721" s="4">
        <v>0</v>
      </c>
      <c r="H721" s="4">
        <v>1272.5</v>
      </c>
      <c r="I721" s="4">
        <v>0</v>
      </c>
      <c r="J721" s="4">
        <v>8388.94</v>
      </c>
      <c r="K721" s="4">
        <v>360</v>
      </c>
      <c r="L721" s="4">
        <v>3088.85</v>
      </c>
      <c r="M721" s="4">
        <v>0</v>
      </c>
      <c r="N721" s="4">
        <f>SUM(Table1[[#This Row],[2025]:[2018]])</f>
        <v>13110.29</v>
      </c>
      <c r="O721" s="2">
        <f>Table1[[#This Row],[ttl]]/SUM(Table1[ttl])</f>
        <v>2.64359687275471E-5</v>
      </c>
      <c r="P721" s="3">
        <f>SUM($O$2:Table1[[#This Row],[pctAllTimeExp]])</f>
        <v>0.99194678201703745</v>
      </c>
      <c r="Q721" t="b">
        <f>Table1[[#This Row],[cumPctAllTimeExp]]&lt;0.95</f>
        <v>0</v>
      </c>
    </row>
    <row r="722" spans="1:17" x14ac:dyDescent="0.25">
      <c r="A722">
        <v>1990</v>
      </c>
      <c r="C722" t="s">
        <v>2508</v>
      </c>
      <c r="E722" t="s">
        <v>1992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13000</v>
      </c>
      <c r="M722" s="4">
        <v>0</v>
      </c>
      <c r="N722" s="4">
        <f>SUM(Table1[[#This Row],[2025]:[2018]])</f>
        <v>13000</v>
      </c>
      <c r="O722" s="2">
        <f>Table1[[#This Row],[ttl]]/SUM(Table1[ttl])</f>
        <v>2.6213576775045576E-5</v>
      </c>
      <c r="P722" s="3">
        <f>SUM($O$2:Table1[[#This Row],[pctAllTimeExp]])</f>
        <v>0.99197299559381247</v>
      </c>
      <c r="Q722" t="b">
        <f>Table1[[#This Row],[cumPctAllTimeExp]]&lt;0.95</f>
        <v>0</v>
      </c>
    </row>
    <row r="723" spans="1:17" x14ac:dyDescent="0.25">
      <c r="A723">
        <v>1029</v>
      </c>
      <c r="C723" t="s">
        <v>2508</v>
      </c>
      <c r="E723" t="s">
        <v>1031</v>
      </c>
      <c r="F723" s="4">
        <v>0</v>
      </c>
      <c r="G723" s="4">
        <v>0</v>
      </c>
      <c r="H723" s="4">
        <v>6122.5</v>
      </c>
      <c r="I723" s="4">
        <v>6772.5</v>
      </c>
      <c r="J723" s="4">
        <v>0</v>
      </c>
      <c r="K723" s="4">
        <v>0</v>
      </c>
      <c r="L723" s="4">
        <v>0</v>
      </c>
      <c r="M723" s="4">
        <v>0</v>
      </c>
      <c r="N723" s="4">
        <f>SUM(Table1[[#This Row],[2025]:[2018]])</f>
        <v>12895</v>
      </c>
      <c r="O723" s="2">
        <f>Table1[[#This Row],[ttl]]/SUM(Table1[ttl])</f>
        <v>2.6001851731862516E-5</v>
      </c>
      <c r="P723" s="3">
        <f>SUM($O$2:Table1[[#This Row],[pctAllTimeExp]])</f>
        <v>0.99199899744554432</v>
      </c>
      <c r="Q723" t="b">
        <f>Table1[[#This Row],[cumPctAllTimeExp]]&lt;0.95</f>
        <v>0</v>
      </c>
    </row>
    <row r="724" spans="1:17" x14ac:dyDescent="0.25">
      <c r="A724">
        <v>1992</v>
      </c>
      <c r="C724" t="s">
        <v>2508</v>
      </c>
      <c r="E724" t="s">
        <v>1994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12800</v>
      </c>
      <c r="M724" s="4">
        <v>0</v>
      </c>
      <c r="N724" s="4">
        <f>SUM(Table1[[#This Row],[2025]:[2018]])</f>
        <v>12800</v>
      </c>
      <c r="O724" s="2">
        <f>Table1[[#This Row],[ttl]]/SUM(Table1[ttl])</f>
        <v>2.5810290978506411E-5</v>
      </c>
      <c r="P724" s="3">
        <f>SUM($O$2:Table1[[#This Row],[pctAllTimeExp]])</f>
        <v>0.9920248077365228</v>
      </c>
      <c r="Q724" t="b">
        <f>Table1[[#This Row],[cumPctAllTimeExp]]&lt;0.95</f>
        <v>0</v>
      </c>
    </row>
    <row r="725" spans="1:17" x14ac:dyDescent="0.25">
      <c r="A725">
        <v>2006</v>
      </c>
      <c r="C725" t="s">
        <v>2508</v>
      </c>
      <c r="E725" t="s">
        <v>2008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5394.26</v>
      </c>
      <c r="M725" s="4">
        <v>7353.57</v>
      </c>
      <c r="N725" s="4">
        <f>SUM(Table1[[#This Row],[2025]:[2018]])</f>
        <v>12747.83</v>
      </c>
      <c r="O725" s="2">
        <f>Table1[[#This Row],[ttl]]/SUM(Table1[ttl])</f>
        <v>2.5705093878479171E-5</v>
      </c>
      <c r="P725" s="3">
        <f>SUM($O$2:Table1[[#This Row],[pctAllTimeExp]])</f>
        <v>0.99205051283040124</v>
      </c>
      <c r="Q725" t="b">
        <f>Table1[[#This Row],[cumPctAllTimeExp]]&lt;0.95</f>
        <v>0</v>
      </c>
    </row>
    <row r="726" spans="1:17" x14ac:dyDescent="0.25">
      <c r="A726">
        <v>1458</v>
      </c>
      <c r="C726" t="s">
        <v>2508</v>
      </c>
      <c r="E726" t="s">
        <v>1460</v>
      </c>
      <c r="F726" s="4">
        <v>0</v>
      </c>
      <c r="G726" s="4">
        <v>0</v>
      </c>
      <c r="H726" s="4">
        <v>0</v>
      </c>
      <c r="I726" s="4">
        <v>0</v>
      </c>
      <c r="J726" s="4">
        <v>2861.58</v>
      </c>
      <c r="K726" s="4">
        <v>4607.84</v>
      </c>
      <c r="L726" s="4">
        <v>258.32</v>
      </c>
      <c r="M726" s="4">
        <v>4978.97</v>
      </c>
      <c r="N726" s="4">
        <f>SUM(Table1[[#This Row],[2025]:[2018]])</f>
        <v>12706.71</v>
      </c>
      <c r="O726" s="2">
        <f>Table1[[#This Row],[ttl]]/SUM(Table1[ttl])</f>
        <v>2.5622178318710719E-5</v>
      </c>
      <c r="P726" s="3">
        <f>SUM($O$2:Table1[[#This Row],[pctAllTimeExp]])</f>
        <v>0.99207613500871994</v>
      </c>
      <c r="Q726" t="b">
        <f>Table1[[#This Row],[cumPctAllTimeExp]]&lt;0.95</f>
        <v>0</v>
      </c>
    </row>
    <row r="727" spans="1:17" x14ac:dyDescent="0.25">
      <c r="A727">
        <v>1423</v>
      </c>
      <c r="C727" t="s">
        <v>2508</v>
      </c>
      <c r="E727" t="s">
        <v>1425</v>
      </c>
      <c r="F727" s="4">
        <v>0</v>
      </c>
      <c r="G727" s="4">
        <v>0</v>
      </c>
      <c r="H727" s="4">
        <v>0</v>
      </c>
      <c r="I727" s="4">
        <v>0</v>
      </c>
      <c r="J727" s="4">
        <v>12638.02</v>
      </c>
      <c r="K727" s="4">
        <v>0</v>
      </c>
      <c r="L727" s="4">
        <v>0</v>
      </c>
      <c r="M727" s="4">
        <v>0</v>
      </c>
      <c r="N727" s="4">
        <f>SUM(Table1[[#This Row],[2025]:[2018]])</f>
        <v>12638.02</v>
      </c>
      <c r="O727" s="2">
        <f>Table1[[#This Row],[ttl]]/SUM(Table1[ttl])</f>
        <v>2.5483669811889347E-5</v>
      </c>
      <c r="P727" s="3">
        <f>SUM($O$2:Table1[[#This Row],[pctAllTimeExp]])</f>
        <v>0.99210161867853186</v>
      </c>
      <c r="Q727" t="b">
        <f>Table1[[#This Row],[cumPctAllTimeExp]]&lt;0.95</f>
        <v>0</v>
      </c>
    </row>
    <row r="728" spans="1:17" x14ac:dyDescent="0.25">
      <c r="A728">
        <v>1424</v>
      </c>
      <c r="C728" t="s">
        <v>2508</v>
      </c>
      <c r="E728" t="s">
        <v>1426</v>
      </c>
      <c r="F728" s="4">
        <v>0</v>
      </c>
      <c r="G728" s="4">
        <v>0</v>
      </c>
      <c r="H728" s="4">
        <v>0</v>
      </c>
      <c r="I728" s="4">
        <v>0</v>
      </c>
      <c r="J728" s="4">
        <v>12638.02</v>
      </c>
      <c r="K728" s="4">
        <v>0</v>
      </c>
      <c r="L728" s="4">
        <v>0</v>
      </c>
      <c r="M728" s="4">
        <v>0</v>
      </c>
      <c r="N728" s="4">
        <f>SUM(Table1[[#This Row],[2025]:[2018]])</f>
        <v>12638.02</v>
      </c>
      <c r="O728" s="2">
        <f>Table1[[#This Row],[ttl]]/SUM(Table1[ttl])</f>
        <v>2.5483669811889347E-5</v>
      </c>
      <c r="P728" s="3">
        <f>SUM($O$2:Table1[[#This Row],[pctAllTimeExp]])</f>
        <v>0.99212710234834378</v>
      </c>
      <c r="Q728" t="b">
        <f>Table1[[#This Row],[cumPctAllTimeExp]]&lt;0.95</f>
        <v>0</v>
      </c>
    </row>
    <row r="729" spans="1:17" x14ac:dyDescent="0.25">
      <c r="A729">
        <v>749</v>
      </c>
      <c r="C729" t="s">
        <v>2508</v>
      </c>
      <c r="E729" t="s">
        <v>751</v>
      </c>
      <c r="F729" s="4">
        <v>0</v>
      </c>
      <c r="G729" s="4">
        <v>8985.3700000000008</v>
      </c>
      <c r="H729" s="4">
        <v>0</v>
      </c>
      <c r="I729" s="4">
        <v>3649.5</v>
      </c>
      <c r="J729" s="4">
        <v>0</v>
      </c>
      <c r="K729" s="4">
        <v>0</v>
      </c>
      <c r="L729" s="4">
        <v>0</v>
      </c>
      <c r="M729" s="4">
        <v>0</v>
      </c>
      <c r="N729" s="4">
        <f>SUM(Table1[[#This Row],[2025]:[2018]])</f>
        <v>12634.87</v>
      </c>
      <c r="O729" s="2">
        <f>Table1[[#This Row],[ttl]]/SUM(Table1[ttl])</f>
        <v>2.5477318060593854E-5</v>
      </c>
      <c r="P729" s="3">
        <f>SUM($O$2:Table1[[#This Row],[pctAllTimeExp]])</f>
        <v>0.99215257966640436</v>
      </c>
      <c r="Q729" t="b">
        <f>Table1[[#This Row],[cumPctAllTimeExp]]&lt;0.95</f>
        <v>0</v>
      </c>
    </row>
    <row r="730" spans="1:17" x14ac:dyDescent="0.25">
      <c r="A730">
        <v>1039</v>
      </c>
      <c r="C730" t="s">
        <v>2508</v>
      </c>
      <c r="E730" t="s">
        <v>1041</v>
      </c>
      <c r="F730" s="4">
        <v>0</v>
      </c>
      <c r="G730" s="4">
        <v>0</v>
      </c>
      <c r="H730" s="4">
        <v>4950</v>
      </c>
      <c r="I730" s="4">
        <v>1500</v>
      </c>
      <c r="J730" s="4">
        <v>0</v>
      </c>
      <c r="K730" s="4">
        <v>4900</v>
      </c>
      <c r="L730" s="4">
        <v>1250</v>
      </c>
      <c r="M730" s="4">
        <v>0</v>
      </c>
      <c r="N730" s="4">
        <f>SUM(Table1[[#This Row],[2025]:[2018]])</f>
        <v>12600</v>
      </c>
      <c r="O730" s="2">
        <f>Table1[[#This Row],[ttl]]/SUM(Table1[ttl])</f>
        <v>2.5407005181967251E-5</v>
      </c>
      <c r="P730" s="3">
        <f>SUM($O$2:Table1[[#This Row],[pctAllTimeExp]])</f>
        <v>0.9921779866715863</v>
      </c>
      <c r="Q730" t="b">
        <f>Table1[[#This Row],[cumPctAllTimeExp]]&lt;0.95</f>
        <v>0</v>
      </c>
    </row>
    <row r="731" spans="1:17" x14ac:dyDescent="0.25">
      <c r="A731">
        <v>1223</v>
      </c>
      <c r="C731" t="s">
        <v>2508</v>
      </c>
      <c r="E731" t="s">
        <v>1225</v>
      </c>
      <c r="F731" s="4">
        <v>0</v>
      </c>
      <c r="G731" s="4">
        <v>0</v>
      </c>
      <c r="H731" s="4">
        <v>0</v>
      </c>
      <c r="I731" s="4">
        <v>8700</v>
      </c>
      <c r="J731" s="4">
        <v>3850</v>
      </c>
      <c r="K731" s="4">
        <v>0</v>
      </c>
      <c r="L731" s="4">
        <v>0</v>
      </c>
      <c r="M731" s="4">
        <v>0</v>
      </c>
      <c r="N731" s="4">
        <f>SUM(Table1[[#This Row],[2025]:[2018]])</f>
        <v>12550</v>
      </c>
      <c r="O731" s="2">
        <f>Table1[[#This Row],[ttl]]/SUM(Table1[ttl])</f>
        <v>2.5306183732832461E-5</v>
      </c>
      <c r="P731" s="3">
        <f>SUM($O$2:Table1[[#This Row],[pctAllTimeExp]])</f>
        <v>0.99220329285531916</v>
      </c>
      <c r="Q731" t="b">
        <f>Table1[[#This Row],[cumPctAllTimeExp]]&lt;0.95</f>
        <v>0</v>
      </c>
    </row>
    <row r="732" spans="1:17" x14ac:dyDescent="0.25">
      <c r="A732">
        <v>1004</v>
      </c>
      <c r="C732" t="s">
        <v>2508</v>
      </c>
      <c r="E732" t="s">
        <v>1006</v>
      </c>
      <c r="F732" s="4">
        <v>0</v>
      </c>
      <c r="G732" s="4">
        <v>0</v>
      </c>
      <c r="H732" s="4">
        <v>12500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f>SUM(Table1[[#This Row],[2025]:[2018]])</f>
        <v>12500</v>
      </c>
      <c r="O732" s="2">
        <f>Table1[[#This Row],[ttl]]/SUM(Table1[ttl])</f>
        <v>2.5205362283697667E-5</v>
      </c>
      <c r="P732" s="3">
        <f>SUM($O$2:Table1[[#This Row],[pctAllTimeExp]])</f>
        <v>0.99222849821760284</v>
      </c>
      <c r="Q732" t="b">
        <f>Table1[[#This Row],[cumPctAllTimeExp]]&lt;0.95</f>
        <v>0</v>
      </c>
    </row>
    <row r="733" spans="1:17" x14ac:dyDescent="0.25">
      <c r="A733">
        <v>1277</v>
      </c>
      <c r="C733" t="s">
        <v>2508</v>
      </c>
      <c r="E733" t="s">
        <v>1279</v>
      </c>
      <c r="F733" s="4">
        <v>0</v>
      </c>
      <c r="G733" s="4">
        <v>0</v>
      </c>
      <c r="H733" s="4">
        <v>0</v>
      </c>
      <c r="I733" s="4">
        <v>1164.45</v>
      </c>
      <c r="J733" s="4">
        <v>1057.6500000000001</v>
      </c>
      <c r="K733" s="4">
        <v>3597.7</v>
      </c>
      <c r="L733" s="4">
        <v>4200.3999999999996</v>
      </c>
      <c r="M733" s="4">
        <v>2470.5</v>
      </c>
      <c r="N733" s="4">
        <f>SUM(Table1[[#This Row],[2025]:[2018]])</f>
        <v>12490.7</v>
      </c>
      <c r="O733" s="2">
        <f>Table1[[#This Row],[ttl]]/SUM(Table1[ttl])</f>
        <v>2.51866094941586E-5</v>
      </c>
      <c r="P733" s="3">
        <f>SUM($O$2:Table1[[#This Row],[pctAllTimeExp]])</f>
        <v>0.99225368482709697</v>
      </c>
      <c r="Q733" t="b">
        <f>Table1[[#This Row],[cumPctAllTimeExp]]&lt;0.95</f>
        <v>0</v>
      </c>
    </row>
    <row r="734" spans="1:17" x14ac:dyDescent="0.25">
      <c r="A734">
        <v>2262</v>
      </c>
      <c r="C734" t="s">
        <v>2508</v>
      </c>
      <c r="E734" t="s">
        <v>2264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12450</v>
      </c>
      <c r="N734" s="4">
        <f>SUM(Table1[[#This Row],[2025]:[2018]])</f>
        <v>12450</v>
      </c>
      <c r="O734" s="2">
        <f>Table1[[#This Row],[ttl]]/SUM(Table1[ttl])</f>
        <v>2.5104540834562877E-5</v>
      </c>
      <c r="P734" s="3">
        <f>SUM($O$2:Table1[[#This Row],[pctAllTimeExp]])</f>
        <v>0.99227878936793157</v>
      </c>
      <c r="Q734" t="b">
        <f>Table1[[#This Row],[cumPctAllTimeExp]]&lt;0.95</f>
        <v>0</v>
      </c>
    </row>
    <row r="735" spans="1:17" x14ac:dyDescent="0.25">
      <c r="A735">
        <v>2119</v>
      </c>
      <c r="C735" t="s">
        <v>2508</v>
      </c>
      <c r="E735" t="s">
        <v>2121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509.95</v>
      </c>
      <c r="M735" s="4">
        <v>11785.76</v>
      </c>
      <c r="N735" s="4">
        <f>SUM(Table1[[#This Row],[2025]:[2018]])</f>
        <v>12295.710000000001</v>
      </c>
      <c r="O735" s="2">
        <f>Table1[[#This Row],[ttl]]/SUM(Table1[ttl])</f>
        <v>2.4793426006822742E-5</v>
      </c>
      <c r="P735" s="3">
        <f>SUM($O$2:Table1[[#This Row],[pctAllTimeExp]])</f>
        <v>0.99230358279393838</v>
      </c>
      <c r="Q735" t="b">
        <f>Table1[[#This Row],[cumPctAllTimeExp]]&lt;0.95</f>
        <v>0</v>
      </c>
    </row>
    <row r="736" spans="1:17" x14ac:dyDescent="0.25">
      <c r="A736">
        <v>214</v>
      </c>
      <c r="C736" t="s">
        <v>2508</v>
      </c>
      <c r="E736" t="s">
        <v>216</v>
      </c>
      <c r="F736" s="4">
        <v>12155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f>SUM(Table1[[#This Row],[2025]:[2018]])</f>
        <v>12155</v>
      </c>
      <c r="O736" s="2">
        <f>Table1[[#This Row],[ttl]]/SUM(Table1[ttl])</f>
        <v>2.4509694284667615E-5</v>
      </c>
      <c r="P736" s="3">
        <f>SUM($O$2:Table1[[#This Row],[pctAllTimeExp]])</f>
        <v>0.99232809248822307</v>
      </c>
      <c r="Q736" t="b">
        <f>Table1[[#This Row],[cumPctAllTimeExp]]&lt;0.95</f>
        <v>0</v>
      </c>
    </row>
    <row r="737" spans="1:17" x14ac:dyDescent="0.25">
      <c r="A737">
        <v>822</v>
      </c>
      <c r="C737" t="s">
        <v>2508</v>
      </c>
      <c r="E737" t="s">
        <v>824</v>
      </c>
      <c r="F737" s="4">
        <v>0</v>
      </c>
      <c r="G737" s="4">
        <v>1311.5</v>
      </c>
      <c r="H737" s="4">
        <v>7456</v>
      </c>
      <c r="I737" s="4">
        <v>1968</v>
      </c>
      <c r="J737" s="4">
        <v>1350</v>
      </c>
      <c r="K737" s="4">
        <v>0</v>
      </c>
      <c r="L737" s="4">
        <v>0</v>
      </c>
      <c r="M737" s="4">
        <v>0</v>
      </c>
      <c r="N737" s="4">
        <f>SUM(Table1[[#This Row],[2025]:[2018]])</f>
        <v>12085.5</v>
      </c>
      <c r="O737" s="2">
        <f>Table1[[#This Row],[ttl]]/SUM(Table1[ttl])</f>
        <v>2.4369552470370254E-5</v>
      </c>
      <c r="P737" s="3">
        <f>SUM($O$2:Table1[[#This Row],[pctAllTimeExp]])</f>
        <v>0.99235246204069338</v>
      </c>
      <c r="Q737" t="b">
        <f>Table1[[#This Row],[cumPctAllTimeExp]]&lt;0.95</f>
        <v>0</v>
      </c>
    </row>
    <row r="738" spans="1:17" x14ac:dyDescent="0.25">
      <c r="A738">
        <v>215</v>
      </c>
      <c r="C738" t="s">
        <v>2508</v>
      </c>
      <c r="E738" t="s">
        <v>217</v>
      </c>
      <c r="F738" s="4">
        <v>12000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f>SUM(Table1[[#This Row],[2025]:[2018]])</f>
        <v>12000</v>
      </c>
      <c r="O738" s="2">
        <f>Table1[[#This Row],[ttl]]/SUM(Table1[ttl])</f>
        <v>2.4197147792349762E-5</v>
      </c>
      <c r="P738" s="3">
        <f>SUM($O$2:Table1[[#This Row],[pctAllTimeExp]])</f>
        <v>0.99237665918848572</v>
      </c>
      <c r="Q738" t="b">
        <f>Table1[[#This Row],[cumPctAllTimeExp]]&lt;0.95</f>
        <v>0</v>
      </c>
    </row>
    <row r="739" spans="1:17" x14ac:dyDescent="0.25">
      <c r="A739">
        <v>930</v>
      </c>
      <c r="C739" t="s">
        <v>2508</v>
      </c>
      <c r="E739" t="s">
        <v>932</v>
      </c>
      <c r="F739" s="4">
        <v>0</v>
      </c>
      <c r="G739" s="4">
        <v>125</v>
      </c>
      <c r="H739" s="4">
        <v>0</v>
      </c>
      <c r="I739" s="4">
        <v>1236.1600000000001</v>
      </c>
      <c r="J739" s="4">
        <v>1780.4</v>
      </c>
      <c r="K739" s="4">
        <v>2119.0500000000002</v>
      </c>
      <c r="L739" s="4">
        <v>4355.8999999999996</v>
      </c>
      <c r="M739" s="4">
        <v>2241.39</v>
      </c>
      <c r="N739" s="4">
        <f>SUM(Table1[[#This Row],[2025]:[2018]])</f>
        <v>11857.9</v>
      </c>
      <c r="O739" s="2">
        <f>Table1[[#This Row],[ttl]]/SUM(Table1[ttl])</f>
        <v>2.3910613233908687E-5</v>
      </c>
      <c r="P739" s="3">
        <f>SUM($O$2:Table1[[#This Row],[pctAllTimeExp]])</f>
        <v>0.99240056980171965</v>
      </c>
      <c r="Q739" t="b">
        <f>Table1[[#This Row],[cumPctAllTimeExp]]&lt;0.95</f>
        <v>0</v>
      </c>
    </row>
    <row r="740" spans="1:17" x14ac:dyDescent="0.25">
      <c r="A740">
        <v>1720</v>
      </c>
      <c r="C740" t="s">
        <v>2508</v>
      </c>
      <c r="E740" t="s">
        <v>1722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4020</v>
      </c>
      <c r="L740" s="4">
        <v>7731</v>
      </c>
      <c r="M740" s="4">
        <v>0</v>
      </c>
      <c r="N740" s="4">
        <f>SUM(Table1[[#This Row],[2025]:[2018]])</f>
        <v>11751</v>
      </c>
      <c r="O740" s="2">
        <f>Table1[[#This Row],[ttl]]/SUM(Table1[ttl])</f>
        <v>2.3695056975658504E-5</v>
      </c>
      <c r="P740" s="3">
        <f>SUM($O$2:Table1[[#This Row],[pctAllTimeExp]])</f>
        <v>0.99242426485869528</v>
      </c>
      <c r="Q740" t="b">
        <f>Table1[[#This Row],[cumPctAllTimeExp]]&lt;0.95</f>
        <v>0</v>
      </c>
    </row>
    <row r="741" spans="1:17" x14ac:dyDescent="0.25">
      <c r="A741">
        <v>815</v>
      </c>
      <c r="C741" t="s">
        <v>2508</v>
      </c>
      <c r="E741" t="s">
        <v>817</v>
      </c>
      <c r="F741" s="4">
        <v>0</v>
      </c>
      <c r="G741" s="4">
        <v>1500</v>
      </c>
      <c r="H741" s="4">
        <v>2600</v>
      </c>
      <c r="I741" s="4">
        <v>0</v>
      </c>
      <c r="J741" s="4">
        <v>3500</v>
      </c>
      <c r="K741" s="4">
        <v>700</v>
      </c>
      <c r="L741" s="4">
        <v>0</v>
      </c>
      <c r="M741" s="4">
        <v>3400</v>
      </c>
      <c r="N741" s="4">
        <f>SUM(Table1[[#This Row],[2025]:[2018]])</f>
        <v>11700</v>
      </c>
      <c r="O741" s="2">
        <f>Table1[[#This Row],[ttl]]/SUM(Table1[ttl])</f>
        <v>2.3592219097541017E-5</v>
      </c>
      <c r="P741" s="3">
        <f>SUM($O$2:Table1[[#This Row],[pctAllTimeExp]])</f>
        <v>0.99244785707779282</v>
      </c>
      <c r="Q741" t="b">
        <f>Table1[[#This Row],[cumPctAllTimeExp]]&lt;0.95</f>
        <v>0</v>
      </c>
    </row>
    <row r="742" spans="1:17" x14ac:dyDescent="0.25">
      <c r="A742">
        <v>1688</v>
      </c>
      <c r="C742" t="s">
        <v>2508</v>
      </c>
      <c r="E742" t="s">
        <v>1690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11685</v>
      </c>
      <c r="L742" s="4">
        <v>0</v>
      </c>
      <c r="M742" s="4">
        <v>0</v>
      </c>
      <c r="N742" s="4">
        <f>SUM(Table1[[#This Row],[2025]:[2018]])</f>
        <v>11685</v>
      </c>
      <c r="O742" s="2">
        <f>Table1[[#This Row],[ttl]]/SUM(Table1[ttl])</f>
        <v>2.356197266280058E-5</v>
      </c>
      <c r="P742" s="3">
        <f>SUM($O$2:Table1[[#This Row],[pctAllTimeExp]])</f>
        <v>0.99247141905045566</v>
      </c>
      <c r="Q742" t="b">
        <f>Table1[[#This Row],[cumPctAllTimeExp]]&lt;0.95</f>
        <v>0</v>
      </c>
    </row>
    <row r="743" spans="1:17" x14ac:dyDescent="0.25">
      <c r="A743">
        <v>217</v>
      </c>
      <c r="C743" t="s">
        <v>2508</v>
      </c>
      <c r="E743" t="s">
        <v>219</v>
      </c>
      <c r="F743" s="4">
        <v>11645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f>SUM(Table1[[#This Row],[2025]:[2018]])</f>
        <v>11645</v>
      </c>
      <c r="O743" s="2">
        <f>Table1[[#This Row],[ttl]]/SUM(Table1[ttl])</f>
        <v>2.3481315503492748E-5</v>
      </c>
      <c r="P743" s="3">
        <f>SUM($O$2:Table1[[#This Row],[pctAllTimeExp]])</f>
        <v>0.99249490036595911</v>
      </c>
      <c r="Q743" t="b">
        <f>Table1[[#This Row],[cumPctAllTimeExp]]&lt;0.95</f>
        <v>0</v>
      </c>
    </row>
    <row r="744" spans="1:17" x14ac:dyDescent="0.25">
      <c r="A744">
        <v>614</v>
      </c>
      <c r="C744" t="s">
        <v>2508</v>
      </c>
      <c r="E744" t="s">
        <v>616</v>
      </c>
      <c r="F744" s="4">
        <v>275</v>
      </c>
      <c r="G744" s="4">
        <v>3957.04</v>
      </c>
      <c r="H744" s="4">
        <v>1846.82</v>
      </c>
      <c r="I744" s="4">
        <v>1072</v>
      </c>
      <c r="J744" s="4">
        <v>1709</v>
      </c>
      <c r="K744" s="4">
        <v>1700</v>
      </c>
      <c r="L744" s="4">
        <v>289</v>
      </c>
      <c r="M744" s="4">
        <v>773</v>
      </c>
      <c r="N744" s="4">
        <f>SUM(Table1[[#This Row],[2025]:[2018]])</f>
        <v>11621.86</v>
      </c>
      <c r="O744" s="2">
        <f>Table1[[#This Row],[ttl]]/SUM(Table1[ttl])</f>
        <v>2.343465533683317E-5</v>
      </c>
      <c r="P744" s="3">
        <f>SUM($O$2:Table1[[#This Row],[pctAllTimeExp]])</f>
        <v>0.99251833502129594</v>
      </c>
      <c r="Q744" t="b">
        <f>Table1[[#This Row],[cumPctAllTimeExp]]&lt;0.95</f>
        <v>0</v>
      </c>
    </row>
    <row r="745" spans="1:17" x14ac:dyDescent="0.25">
      <c r="A745">
        <v>1689</v>
      </c>
      <c r="C745" t="s">
        <v>2508</v>
      </c>
      <c r="E745" t="s">
        <v>1691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11600</v>
      </c>
      <c r="L745" s="4">
        <v>0</v>
      </c>
      <c r="M745" s="4">
        <v>0</v>
      </c>
      <c r="N745" s="4">
        <f>SUM(Table1[[#This Row],[2025]:[2018]])</f>
        <v>11600</v>
      </c>
      <c r="O745" s="2">
        <f>Table1[[#This Row],[ttl]]/SUM(Table1[ttl])</f>
        <v>2.3390576199271437E-5</v>
      </c>
      <c r="P745" s="3">
        <f>SUM($O$2:Table1[[#This Row],[pctAllTimeExp]])</f>
        <v>0.99254172559749521</v>
      </c>
      <c r="Q745" t="b">
        <f>Table1[[#This Row],[cumPctAllTimeExp]]&lt;0.95</f>
        <v>0</v>
      </c>
    </row>
    <row r="746" spans="1:17" x14ac:dyDescent="0.25">
      <c r="A746">
        <v>1446</v>
      </c>
      <c r="C746" t="s">
        <v>2508</v>
      </c>
      <c r="E746" t="s">
        <v>1448</v>
      </c>
      <c r="F746" s="4">
        <v>0</v>
      </c>
      <c r="G746" s="4">
        <v>0</v>
      </c>
      <c r="H746" s="4">
        <v>0</v>
      </c>
      <c r="I746" s="4">
        <v>0</v>
      </c>
      <c r="J746" s="4">
        <v>4350</v>
      </c>
      <c r="K746" s="4">
        <v>3200</v>
      </c>
      <c r="L746" s="4">
        <v>4000</v>
      </c>
      <c r="M746" s="4">
        <v>0</v>
      </c>
      <c r="N746" s="4">
        <f>SUM(Table1[[#This Row],[2025]:[2018]])</f>
        <v>11550</v>
      </c>
      <c r="O746" s="2">
        <f>Table1[[#This Row],[ttl]]/SUM(Table1[ttl])</f>
        <v>2.3289754750136646E-5</v>
      </c>
      <c r="P746" s="3">
        <f>SUM($O$2:Table1[[#This Row],[pctAllTimeExp]])</f>
        <v>0.99256501535224539</v>
      </c>
      <c r="Q746" t="b">
        <f>Table1[[#This Row],[cumPctAllTimeExp]]&lt;0.95</f>
        <v>0</v>
      </c>
    </row>
    <row r="747" spans="1:17" x14ac:dyDescent="0.25">
      <c r="A747">
        <v>2263</v>
      </c>
      <c r="C747" t="s">
        <v>2508</v>
      </c>
      <c r="E747" t="s">
        <v>2265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11500</v>
      </c>
      <c r="N747" s="4">
        <f>SUM(Table1[[#This Row],[2025]:[2018]])</f>
        <v>11500</v>
      </c>
      <c r="O747" s="2">
        <f>Table1[[#This Row],[ttl]]/SUM(Table1[ttl])</f>
        <v>2.3188933301001856E-5</v>
      </c>
      <c r="P747" s="3">
        <f>SUM($O$2:Table1[[#This Row],[pctAllTimeExp]])</f>
        <v>0.99258820428554639</v>
      </c>
      <c r="Q747" t="b">
        <f>Table1[[#This Row],[cumPctAllTimeExp]]&lt;0.95</f>
        <v>0</v>
      </c>
    </row>
    <row r="748" spans="1:17" x14ac:dyDescent="0.25">
      <c r="A748">
        <v>1342</v>
      </c>
      <c r="C748" t="s">
        <v>2508</v>
      </c>
      <c r="E748" t="s">
        <v>1344</v>
      </c>
      <c r="F748" s="4">
        <v>0</v>
      </c>
      <c r="G748" s="4">
        <v>0</v>
      </c>
      <c r="H748" s="4">
        <v>0</v>
      </c>
      <c r="I748" s="4">
        <v>280</v>
      </c>
      <c r="J748" s="4">
        <v>0</v>
      </c>
      <c r="K748" s="4">
        <v>0</v>
      </c>
      <c r="L748" s="4">
        <v>850</v>
      </c>
      <c r="M748" s="4">
        <v>10347.5</v>
      </c>
      <c r="N748" s="4">
        <f>SUM(Table1[[#This Row],[2025]:[2018]])</f>
        <v>11477.5</v>
      </c>
      <c r="O748" s="2">
        <f>Table1[[#This Row],[ttl]]/SUM(Table1[ttl])</f>
        <v>2.3143563648891201E-5</v>
      </c>
      <c r="P748" s="3">
        <f>SUM($O$2:Table1[[#This Row],[pctAllTimeExp]])</f>
        <v>0.99261134784919525</v>
      </c>
      <c r="Q748" t="b">
        <f>Table1[[#This Row],[cumPctAllTimeExp]]&lt;0.95</f>
        <v>0</v>
      </c>
    </row>
    <row r="749" spans="1:17" x14ac:dyDescent="0.25">
      <c r="A749">
        <v>2264</v>
      </c>
      <c r="C749" t="s">
        <v>2508</v>
      </c>
      <c r="E749" t="s">
        <v>2266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11444.41</v>
      </c>
      <c r="N749" s="4">
        <f>SUM(Table1[[#This Row],[2025]:[2018]])</f>
        <v>11444.41</v>
      </c>
      <c r="O749" s="2">
        <f>Table1[[#This Row],[ttl]]/SUM(Table1[ttl])</f>
        <v>2.3076840013853795E-5</v>
      </c>
      <c r="P749" s="3">
        <f>SUM($O$2:Table1[[#This Row],[pctAllTimeExp]])</f>
        <v>0.99263442468920915</v>
      </c>
      <c r="Q749" t="b">
        <f>Table1[[#This Row],[cumPctAllTimeExp]]&lt;0.95</f>
        <v>0</v>
      </c>
    </row>
    <row r="750" spans="1:17" x14ac:dyDescent="0.25">
      <c r="A750">
        <v>1135</v>
      </c>
      <c r="C750" t="s">
        <v>2508</v>
      </c>
      <c r="E750" t="s">
        <v>1137</v>
      </c>
      <c r="F750" s="4">
        <v>0</v>
      </c>
      <c r="G750" s="4">
        <v>0</v>
      </c>
      <c r="H750" s="4">
        <v>358.08</v>
      </c>
      <c r="I750" s="4">
        <v>9571.01</v>
      </c>
      <c r="J750" s="4">
        <v>1381.26</v>
      </c>
      <c r="K750" s="4">
        <v>122.07</v>
      </c>
      <c r="L750" s="4">
        <v>0</v>
      </c>
      <c r="M750" s="4">
        <v>0</v>
      </c>
      <c r="N750" s="4">
        <f>SUM(Table1[[#This Row],[2025]:[2018]])</f>
        <v>11432.42</v>
      </c>
      <c r="O750" s="2">
        <f>Table1[[#This Row],[ttl]]/SUM(Table1[ttl])</f>
        <v>2.3052663030351273E-5</v>
      </c>
      <c r="P750" s="3">
        <f>SUM($O$2:Table1[[#This Row],[pctAllTimeExp]])</f>
        <v>0.99265747735223953</v>
      </c>
      <c r="Q750" t="b">
        <f>Table1[[#This Row],[cumPctAllTimeExp]]&lt;0.95</f>
        <v>0</v>
      </c>
    </row>
    <row r="751" spans="1:17" x14ac:dyDescent="0.25">
      <c r="A751">
        <v>1426</v>
      </c>
      <c r="C751" t="s">
        <v>2508</v>
      </c>
      <c r="E751" t="s">
        <v>1428</v>
      </c>
      <c r="F751" s="4">
        <v>0</v>
      </c>
      <c r="G751" s="4">
        <v>0</v>
      </c>
      <c r="H751" s="4">
        <v>0</v>
      </c>
      <c r="I751" s="4">
        <v>0</v>
      </c>
      <c r="J751" s="4">
        <v>11355</v>
      </c>
      <c r="K751" s="4">
        <v>0</v>
      </c>
      <c r="L751" s="4">
        <v>0</v>
      </c>
      <c r="M751" s="4">
        <v>0</v>
      </c>
      <c r="N751" s="4">
        <f>SUM(Table1[[#This Row],[2025]:[2018]])</f>
        <v>11355</v>
      </c>
      <c r="O751" s="2">
        <f>Table1[[#This Row],[ttl]]/SUM(Table1[ttl])</f>
        <v>2.2896551098510961E-5</v>
      </c>
      <c r="P751" s="3">
        <f>SUM($O$2:Table1[[#This Row],[pctAllTimeExp]])</f>
        <v>0.99268037390333808</v>
      </c>
      <c r="Q751" t="b">
        <f>Table1[[#This Row],[cumPctAllTimeExp]]&lt;0.95</f>
        <v>0</v>
      </c>
    </row>
    <row r="752" spans="1:17" x14ac:dyDescent="0.25">
      <c r="A752">
        <v>463</v>
      </c>
      <c r="C752" t="s">
        <v>2508</v>
      </c>
      <c r="E752" t="s">
        <v>465</v>
      </c>
      <c r="F752" s="4">
        <v>1106.2</v>
      </c>
      <c r="G752" s="4">
        <v>5326</v>
      </c>
      <c r="H752" s="4">
        <v>4906.2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f>SUM(Table1[[#This Row],[2025]:[2018]])</f>
        <v>11338.4</v>
      </c>
      <c r="O752" s="2">
        <f>Table1[[#This Row],[ttl]]/SUM(Table1[ttl])</f>
        <v>2.2863078377398211E-5</v>
      </c>
      <c r="P752" s="3">
        <f>SUM($O$2:Table1[[#This Row],[pctAllTimeExp]])</f>
        <v>0.99270323698171548</v>
      </c>
      <c r="Q752" t="b">
        <f>Table1[[#This Row],[cumPctAllTimeExp]]&lt;0.95</f>
        <v>0</v>
      </c>
    </row>
    <row r="753" spans="1:17" x14ac:dyDescent="0.25">
      <c r="A753">
        <v>926</v>
      </c>
      <c r="C753" t="s">
        <v>2508</v>
      </c>
      <c r="E753" t="s">
        <v>928</v>
      </c>
      <c r="F753" s="4">
        <v>0</v>
      </c>
      <c r="G753" s="4">
        <v>150</v>
      </c>
      <c r="H753" s="4">
        <v>3990</v>
      </c>
      <c r="I753" s="4">
        <v>0</v>
      </c>
      <c r="J753" s="4">
        <v>185</v>
      </c>
      <c r="K753" s="4">
        <v>0</v>
      </c>
      <c r="L753" s="4">
        <v>2803</v>
      </c>
      <c r="M753" s="4">
        <v>4197</v>
      </c>
      <c r="N753" s="4">
        <f>SUM(Table1[[#This Row],[2025]:[2018]])</f>
        <v>11325</v>
      </c>
      <c r="O753" s="2">
        <f>Table1[[#This Row],[ttl]]/SUM(Table1[ttl])</f>
        <v>2.2836058229030087E-5</v>
      </c>
      <c r="P753" s="3">
        <f>SUM($O$2:Table1[[#This Row],[pctAllTimeExp]])</f>
        <v>0.99272607303994453</v>
      </c>
      <c r="Q753" t="b">
        <f>Table1[[#This Row],[cumPctAllTimeExp]]&lt;0.95</f>
        <v>0</v>
      </c>
    </row>
    <row r="754" spans="1:17" x14ac:dyDescent="0.25">
      <c r="A754">
        <v>751</v>
      </c>
      <c r="C754" t="s">
        <v>2508</v>
      </c>
      <c r="E754" t="s">
        <v>753</v>
      </c>
      <c r="F754" s="4">
        <v>0</v>
      </c>
      <c r="G754" s="4">
        <v>8830</v>
      </c>
      <c r="H754" s="4">
        <v>1185</v>
      </c>
      <c r="I754" s="4">
        <v>0</v>
      </c>
      <c r="J754" s="4">
        <v>0</v>
      </c>
      <c r="K754" s="4">
        <v>1190</v>
      </c>
      <c r="L754" s="4">
        <v>0</v>
      </c>
      <c r="M754" s="4">
        <v>0</v>
      </c>
      <c r="N754" s="4">
        <f>SUM(Table1[[#This Row],[2025]:[2018]])</f>
        <v>11205</v>
      </c>
      <c r="O754" s="2">
        <f>Table1[[#This Row],[ttl]]/SUM(Table1[ttl])</f>
        <v>2.2594086751106591E-5</v>
      </c>
      <c r="P754" s="3">
        <f>SUM($O$2:Table1[[#This Row],[pctAllTimeExp]])</f>
        <v>0.99274866712669563</v>
      </c>
      <c r="Q754" t="b">
        <f>Table1[[#This Row],[cumPctAllTimeExp]]&lt;0.95</f>
        <v>0</v>
      </c>
    </row>
    <row r="755" spans="1:17" x14ac:dyDescent="0.25">
      <c r="A755">
        <v>739</v>
      </c>
      <c r="C755" t="s">
        <v>2508</v>
      </c>
      <c r="E755" t="s">
        <v>741</v>
      </c>
      <c r="F755" s="4">
        <v>0</v>
      </c>
      <c r="G755" s="4">
        <v>11191.7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f>SUM(Table1[[#This Row],[2025]:[2018]])</f>
        <v>11191.7</v>
      </c>
      <c r="O755" s="2">
        <f>Table1[[#This Row],[ttl]]/SUM(Table1[ttl])</f>
        <v>2.2567268245636738E-5</v>
      </c>
      <c r="P755" s="3">
        <f>SUM($O$2:Table1[[#This Row],[pctAllTimeExp]])</f>
        <v>0.9927712343949413</v>
      </c>
      <c r="Q755" t="b">
        <f>Table1[[#This Row],[cumPctAllTimeExp]]&lt;0.95</f>
        <v>0</v>
      </c>
    </row>
    <row r="756" spans="1:17" x14ac:dyDescent="0.25">
      <c r="A756">
        <v>1065</v>
      </c>
      <c r="C756" t="s">
        <v>2508</v>
      </c>
      <c r="E756" t="s">
        <v>1067</v>
      </c>
      <c r="F756" s="4">
        <v>0</v>
      </c>
      <c r="G756" s="4">
        <v>0</v>
      </c>
      <c r="H756" s="4">
        <v>2173</v>
      </c>
      <c r="I756" s="4">
        <v>9010</v>
      </c>
      <c r="J756" s="4">
        <v>0</v>
      </c>
      <c r="K756" s="4">
        <v>0</v>
      </c>
      <c r="L756" s="4">
        <v>0</v>
      </c>
      <c r="M756" s="4">
        <v>0</v>
      </c>
      <c r="N756" s="4">
        <f>SUM(Table1[[#This Row],[2025]:[2018]])</f>
        <v>11183</v>
      </c>
      <c r="O756" s="2">
        <f>Table1[[#This Row],[ttl]]/SUM(Table1[ttl])</f>
        <v>2.2549725313487284E-5</v>
      </c>
      <c r="P756" s="3">
        <f>SUM($O$2:Table1[[#This Row],[pctAllTimeExp]])</f>
        <v>0.99279378412025476</v>
      </c>
      <c r="Q756" t="b">
        <f>Table1[[#This Row],[cumPctAllTimeExp]]&lt;0.95</f>
        <v>0</v>
      </c>
    </row>
    <row r="757" spans="1:17" x14ac:dyDescent="0.25">
      <c r="A757">
        <v>598</v>
      </c>
      <c r="C757" t="s">
        <v>2508</v>
      </c>
      <c r="E757" t="s">
        <v>600</v>
      </c>
      <c r="F757" s="4">
        <v>368.62</v>
      </c>
      <c r="G757" s="4">
        <v>8307.9500000000007</v>
      </c>
      <c r="H757" s="4">
        <v>0</v>
      </c>
      <c r="I757" s="4">
        <v>0</v>
      </c>
      <c r="J757" s="4">
        <v>2465</v>
      </c>
      <c r="K757" s="4">
        <v>0</v>
      </c>
      <c r="L757" s="4">
        <v>0</v>
      </c>
      <c r="M757" s="4">
        <v>0</v>
      </c>
      <c r="N757" s="4">
        <f>SUM(Table1[[#This Row],[2025]:[2018]])</f>
        <v>11141.570000000002</v>
      </c>
      <c r="O757" s="2">
        <f>Table1[[#This Row],[ttl]]/SUM(Table1[ttl])</f>
        <v>2.2466184660734198E-5</v>
      </c>
      <c r="P757" s="3">
        <f>SUM($O$2:Table1[[#This Row],[pctAllTimeExp]])</f>
        <v>0.99281625030491549</v>
      </c>
      <c r="Q757" t="b">
        <f>Table1[[#This Row],[cumPctAllTimeExp]]&lt;0.95</f>
        <v>0</v>
      </c>
    </row>
    <row r="758" spans="1:17" x14ac:dyDescent="0.25">
      <c r="A758">
        <v>395</v>
      </c>
      <c r="C758" t="s">
        <v>2508</v>
      </c>
      <c r="E758" t="s">
        <v>397</v>
      </c>
      <c r="F758" s="4">
        <v>2005</v>
      </c>
      <c r="G758" s="4">
        <v>1950</v>
      </c>
      <c r="H758" s="4">
        <v>1670</v>
      </c>
      <c r="I758" s="4">
        <v>1385</v>
      </c>
      <c r="J758" s="4">
        <v>0</v>
      </c>
      <c r="K758" s="4">
        <v>1719</v>
      </c>
      <c r="L758" s="4">
        <v>1173</v>
      </c>
      <c r="M758" s="4">
        <v>1159</v>
      </c>
      <c r="N758" s="4">
        <f>SUM(Table1[[#This Row],[2025]:[2018]])</f>
        <v>11061</v>
      </c>
      <c r="O758" s="2">
        <f>Table1[[#This Row],[ttl]]/SUM(Table1[ttl])</f>
        <v>2.2303720977598393E-5</v>
      </c>
      <c r="P758" s="3">
        <f>SUM($O$2:Table1[[#This Row],[pctAllTimeExp]])</f>
        <v>0.99283855402589305</v>
      </c>
      <c r="Q758" t="b">
        <f>Table1[[#This Row],[cumPctAllTimeExp]]&lt;0.95</f>
        <v>0</v>
      </c>
    </row>
    <row r="759" spans="1:17" x14ac:dyDescent="0.25">
      <c r="A759">
        <v>1690</v>
      </c>
      <c r="C759" t="s">
        <v>2508</v>
      </c>
      <c r="E759" t="s">
        <v>1692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11050</v>
      </c>
      <c r="L759" s="4">
        <v>0</v>
      </c>
      <c r="M759" s="4">
        <v>0</v>
      </c>
      <c r="N759" s="4">
        <f>SUM(Table1[[#This Row],[2025]:[2018]])</f>
        <v>11050</v>
      </c>
      <c r="O759" s="2">
        <f>Table1[[#This Row],[ttl]]/SUM(Table1[ttl])</f>
        <v>2.2281540258788738E-5</v>
      </c>
      <c r="P759" s="3">
        <f>SUM($O$2:Table1[[#This Row],[pctAllTimeExp]])</f>
        <v>0.99286083556615179</v>
      </c>
      <c r="Q759" t="b">
        <f>Table1[[#This Row],[cumPctAllTimeExp]]&lt;0.95</f>
        <v>0</v>
      </c>
    </row>
    <row r="760" spans="1:17" x14ac:dyDescent="0.25">
      <c r="A760">
        <v>1436</v>
      </c>
      <c r="C760" t="s">
        <v>2508</v>
      </c>
      <c r="E760" t="s">
        <v>1438</v>
      </c>
      <c r="F760" s="4">
        <v>0</v>
      </c>
      <c r="G760" s="4">
        <v>0</v>
      </c>
      <c r="H760" s="4">
        <v>0</v>
      </c>
      <c r="I760" s="4">
        <v>0</v>
      </c>
      <c r="J760" s="4">
        <v>6820</v>
      </c>
      <c r="K760" s="4">
        <v>3114</v>
      </c>
      <c r="L760" s="4">
        <v>1078</v>
      </c>
      <c r="M760" s="4">
        <v>0</v>
      </c>
      <c r="N760" s="4">
        <f>SUM(Table1[[#This Row],[2025]:[2018]])</f>
        <v>11012</v>
      </c>
      <c r="O760" s="2">
        <f>Table1[[#This Row],[ttl]]/SUM(Table1[ttl])</f>
        <v>2.2204915957446297E-5</v>
      </c>
      <c r="P760" s="3">
        <f>SUM($O$2:Table1[[#This Row],[pctAllTimeExp]])</f>
        <v>0.99288304048210918</v>
      </c>
      <c r="Q760" t="b">
        <f>Table1[[#This Row],[cumPctAllTimeExp]]&lt;0.95</f>
        <v>0</v>
      </c>
    </row>
    <row r="761" spans="1:17" x14ac:dyDescent="0.25">
      <c r="A761">
        <v>1691</v>
      </c>
      <c r="C761" t="s">
        <v>2508</v>
      </c>
      <c r="E761" t="s">
        <v>1693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11000</v>
      </c>
      <c r="L761" s="4">
        <v>0</v>
      </c>
      <c r="M761" s="4">
        <v>0</v>
      </c>
      <c r="N761" s="4">
        <f>SUM(Table1[[#This Row],[2025]:[2018]])</f>
        <v>11000</v>
      </c>
      <c r="O761" s="2">
        <f>Table1[[#This Row],[ttl]]/SUM(Table1[ttl])</f>
        <v>2.2180718809653948E-5</v>
      </c>
      <c r="P761" s="3">
        <f>SUM($O$2:Table1[[#This Row],[pctAllTimeExp]])</f>
        <v>0.99290522120091884</v>
      </c>
      <c r="Q761" t="b">
        <f>Table1[[#This Row],[cumPctAllTimeExp]]&lt;0.95</f>
        <v>0</v>
      </c>
    </row>
    <row r="762" spans="1:17" x14ac:dyDescent="0.25">
      <c r="A762">
        <v>1993</v>
      </c>
      <c r="C762" t="s">
        <v>2508</v>
      </c>
      <c r="E762" t="s">
        <v>1995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11000</v>
      </c>
      <c r="M762" s="4">
        <v>0</v>
      </c>
      <c r="N762" s="4">
        <f>SUM(Table1[[#This Row],[2025]:[2018]])</f>
        <v>11000</v>
      </c>
      <c r="O762" s="2">
        <f>Table1[[#This Row],[ttl]]/SUM(Table1[ttl])</f>
        <v>2.2180718809653948E-5</v>
      </c>
      <c r="P762" s="3">
        <f>SUM($O$2:Table1[[#This Row],[pctAllTimeExp]])</f>
        <v>0.9929274019197285</v>
      </c>
      <c r="Q762" t="b">
        <f>Table1[[#This Row],[cumPctAllTimeExp]]&lt;0.95</f>
        <v>0</v>
      </c>
    </row>
    <row r="763" spans="1:17" x14ac:dyDescent="0.25">
      <c r="A763">
        <v>2265</v>
      </c>
      <c r="C763" t="s">
        <v>2508</v>
      </c>
      <c r="E763" t="s">
        <v>2267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11000</v>
      </c>
      <c r="N763" s="4">
        <f>SUM(Table1[[#This Row],[2025]:[2018]])</f>
        <v>11000</v>
      </c>
      <c r="O763" s="2">
        <f>Table1[[#This Row],[ttl]]/SUM(Table1[ttl])</f>
        <v>2.2180718809653948E-5</v>
      </c>
      <c r="P763" s="3">
        <f>SUM($O$2:Table1[[#This Row],[pctAllTimeExp]])</f>
        <v>0.99294958263853816</v>
      </c>
      <c r="Q763" t="b">
        <f>Table1[[#This Row],[cumPctAllTimeExp]]&lt;0.95</f>
        <v>0</v>
      </c>
    </row>
    <row r="764" spans="1:17" x14ac:dyDescent="0.25">
      <c r="A764">
        <v>2266</v>
      </c>
      <c r="C764" t="s">
        <v>2508</v>
      </c>
      <c r="E764" t="s">
        <v>2268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11000</v>
      </c>
      <c r="N764" s="4">
        <f>SUM(Table1[[#This Row],[2025]:[2018]])</f>
        <v>11000</v>
      </c>
      <c r="O764" s="2">
        <f>Table1[[#This Row],[ttl]]/SUM(Table1[ttl])</f>
        <v>2.2180718809653948E-5</v>
      </c>
      <c r="P764" s="3">
        <f>SUM($O$2:Table1[[#This Row],[pctAllTimeExp]])</f>
        <v>0.99297176335734783</v>
      </c>
      <c r="Q764" t="b">
        <f>Table1[[#This Row],[cumPctAllTimeExp]]&lt;0.95</f>
        <v>0</v>
      </c>
    </row>
    <row r="765" spans="1:17" x14ac:dyDescent="0.25">
      <c r="A765">
        <v>1282</v>
      </c>
      <c r="C765" t="s">
        <v>2508</v>
      </c>
      <c r="E765" t="s">
        <v>1284</v>
      </c>
      <c r="F765" s="4">
        <v>0</v>
      </c>
      <c r="G765" s="4">
        <v>0</v>
      </c>
      <c r="H765" s="4">
        <v>0</v>
      </c>
      <c r="I765" s="4">
        <v>995</v>
      </c>
      <c r="J765" s="4">
        <v>0</v>
      </c>
      <c r="K765" s="4">
        <v>5035</v>
      </c>
      <c r="L765" s="4">
        <v>0</v>
      </c>
      <c r="M765" s="4">
        <v>4950</v>
      </c>
      <c r="N765" s="4">
        <f>SUM(Table1[[#This Row],[2025]:[2018]])</f>
        <v>10980</v>
      </c>
      <c r="O765" s="2">
        <f>Table1[[#This Row],[ttl]]/SUM(Table1[ttl])</f>
        <v>2.2140390230000031E-5</v>
      </c>
      <c r="P765" s="3">
        <f>SUM($O$2:Table1[[#This Row],[pctAllTimeExp]])</f>
        <v>0.99299390374757779</v>
      </c>
      <c r="Q765" t="b">
        <f>Table1[[#This Row],[cumPctAllTimeExp]]&lt;0.95</f>
        <v>0</v>
      </c>
    </row>
    <row r="766" spans="1:17" x14ac:dyDescent="0.25">
      <c r="A766">
        <v>793</v>
      </c>
      <c r="C766" t="s">
        <v>2508</v>
      </c>
      <c r="E766" t="s">
        <v>795</v>
      </c>
      <c r="F766" s="4">
        <v>0</v>
      </c>
      <c r="G766" s="4">
        <v>2721.1</v>
      </c>
      <c r="H766" s="4">
        <v>1837.2</v>
      </c>
      <c r="I766" s="4">
        <v>2472.59</v>
      </c>
      <c r="J766" s="4">
        <v>494.9</v>
      </c>
      <c r="K766" s="4">
        <v>1208.55</v>
      </c>
      <c r="L766" s="4">
        <v>1471.97</v>
      </c>
      <c r="M766" s="4">
        <v>763.6</v>
      </c>
      <c r="N766" s="4">
        <f>SUM(Table1[[#This Row],[2025]:[2018]])</f>
        <v>10969.91</v>
      </c>
      <c r="O766" s="2">
        <f>Table1[[#This Row],[ttl]]/SUM(Table1[ttl])</f>
        <v>2.212004446156463E-5</v>
      </c>
      <c r="P766" s="3">
        <f>SUM($O$2:Table1[[#This Row],[pctAllTimeExp]])</f>
        <v>0.99301602379203935</v>
      </c>
      <c r="Q766" t="b">
        <f>Table1[[#This Row],[cumPctAllTimeExp]]&lt;0.95</f>
        <v>0</v>
      </c>
    </row>
    <row r="767" spans="1:17" x14ac:dyDescent="0.25">
      <c r="A767">
        <v>1729</v>
      </c>
      <c r="C767" t="s">
        <v>2508</v>
      </c>
      <c r="E767" t="s">
        <v>1731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2961.28</v>
      </c>
      <c r="L767" s="4">
        <v>2203.2199999999998</v>
      </c>
      <c r="M767" s="4">
        <v>5788.22</v>
      </c>
      <c r="N767" s="4">
        <f>SUM(Table1[[#This Row],[2025]:[2018]])</f>
        <v>10952.720000000001</v>
      </c>
      <c r="O767" s="2">
        <f>Table1[[#This Row],[ttl]]/SUM(Table1[ttl])</f>
        <v>2.2085382047352094E-5</v>
      </c>
      <c r="P767" s="3">
        <f>SUM($O$2:Table1[[#This Row],[pctAllTimeExp]])</f>
        <v>0.99303810917408675</v>
      </c>
      <c r="Q767" t="b">
        <f>Table1[[#This Row],[cumPctAllTimeExp]]&lt;0.95</f>
        <v>0</v>
      </c>
    </row>
    <row r="768" spans="1:17" x14ac:dyDescent="0.25">
      <c r="A768">
        <v>290</v>
      </c>
      <c r="C768" t="s">
        <v>2508</v>
      </c>
      <c r="E768" t="s">
        <v>292</v>
      </c>
      <c r="F768" s="4">
        <v>5597.5</v>
      </c>
      <c r="G768" s="4">
        <v>2674</v>
      </c>
      <c r="H768" s="4">
        <v>0</v>
      </c>
      <c r="I768" s="4">
        <v>0</v>
      </c>
      <c r="J768" s="4">
        <v>850</v>
      </c>
      <c r="K768" s="4">
        <v>1060</v>
      </c>
      <c r="L768" s="4">
        <v>700</v>
      </c>
      <c r="M768" s="4">
        <v>0</v>
      </c>
      <c r="N768" s="4">
        <f>SUM(Table1[[#This Row],[2025]:[2018]])</f>
        <v>10881.5</v>
      </c>
      <c r="O768" s="2">
        <f>Table1[[#This Row],[ttl]]/SUM(Table1[ttl])</f>
        <v>2.1941771975204493E-5</v>
      </c>
      <c r="P768" s="3">
        <f>SUM($O$2:Table1[[#This Row],[pctAllTimeExp]])</f>
        <v>0.99306005094606198</v>
      </c>
      <c r="Q768" t="b">
        <f>Table1[[#This Row],[cumPctAllTimeExp]]&lt;0.95</f>
        <v>0</v>
      </c>
    </row>
    <row r="769" spans="1:17" x14ac:dyDescent="0.25">
      <c r="A769">
        <v>675</v>
      </c>
      <c r="C769" t="s">
        <v>2508</v>
      </c>
      <c r="E769" t="s">
        <v>677</v>
      </c>
      <c r="F769" s="4">
        <v>75</v>
      </c>
      <c r="G769" s="4">
        <v>75</v>
      </c>
      <c r="H769" s="4">
        <v>75</v>
      </c>
      <c r="I769" s="4">
        <v>75</v>
      </c>
      <c r="J769" s="4">
        <v>75</v>
      </c>
      <c r="K769" s="4">
        <v>75</v>
      </c>
      <c r="L769" s="4">
        <v>75</v>
      </c>
      <c r="M769" s="4">
        <v>10352.629999999999</v>
      </c>
      <c r="N769" s="4">
        <f>SUM(Table1[[#This Row],[2025]:[2018]])</f>
        <v>10877.63</v>
      </c>
      <c r="O769" s="2">
        <f>Table1[[#This Row],[ttl]]/SUM(Table1[ttl])</f>
        <v>2.1933968395041462E-5</v>
      </c>
      <c r="P769" s="3">
        <f>SUM($O$2:Table1[[#This Row],[pctAllTimeExp]])</f>
        <v>0.99308198491445698</v>
      </c>
      <c r="Q769" t="b">
        <f>Table1[[#This Row],[cumPctAllTimeExp]]&lt;0.95</f>
        <v>0</v>
      </c>
    </row>
    <row r="770" spans="1:17" x14ac:dyDescent="0.25">
      <c r="A770">
        <v>1217</v>
      </c>
      <c r="C770" t="s">
        <v>2508</v>
      </c>
      <c r="E770" t="s">
        <v>1219</v>
      </c>
      <c r="F770" s="4">
        <v>0</v>
      </c>
      <c r="G770" s="4">
        <v>0</v>
      </c>
      <c r="H770" s="4">
        <v>0</v>
      </c>
      <c r="I770" s="4">
        <v>10875</v>
      </c>
      <c r="J770" s="4">
        <v>0</v>
      </c>
      <c r="K770" s="4">
        <v>0</v>
      </c>
      <c r="L770" s="4">
        <v>0</v>
      </c>
      <c r="M770" s="4">
        <v>0</v>
      </c>
      <c r="N770" s="4">
        <f>SUM(Table1[[#This Row],[2025]:[2018]])</f>
        <v>10875</v>
      </c>
      <c r="O770" s="2">
        <f>Table1[[#This Row],[ttl]]/SUM(Table1[ttl])</f>
        <v>2.1928665186816972E-5</v>
      </c>
      <c r="P770" s="3">
        <f>SUM($O$2:Table1[[#This Row],[pctAllTimeExp]])</f>
        <v>0.99310391357964378</v>
      </c>
      <c r="Q770" t="b">
        <f>Table1[[#This Row],[cumPctAllTimeExp]]&lt;0.95</f>
        <v>0</v>
      </c>
    </row>
    <row r="771" spans="1:17" x14ac:dyDescent="0.25">
      <c r="A771">
        <v>1994</v>
      </c>
      <c r="C771" t="s">
        <v>2508</v>
      </c>
      <c r="E771" t="s">
        <v>1996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10850</v>
      </c>
      <c r="M771" s="4">
        <v>0</v>
      </c>
      <c r="N771" s="4">
        <f>SUM(Table1[[#This Row],[2025]:[2018]])</f>
        <v>10850</v>
      </c>
      <c r="O771" s="2">
        <f>Table1[[#This Row],[ttl]]/SUM(Table1[ttl])</f>
        <v>2.1878254462249577E-5</v>
      </c>
      <c r="P771" s="3">
        <f>SUM($O$2:Table1[[#This Row],[pctAllTimeExp]])</f>
        <v>0.99312579183410599</v>
      </c>
      <c r="Q771" t="b">
        <f>Table1[[#This Row],[cumPctAllTimeExp]]&lt;0.95</f>
        <v>0</v>
      </c>
    </row>
    <row r="772" spans="1:17" x14ac:dyDescent="0.25">
      <c r="A772">
        <v>358</v>
      </c>
      <c r="C772" t="s">
        <v>2508</v>
      </c>
      <c r="E772" t="s">
        <v>360</v>
      </c>
      <c r="F772" s="4">
        <v>2930.98</v>
      </c>
      <c r="G772" s="4">
        <v>0</v>
      </c>
      <c r="H772" s="4">
        <v>1449.74</v>
      </c>
      <c r="I772" s="4">
        <v>1954.45</v>
      </c>
      <c r="J772" s="4">
        <v>4302.21</v>
      </c>
      <c r="K772" s="4">
        <v>128.49</v>
      </c>
      <c r="L772" s="4">
        <v>0</v>
      </c>
      <c r="M772" s="4">
        <v>0</v>
      </c>
      <c r="N772" s="4">
        <f>SUM(Table1[[#This Row],[2025]:[2018]])</f>
        <v>10765.87</v>
      </c>
      <c r="O772" s="2">
        <f>Table1[[#This Row],[ttl]]/SUM(Table1[ttl])</f>
        <v>2.1708612291935381E-5</v>
      </c>
      <c r="P772" s="3">
        <f>SUM($O$2:Table1[[#This Row],[pctAllTimeExp]])</f>
        <v>0.99314750044639788</v>
      </c>
      <c r="Q772" t="b">
        <f>Table1[[#This Row],[cumPctAllTimeExp]]&lt;0.95</f>
        <v>0</v>
      </c>
    </row>
    <row r="773" spans="1:17" x14ac:dyDescent="0.25">
      <c r="A773">
        <v>1249</v>
      </c>
      <c r="C773" t="s">
        <v>2508</v>
      </c>
      <c r="E773" t="s">
        <v>1251</v>
      </c>
      <c r="F773" s="4">
        <v>0</v>
      </c>
      <c r="G773" s="4">
        <v>0</v>
      </c>
      <c r="H773" s="4">
        <v>0</v>
      </c>
      <c r="I773" s="4">
        <v>3030.91</v>
      </c>
      <c r="J773" s="4">
        <v>1852.05</v>
      </c>
      <c r="K773" s="4">
        <v>5859.89</v>
      </c>
      <c r="L773" s="4">
        <v>0</v>
      </c>
      <c r="M773" s="4">
        <v>0</v>
      </c>
      <c r="N773" s="4">
        <f>SUM(Table1[[#This Row],[2025]:[2018]])</f>
        <v>10742.85</v>
      </c>
      <c r="O773" s="2">
        <f>Table1[[#This Row],[ttl]]/SUM(Table1[ttl])</f>
        <v>2.1662194096753722E-5</v>
      </c>
      <c r="P773" s="3">
        <f>SUM($O$2:Table1[[#This Row],[pctAllTimeExp]])</f>
        <v>0.9931691626404946</v>
      </c>
      <c r="Q773" t="b">
        <f>Table1[[#This Row],[cumPctAllTimeExp]]&lt;0.95</f>
        <v>0</v>
      </c>
    </row>
    <row r="774" spans="1:17" x14ac:dyDescent="0.25">
      <c r="A774">
        <v>1995</v>
      </c>
      <c r="C774" t="s">
        <v>2508</v>
      </c>
      <c r="E774" t="s">
        <v>1997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10724</v>
      </c>
      <c r="M774" s="4">
        <v>0</v>
      </c>
      <c r="N774" s="4">
        <f>SUM(Table1[[#This Row],[2025]:[2018]])</f>
        <v>10724</v>
      </c>
      <c r="O774" s="2">
        <f>Table1[[#This Row],[ttl]]/SUM(Table1[ttl])</f>
        <v>2.1624184410429904E-5</v>
      </c>
      <c r="P774" s="3">
        <f>SUM($O$2:Table1[[#This Row],[pctAllTimeExp]])</f>
        <v>0.99319078682490503</v>
      </c>
      <c r="Q774" t="b">
        <f>Table1[[#This Row],[cumPctAllTimeExp]]&lt;0.95</f>
        <v>0</v>
      </c>
    </row>
    <row r="775" spans="1:17" x14ac:dyDescent="0.25">
      <c r="A775">
        <v>357</v>
      </c>
      <c r="C775" t="s">
        <v>2508</v>
      </c>
      <c r="E775" t="s">
        <v>359</v>
      </c>
      <c r="F775" s="4">
        <v>2979.26</v>
      </c>
      <c r="G775" s="4">
        <v>5271</v>
      </c>
      <c r="H775" s="4">
        <v>2455.3200000000002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f>SUM(Table1[[#This Row],[2025]:[2018]])</f>
        <v>10705.58</v>
      </c>
      <c r="O775" s="2">
        <f>Table1[[#This Row],[ttl]]/SUM(Table1[ttl])</f>
        <v>2.1587041788568647E-5</v>
      </c>
      <c r="P775" s="3">
        <f>SUM($O$2:Table1[[#This Row],[pctAllTimeExp]])</f>
        <v>0.99321237386669359</v>
      </c>
      <c r="Q775" t="b">
        <f>Table1[[#This Row],[cumPctAllTimeExp]]&lt;0.95</f>
        <v>0</v>
      </c>
    </row>
    <row r="776" spans="1:17" x14ac:dyDescent="0.25">
      <c r="A776">
        <v>466</v>
      </c>
      <c r="C776" t="s">
        <v>2508</v>
      </c>
      <c r="E776" t="s">
        <v>468</v>
      </c>
      <c r="F776" s="4">
        <v>1056.9000000000001</v>
      </c>
      <c r="G776" s="4">
        <v>0</v>
      </c>
      <c r="H776" s="4">
        <v>2020.2</v>
      </c>
      <c r="I776" s="4">
        <v>0</v>
      </c>
      <c r="J776" s="4">
        <v>2306.92</v>
      </c>
      <c r="K776" s="4">
        <v>1113.06</v>
      </c>
      <c r="L776" s="4">
        <v>178.12</v>
      </c>
      <c r="M776" s="4">
        <v>4003.93</v>
      </c>
      <c r="N776" s="4">
        <f>SUM(Table1[[#This Row],[2025]:[2018]])</f>
        <v>10679.13</v>
      </c>
      <c r="O776" s="2">
        <f>Table1[[#This Row],[ttl]]/SUM(Table1[ttl])</f>
        <v>2.153370724197634E-5</v>
      </c>
      <c r="P776" s="3">
        <f>SUM($O$2:Table1[[#This Row],[pctAllTimeExp]])</f>
        <v>0.99323390757393559</v>
      </c>
      <c r="Q776" t="b">
        <f>Table1[[#This Row],[cumPctAllTimeExp]]&lt;0.95</f>
        <v>0</v>
      </c>
    </row>
    <row r="777" spans="1:17" x14ac:dyDescent="0.25">
      <c r="A777">
        <v>1708</v>
      </c>
      <c r="C777" t="s">
        <v>2508</v>
      </c>
      <c r="E777" t="s">
        <v>1710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4950</v>
      </c>
      <c r="L777" s="4">
        <v>0</v>
      </c>
      <c r="M777" s="4">
        <v>5700</v>
      </c>
      <c r="N777" s="4">
        <f>SUM(Table1[[#This Row],[2025]:[2018]])</f>
        <v>10650</v>
      </c>
      <c r="O777" s="2">
        <f>Table1[[#This Row],[ttl]]/SUM(Table1[ttl])</f>
        <v>2.1474968665710413E-5</v>
      </c>
      <c r="P777" s="3">
        <f>SUM($O$2:Table1[[#This Row],[pctAllTimeExp]])</f>
        <v>0.99325538254260126</v>
      </c>
      <c r="Q777" t="b">
        <f>Table1[[#This Row],[cumPctAllTimeExp]]&lt;0.95</f>
        <v>0</v>
      </c>
    </row>
    <row r="778" spans="1:17" x14ac:dyDescent="0.25">
      <c r="A778">
        <v>366</v>
      </c>
      <c r="C778" t="s">
        <v>2508</v>
      </c>
      <c r="E778" t="s">
        <v>368</v>
      </c>
      <c r="F778" s="4">
        <v>2740</v>
      </c>
      <c r="G778" s="4">
        <v>0</v>
      </c>
      <c r="H778" s="4">
        <v>7834.82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f>SUM(Table1[[#This Row],[2025]:[2018]])</f>
        <v>10574.82</v>
      </c>
      <c r="O778" s="2">
        <f>Table1[[#This Row],[ttl]]/SUM(Table1[ttl])</f>
        <v>2.132337353479134E-5</v>
      </c>
      <c r="P778" s="3">
        <f>SUM($O$2:Table1[[#This Row],[pctAllTimeExp]])</f>
        <v>0.99327670591613604</v>
      </c>
      <c r="Q778" t="b">
        <f>Table1[[#This Row],[cumPctAllTimeExp]]&lt;0.95</f>
        <v>0</v>
      </c>
    </row>
    <row r="779" spans="1:17" x14ac:dyDescent="0.25">
      <c r="A779">
        <v>2267</v>
      </c>
      <c r="C779" t="s">
        <v>2508</v>
      </c>
      <c r="E779" t="s">
        <v>2269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10500</v>
      </c>
      <c r="N779" s="4">
        <f>SUM(Table1[[#This Row],[2025]:[2018]])</f>
        <v>10500</v>
      </c>
      <c r="O779" s="2">
        <f>Table1[[#This Row],[ttl]]/SUM(Table1[ttl])</f>
        <v>2.1172504318306042E-5</v>
      </c>
      <c r="P779" s="3">
        <f>SUM($O$2:Table1[[#This Row],[pctAllTimeExp]])</f>
        <v>0.99329787842045436</v>
      </c>
      <c r="Q779" t="b">
        <f>Table1[[#This Row],[cumPctAllTimeExp]]&lt;0.95</f>
        <v>0</v>
      </c>
    </row>
    <row r="780" spans="1:17" x14ac:dyDescent="0.25">
      <c r="A780">
        <v>1432</v>
      </c>
      <c r="C780" t="s">
        <v>2508</v>
      </c>
      <c r="E780" t="s">
        <v>1434</v>
      </c>
      <c r="F780" s="4">
        <v>0</v>
      </c>
      <c r="G780" s="4">
        <v>0</v>
      </c>
      <c r="H780" s="4">
        <v>0</v>
      </c>
      <c r="I780" s="4">
        <v>0</v>
      </c>
      <c r="J780" s="4">
        <v>7569.08</v>
      </c>
      <c r="K780" s="4">
        <v>2929.55</v>
      </c>
      <c r="L780" s="4">
        <v>0</v>
      </c>
      <c r="M780" s="4">
        <v>0</v>
      </c>
      <c r="N780" s="4">
        <f>SUM(Table1[[#This Row],[2025]:[2018]])</f>
        <v>10498.630000000001</v>
      </c>
      <c r="O780" s="2">
        <f>Table1[[#This Row],[ttl]]/SUM(Table1[ttl])</f>
        <v>2.116974181059975E-5</v>
      </c>
      <c r="P780" s="3">
        <f>SUM($O$2:Table1[[#This Row],[pctAllTimeExp]])</f>
        <v>0.99331904816226491</v>
      </c>
      <c r="Q780" t="b">
        <f>Table1[[#This Row],[cumPctAllTimeExp]]&lt;0.95</f>
        <v>0</v>
      </c>
    </row>
    <row r="781" spans="1:17" x14ac:dyDescent="0.25">
      <c r="A781">
        <v>351</v>
      </c>
      <c r="C781" t="s">
        <v>2508</v>
      </c>
      <c r="E781" t="s">
        <v>353</v>
      </c>
      <c r="F781" s="4">
        <v>3094.48</v>
      </c>
      <c r="G781" s="4">
        <v>315.73</v>
      </c>
      <c r="H781" s="4">
        <v>143.37</v>
      </c>
      <c r="I781" s="4">
        <v>267.77999999999997</v>
      </c>
      <c r="J781" s="4">
        <v>1754.02</v>
      </c>
      <c r="K781" s="4">
        <v>1420.94</v>
      </c>
      <c r="L781" s="4">
        <v>1139.6099999999999</v>
      </c>
      <c r="M781" s="4">
        <v>2271.9</v>
      </c>
      <c r="N781" s="4">
        <f>SUM(Table1[[#This Row],[2025]:[2018]])</f>
        <v>10407.83</v>
      </c>
      <c r="O781" s="2">
        <f>Table1[[#This Row],[ttl]]/SUM(Table1[ttl])</f>
        <v>2.0986650058970969E-5</v>
      </c>
      <c r="P781" s="3">
        <f>SUM($O$2:Table1[[#This Row],[pctAllTimeExp]])</f>
        <v>0.99334003481232391</v>
      </c>
      <c r="Q781" t="b">
        <f>Table1[[#This Row],[cumPctAllTimeExp]]&lt;0.95</f>
        <v>0</v>
      </c>
    </row>
    <row r="782" spans="1:17" x14ac:dyDescent="0.25">
      <c r="A782">
        <v>1427</v>
      </c>
      <c r="C782" t="s">
        <v>2508</v>
      </c>
      <c r="E782" t="s">
        <v>1429</v>
      </c>
      <c r="F782" s="4">
        <v>0</v>
      </c>
      <c r="G782" s="4">
        <v>0</v>
      </c>
      <c r="H782" s="4">
        <v>0</v>
      </c>
      <c r="I782" s="4">
        <v>0</v>
      </c>
      <c r="J782" s="4">
        <v>10395</v>
      </c>
      <c r="K782" s="4">
        <v>0</v>
      </c>
      <c r="L782" s="4">
        <v>0</v>
      </c>
      <c r="M782" s="4">
        <v>0</v>
      </c>
      <c r="N782" s="4">
        <f>SUM(Table1[[#This Row],[2025]:[2018]])</f>
        <v>10395</v>
      </c>
      <c r="O782" s="2">
        <f>Table1[[#This Row],[ttl]]/SUM(Table1[ttl])</f>
        <v>2.0960779275122983E-5</v>
      </c>
      <c r="P782" s="3">
        <f>SUM($O$2:Table1[[#This Row],[pctAllTimeExp]])</f>
        <v>0.99336099559159907</v>
      </c>
      <c r="Q782" t="b">
        <f>Table1[[#This Row],[cumPctAllTimeExp]]&lt;0.95</f>
        <v>0</v>
      </c>
    </row>
    <row r="783" spans="1:17" x14ac:dyDescent="0.25">
      <c r="A783">
        <v>655</v>
      </c>
      <c r="C783" t="s">
        <v>2508</v>
      </c>
      <c r="E783" t="s">
        <v>657</v>
      </c>
      <c r="F783" s="4">
        <v>144.72999999999999</v>
      </c>
      <c r="G783" s="4">
        <v>0</v>
      </c>
      <c r="H783" s="4">
        <v>0</v>
      </c>
      <c r="I783" s="4">
        <v>4393.83</v>
      </c>
      <c r="J783" s="4">
        <v>4393.83</v>
      </c>
      <c r="K783" s="4">
        <v>858.04</v>
      </c>
      <c r="L783" s="4">
        <v>0</v>
      </c>
      <c r="M783" s="4">
        <v>490.37</v>
      </c>
      <c r="N783" s="4">
        <f>SUM(Table1[[#This Row],[2025]:[2018]])</f>
        <v>10280.800000000001</v>
      </c>
      <c r="O783" s="2">
        <f>Table1[[#This Row],[ttl]]/SUM(Table1[ttl])</f>
        <v>2.073050308529912E-5</v>
      </c>
      <c r="P783" s="3">
        <f>SUM($O$2:Table1[[#This Row],[pctAllTimeExp]])</f>
        <v>0.99338172609468434</v>
      </c>
      <c r="Q783" t="b">
        <f>Table1[[#This Row],[cumPctAllTimeExp]]&lt;0.95</f>
        <v>0</v>
      </c>
    </row>
    <row r="784" spans="1:17" x14ac:dyDescent="0.25">
      <c r="A784">
        <v>1218</v>
      </c>
      <c r="C784" t="s">
        <v>2508</v>
      </c>
      <c r="E784" t="s">
        <v>1220</v>
      </c>
      <c r="F784" s="4">
        <v>0</v>
      </c>
      <c r="G784" s="4">
        <v>0</v>
      </c>
      <c r="H784" s="4">
        <v>0</v>
      </c>
      <c r="I784" s="4">
        <v>10275</v>
      </c>
      <c r="J784" s="4">
        <v>0</v>
      </c>
      <c r="K784" s="4">
        <v>0</v>
      </c>
      <c r="L784" s="4">
        <v>0</v>
      </c>
      <c r="M784" s="4">
        <v>0</v>
      </c>
      <c r="N784" s="4">
        <f>SUM(Table1[[#This Row],[2025]:[2018]])</f>
        <v>10275</v>
      </c>
      <c r="O784" s="2">
        <f>Table1[[#This Row],[ttl]]/SUM(Table1[ttl])</f>
        <v>2.0718807797199483E-5</v>
      </c>
      <c r="P784" s="3">
        <f>SUM($O$2:Table1[[#This Row],[pctAllTimeExp]])</f>
        <v>0.99340244490248153</v>
      </c>
      <c r="Q784" t="b">
        <f>Table1[[#This Row],[cumPctAllTimeExp]]&lt;0.95</f>
        <v>0</v>
      </c>
    </row>
    <row r="785" spans="1:17" x14ac:dyDescent="0.25">
      <c r="A785">
        <v>2021</v>
      </c>
      <c r="C785" t="s">
        <v>2508</v>
      </c>
      <c r="E785" t="s">
        <v>2023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3850</v>
      </c>
      <c r="M785" s="4">
        <v>6412</v>
      </c>
      <c r="N785" s="4">
        <f>SUM(Table1[[#This Row],[2025]:[2018]])</f>
        <v>10262</v>
      </c>
      <c r="O785" s="2">
        <f>Table1[[#This Row],[ttl]]/SUM(Table1[ttl])</f>
        <v>2.0692594220424437E-5</v>
      </c>
      <c r="P785" s="3">
        <f>SUM($O$2:Table1[[#This Row],[pctAllTimeExp]])</f>
        <v>0.99342313749670197</v>
      </c>
      <c r="Q785" t="b">
        <f>Table1[[#This Row],[cumPctAllTimeExp]]&lt;0.95</f>
        <v>0</v>
      </c>
    </row>
    <row r="786" spans="1:17" x14ac:dyDescent="0.25">
      <c r="A786">
        <v>856</v>
      </c>
      <c r="C786" t="s">
        <v>2508</v>
      </c>
      <c r="E786" t="s">
        <v>858</v>
      </c>
      <c r="F786" s="4">
        <v>0</v>
      </c>
      <c r="G786" s="4">
        <v>672</v>
      </c>
      <c r="H786" s="4">
        <v>520</v>
      </c>
      <c r="I786" s="4">
        <v>0</v>
      </c>
      <c r="J786" s="4">
        <v>5460</v>
      </c>
      <c r="K786" s="4">
        <v>361</v>
      </c>
      <c r="L786" s="4">
        <v>0</v>
      </c>
      <c r="M786" s="4">
        <v>3246.25</v>
      </c>
      <c r="N786" s="4">
        <f>SUM(Table1[[#This Row],[2025]:[2018]])</f>
        <v>10259.25</v>
      </c>
      <c r="O786" s="2">
        <f>Table1[[#This Row],[ttl]]/SUM(Table1[ttl])</f>
        <v>2.0687049040722025E-5</v>
      </c>
      <c r="P786" s="3">
        <f>SUM($O$2:Table1[[#This Row],[pctAllTimeExp]])</f>
        <v>0.99344382454574265</v>
      </c>
      <c r="Q786" t="b">
        <f>Table1[[#This Row],[cumPctAllTimeExp]]&lt;0.95</f>
        <v>0</v>
      </c>
    </row>
    <row r="787" spans="1:17" x14ac:dyDescent="0.25">
      <c r="A787">
        <v>425</v>
      </c>
      <c r="C787" t="s">
        <v>2508</v>
      </c>
      <c r="E787" t="s">
        <v>427</v>
      </c>
      <c r="F787" s="4">
        <v>1514.46</v>
      </c>
      <c r="G787" s="4">
        <v>3577.98</v>
      </c>
      <c r="H787" s="4">
        <v>3087.56</v>
      </c>
      <c r="I787" s="4">
        <v>2061.23</v>
      </c>
      <c r="J787" s="4">
        <v>0</v>
      </c>
      <c r="K787" s="4">
        <v>0</v>
      </c>
      <c r="L787" s="4">
        <v>0</v>
      </c>
      <c r="M787" s="4">
        <v>0</v>
      </c>
      <c r="N787" s="4">
        <f>SUM(Table1[[#This Row],[2025]:[2018]])</f>
        <v>10241.23</v>
      </c>
      <c r="O787" s="2">
        <f>Table1[[#This Row],[ttl]]/SUM(Table1[ttl])</f>
        <v>2.0650712990453845E-5</v>
      </c>
      <c r="P787" s="3">
        <f>SUM($O$2:Table1[[#This Row],[pctAllTimeExp]])</f>
        <v>0.99346447525873305</v>
      </c>
      <c r="Q787" t="b">
        <f>Table1[[#This Row],[cumPctAllTimeExp]]&lt;0.95</f>
        <v>0</v>
      </c>
    </row>
    <row r="788" spans="1:17" x14ac:dyDescent="0.25">
      <c r="A788">
        <v>886</v>
      </c>
      <c r="C788" t="s">
        <v>2508</v>
      </c>
      <c r="E788" t="s">
        <v>888</v>
      </c>
      <c r="F788" s="4">
        <v>0</v>
      </c>
      <c r="G788" s="4">
        <v>432.94</v>
      </c>
      <c r="H788" s="4">
        <v>1487.83</v>
      </c>
      <c r="I788" s="4">
        <v>2807.68</v>
      </c>
      <c r="J788" s="4">
        <v>1716.49</v>
      </c>
      <c r="K788" s="4">
        <v>1327.06</v>
      </c>
      <c r="L788" s="4">
        <v>1612.68</v>
      </c>
      <c r="M788" s="4">
        <v>836.13</v>
      </c>
      <c r="N788" s="4">
        <f>SUM(Table1[[#This Row],[2025]:[2018]])</f>
        <v>10220.81</v>
      </c>
      <c r="O788" s="2">
        <f>Table1[[#This Row],[ttl]]/SUM(Table1[ttl])</f>
        <v>2.0609537510627196E-5</v>
      </c>
      <c r="P788" s="3">
        <f>SUM($O$2:Table1[[#This Row],[pctAllTimeExp]])</f>
        <v>0.99348508479624364</v>
      </c>
      <c r="Q788" t="b">
        <f>Table1[[#This Row],[cumPctAllTimeExp]]&lt;0.95</f>
        <v>0</v>
      </c>
    </row>
    <row r="789" spans="1:17" x14ac:dyDescent="0.25">
      <c r="A789">
        <v>1433</v>
      </c>
      <c r="C789" t="s">
        <v>2508</v>
      </c>
      <c r="E789" t="s">
        <v>1435</v>
      </c>
      <c r="F789" s="4">
        <v>0</v>
      </c>
      <c r="G789" s="4">
        <v>0</v>
      </c>
      <c r="H789" s="4">
        <v>0</v>
      </c>
      <c r="I789" s="4">
        <v>0</v>
      </c>
      <c r="J789" s="4">
        <v>7435</v>
      </c>
      <c r="K789" s="4">
        <v>2687</v>
      </c>
      <c r="L789" s="4">
        <v>0</v>
      </c>
      <c r="M789" s="4">
        <v>0</v>
      </c>
      <c r="N789" s="4">
        <f>SUM(Table1[[#This Row],[2025]:[2018]])</f>
        <v>10122</v>
      </c>
      <c r="O789" s="2">
        <f>Table1[[#This Row],[ttl]]/SUM(Table1[ttl])</f>
        <v>2.0410294162847024E-5</v>
      </c>
      <c r="P789" s="3">
        <f>SUM($O$2:Table1[[#This Row],[pctAllTimeExp]])</f>
        <v>0.99350549509040653</v>
      </c>
      <c r="Q789" t="b">
        <f>Table1[[#This Row],[cumPctAllTimeExp]]&lt;0.95</f>
        <v>0</v>
      </c>
    </row>
    <row r="790" spans="1:17" x14ac:dyDescent="0.25">
      <c r="A790">
        <v>375</v>
      </c>
      <c r="C790" t="s">
        <v>2508</v>
      </c>
      <c r="E790" t="s">
        <v>377</v>
      </c>
      <c r="F790" s="4">
        <v>2438.17</v>
      </c>
      <c r="G790" s="4">
        <v>1259.83</v>
      </c>
      <c r="H790" s="4">
        <v>1488.53</v>
      </c>
      <c r="I790" s="4">
        <v>1817.33</v>
      </c>
      <c r="J790" s="4">
        <v>1021.8</v>
      </c>
      <c r="K790" s="4">
        <v>1165.9100000000001</v>
      </c>
      <c r="L790" s="4">
        <v>874.67</v>
      </c>
      <c r="M790" s="4">
        <v>0</v>
      </c>
      <c r="N790" s="4">
        <f>SUM(Table1[[#This Row],[2025]:[2018]])</f>
        <v>10066.24</v>
      </c>
      <c r="O790" s="2">
        <f>Table1[[#This Row],[ttl]]/SUM(Table1[ttl])</f>
        <v>2.0297858082771906E-5</v>
      </c>
      <c r="P790" s="3">
        <f>SUM($O$2:Table1[[#This Row],[pctAllTimeExp]])</f>
        <v>0.99352579294848931</v>
      </c>
      <c r="Q790" t="b">
        <f>Table1[[#This Row],[cumPctAllTimeExp]]&lt;0.95</f>
        <v>0</v>
      </c>
    </row>
    <row r="791" spans="1:17" x14ac:dyDescent="0.25">
      <c r="A791">
        <v>2138</v>
      </c>
      <c r="C791" t="s">
        <v>2508</v>
      </c>
      <c r="E791" t="s">
        <v>2140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396.09</v>
      </c>
      <c r="M791" s="4">
        <v>9660.0499999999993</v>
      </c>
      <c r="N791" s="4">
        <f>SUM(Table1[[#This Row],[2025]:[2018]])</f>
        <v>10056.14</v>
      </c>
      <c r="O791" s="2">
        <f>Table1[[#This Row],[ttl]]/SUM(Table1[ttl])</f>
        <v>2.0277492150046677E-5</v>
      </c>
      <c r="P791" s="3">
        <f>SUM($O$2:Table1[[#This Row],[pctAllTimeExp]])</f>
        <v>0.99354607044063936</v>
      </c>
      <c r="Q791" t="b">
        <f>Table1[[#This Row],[cumPctAllTimeExp]]&lt;0.95</f>
        <v>0</v>
      </c>
    </row>
    <row r="792" spans="1:17" x14ac:dyDescent="0.25">
      <c r="A792">
        <v>779</v>
      </c>
      <c r="C792" t="s">
        <v>2508</v>
      </c>
      <c r="E792" t="s">
        <v>781</v>
      </c>
      <c r="F792" s="4">
        <v>0</v>
      </c>
      <c r="G792" s="4">
        <v>3842.8</v>
      </c>
      <c r="H792" s="4">
        <v>6192.1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f>SUM(Table1[[#This Row],[2025]:[2018]])</f>
        <v>10034.900000000001</v>
      </c>
      <c r="O792" s="2">
        <f>Table1[[#This Row],[ttl]]/SUM(Table1[ttl])</f>
        <v>2.0234663198454222E-5</v>
      </c>
      <c r="P792" s="3">
        <f>SUM($O$2:Table1[[#This Row],[pctAllTimeExp]])</f>
        <v>0.99356630510383781</v>
      </c>
      <c r="Q792" t="b">
        <f>Table1[[#This Row],[cumPctAllTimeExp]]&lt;0.95</f>
        <v>0</v>
      </c>
    </row>
    <row r="793" spans="1:17" x14ac:dyDescent="0.25">
      <c r="A793">
        <v>742</v>
      </c>
      <c r="C793" t="s">
        <v>2508</v>
      </c>
      <c r="E793" t="s">
        <v>744</v>
      </c>
      <c r="F793" s="4">
        <v>0</v>
      </c>
      <c r="G793" s="4">
        <v>10000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f>SUM(Table1[[#This Row],[2025]:[2018]])</f>
        <v>10000</v>
      </c>
      <c r="O793" s="2">
        <f>Table1[[#This Row],[ttl]]/SUM(Table1[ttl])</f>
        <v>2.0164289826958134E-5</v>
      </c>
      <c r="P793" s="3">
        <f>SUM($O$2:Table1[[#This Row],[pctAllTimeExp]])</f>
        <v>0.9935864693936648</v>
      </c>
      <c r="Q793" t="b">
        <f>Table1[[#This Row],[cumPctAllTimeExp]]&lt;0.95</f>
        <v>0</v>
      </c>
    </row>
    <row r="794" spans="1:17" x14ac:dyDescent="0.25">
      <c r="A794">
        <v>743</v>
      </c>
      <c r="C794" t="s">
        <v>2508</v>
      </c>
      <c r="E794" t="s">
        <v>745</v>
      </c>
      <c r="F794" s="4">
        <v>0</v>
      </c>
      <c r="G794" s="4">
        <v>10000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f>SUM(Table1[[#This Row],[2025]:[2018]])</f>
        <v>10000</v>
      </c>
      <c r="O794" s="2">
        <f>Table1[[#This Row],[ttl]]/SUM(Table1[ttl])</f>
        <v>2.0164289826958134E-5</v>
      </c>
      <c r="P794" s="3">
        <f>SUM($O$2:Table1[[#This Row],[pctAllTimeExp]])</f>
        <v>0.99360663368349178</v>
      </c>
      <c r="Q794" t="b">
        <f>Table1[[#This Row],[cumPctAllTimeExp]]&lt;0.95</f>
        <v>0</v>
      </c>
    </row>
    <row r="795" spans="1:17" x14ac:dyDescent="0.25">
      <c r="A795">
        <v>1219</v>
      </c>
      <c r="C795" t="s">
        <v>2508</v>
      </c>
      <c r="E795" t="s">
        <v>1221</v>
      </c>
      <c r="F795" s="4">
        <v>0</v>
      </c>
      <c r="G795" s="4">
        <v>0</v>
      </c>
      <c r="H795" s="4">
        <v>0</v>
      </c>
      <c r="I795" s="4">
        <v>10000</v>
      </c>
      <c r="J795" s="4">
        <v>0</v>
      </c>
      <c r="K795" s="4">
        <v>0</v>
      </c>
      <c r="L795" s="4">
        <v>0</v>
      </c>
      <c r="M795" s="4">
        <v>0</v>
      </c>
      <c r="N795" s="4">
        <f>SUM(Table1[[#This Row],[2025]:[2018]])</f>
        <v>10000</v>
      </c>
      <c r="O795" s="2">
        <f>Table1[[#This Row],[ttl]]/SUM(Table1[ttl])</f>
        <v>2.0164289826958134E-5</v>
      </c>
      <c r="P795" s="3">
        <f>SUM($O$2:Table1[[#This Row],[pctAllTimeExp]])</f>
        <v>0.99362679797331876</v>
      </c>
      <c r="Q795" t="b">
        <f>Table1[[#This Row],[cumPctAllTimeExp]]&lt;0.95</f>
        <v>0</v>
      </c>
    </row>
    <row r="796" spans="1:17" x14ac:dyDescent="0.25">
      <c r="A796">
        <v>2268</v>
      </c>
      <c r="C796" t="s">
        <v>2508</v>
      </c>
      <c r="E796" t="s">
        <v>2270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9947.65</v>
      </c>
      <c r="N796" s="4">
        <f>SUM(Table1[[#This Row],[2025]:[2018]])</f>
        <v>9947.65</v>
      </c>
      <c r="O796" s="2">
        <f>Table1[[#This Row],[ttl]]/SUM(Table1[ttl])</f>
        <v>2.0058729769714009E-5</v>
      </c>
      <c r="P796" s="3">
        <f>SUM($O$2:Table1[[#This Row],[pctAllTimeExp]])</f>
        <v>0.9936468567030885</v>
      </c>
      <c r="Q796" t="b">
        <f>Table1[[#This Row],[cumPctAllTimeExp]]&lt;0.95</f>
        <v>0</v>
      </c>
    </row>
    <row r="797" spans="1:17" x14ac:dyDescent="0.25">
      <c r="A797">
        <v>1252</v>
      </c>
      <c r="C797" t="s">
        <v>2508</v>
      </c>
      <c r="E797" t="s">
        <v>1254</v>
      </c>
      <c r="F797" s="4">
        <v>0</v>
      </c>
      <c r="G797" s="4">
        <v>0</v>
      </c>
      <c r="H797" s="4">
        <v>0</v>
      </c>
      <c r="I797" s="4">
        <v>2357.8000000000002</v>
      </c>
      <c r="J797" s="4">
        <v>0</v>
      </c>
      <c r="K797" s="4">
        <v>3252.15</v>
      </c>
      <c r="L797" s="4">
        <v>1934.55</v>
      </c>
      <c r="M797" s="4">
        <v>2383.4499999999998</v>
      </c>
      <c r="N797" s="4">
        <f>SUM(Table1[[#This Row],[2025]:[2018]])</f>
        <v>9927.9500000000007</v>
      </c>
      <c r="O797" s="2">
        <f>Table1[[#This Row],[ttl]]/SUM(Table1[ttl])</f>
        <v>2.0019006118754903E-5</v>
      </c>
      <c r="P797" s="3">
        <f>SUM($O$2:Table1[[#This Row],[pctAllTimeExp]])</f>
        <v>0.99366687570920731</v>
      </c>
      <c r="Q797" t="b">
        <f>Table1[[#This Row],[cumPctAllTimeExp]]&lt;0.95</f>
        <v>0</v>
      </c>
    </row>
    <row r="798" spans="1:17" x14ac:dyDescent="0.25">
      <c r="A798">
        <v>1009</v>
      </c>
      <c r="C798" t="s">
        <v>2508</v>
      </c>
      <c r="E798" t="s">
        <v>1011</v>
      </c>
      <c r="F798" s="4">
        <v>0</v>
      </c>
      <c r="G798" s="4">
        <v>0</v>
      </c>
      <c r="H798" s="4">
        <v>9900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f>SUM(Table1[[#This Row],[2025]:[2018]])</f>
        <v>9900</v>
      </c>
      <c r="O798" s="2">
        <f>Table1[[#This Row],[ttl]]/SUM(Table1[ttl])</f>
        <v>1.9962646928688553E-5</v>
      </c>
      <c r="P798" s="3">
        <f>SUM($O$2:Table1[[#This Row],[pctAllTimeExp]])</f>
        <v>0.99368683835613603</v>
      </c>
      <c r="Q798" t="b">
        <f>Table1[[#This Row],[cumPctAllTimeExp]]&lt;0.95</f>
        <v>0</v>
      </c>
    </row>
    <row r="799" spans="1:17" x14ac:dyDescent="0.25">
      <c r="A799">
        <v>1077</v>
      </c>
      <c r="C799" t="s">
        <v>2508</v>
      </c>
      <c r="E799" t="s">
        <v>1079</v>
      </c>
      <c r="F799" s="4">
        <v>0</v>
      </c>
      <c r="G799" s="4">
        <v>0</v>
      </c>
      <c r="H799" s="4">
        <v>1500</v>
      </c>
      <c r="I799" s="4">
        <v>2400</v>
      </c>
      <c r="J799" s="4">
        <v>0</v>
      </c>
      <c r="K799" s="4">
        <v>0</v>
      </c>
      <c r="L799" s="4">
        <v>1000</v>
      </c>
      <c r="M799" s="4">
        <v>5000</v>
      </c>
      <c r="N799" s="4">
        <f>SUM(Table1[[#This Row],[2025]:[2018]])</f>
        <v>9900</v>
      </c>
      <c r="O799" s="2">
        <f>Table1[[#This Row],[ttl]]/SUM(Table1[ttl])</f>
        <v>1.9962646928688553E-5</v>
      </c>
      <c r="P799" s="3">
        <f>SUM($O$2:Table1[[#This Row],[pctAllTimeExp]])</f>
        <v>0.99370680100306474</v>
      </c>
      <c r="Q799" t="b">
        <f>Table1[[#This Row],[cumPctAllTimeExp]]&lt;0.95</f>
        <v>0</v>
      </c>
    </row>
    <row r="800" spans="1:17" x14ac:dyDescent="0.25">
      <c r="A800">
        <v>423</v>
      </c>
      <c r="C800" t="s">
        <v>2508</v>
      </c>
      <c r="E800" t="s">
        <v>425</v>
      </c>
      <c r="F800" s="4">
        <v>1525</v>
      </c>
      <c r="G800" s="4">
        <v>0</v>
      </c>
      <c r="H800" s="4">
        <v>1500</v>
      </c>
      <c r="I800" s="4">
        <v>1740</v>
      </c>
      <c r="J800" s="4">
        <v>0</v>
      </c>
      <c r="K800" s="4">
        <v>1690</v>
      </c>
      <c r="L800" s="4">
        <v>1690</v>
      </c>
      <c r="M800" s="4">
        <v>1690</v>
      </c>
      <c r="N800" s="4">
        <f>SUM(Table1[[#This Row],[2025]:[2018]])</f>
        <v>9835</v>
      </c>
      <c r="O800" s="2">
        <f>Table1[[#This Row],[ttl]]/SUM(Table1[ttl])</f>
        <v>1.9831579044813326E-5</v>
      </c>
      <c r="P800" s="3">
        <f>SUM($O$2:Table1[[#This Row],[pctAllTimeExp]])</f>
        <v>0.99372663258210958</v>
      </c>
      <c r="Q800" t="b">
        <f>Table1[[#This Row],[cumPctAllTimeExp]]&lt;0.95</f>
        <v>0</v>
      </c>
    </row>
    <row r="801" spans="1:17" x14ac:dyDescent="0.25">
      <c r="A801">
        <v>1220</v>
      </c>
      <c r="C801" t="s">
        <v>2508</v>
      </c>
      <c r="E801" t="s">
        <v>1222</v>
      </c>
      <c r="F801" s="4">
        <v>0</v>
      </c>
      <c r="G801" s="4">
        <v>0</v>
      </c>
      <c r="H801" s="4">
        <v>0</v>
      </c>
      <c r="I801" s="4">
        <v>9825</v>
      </c>
      <c r="J801" s="4">
        <v>0</v>
      </c>
      <c r="K801" s="4">
        <v>0</v>
      </c>
      <c r="L801" s="4">
        <v>0</v>
      </c>
      <c r="M801" s="4">
        <v>0</v>
      </c>
      <c r="N801" s="4">
        <f>SUM(Table1[[#This Row],[2025]:[2018]])</f>
        <v>9825</v>
      </c>
      <c r="O801" s="2">
        <f>Table1[[#This Row],[ttl]]/SUM(Table1[ttl])</f>
        <v>1.9811414754986368E-5</v>
      </c>
      <c r="P801" s="3">
        <f>SUM($O$2:Table1[[#This Row],[pctAllTimeExp]])</f>
        <v>0.99374644399686451</v>
      </c>
      <c r="Q801" t="b">
        <f>Table1[[#This Row],[cumPctAllTimeExp]]&lt;0.95</f>
        <v>0</v>
      </c>
    </row>
    <row r="802" spans="1:17" x14ac:dyDescent="0.25">
      <c r="A802">
        <v>1693</v>
      </c>
      <c r="C802" t="s">
        <v>2508</v>
      </c>
      <c r="E802" t="s">
        <v>1695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9800</v>
      </c>
      <c r="L802" s="4">
        <v>0</v>
      </c>
      <c r="M802" s="4">
        <v>0</v>
      </c>
      <c r="N802" s="4">
        <f>SUM(Table1[[#This Row],[2025]:[2018]])</f>
        <v>9800</v>
      </c>
      <c r="O802" s="2">
        <f>Table1[[#This Row],[ttl]]/SUM(Table1[ttl])</f>
        <v>1.9761004030418973E-5</v>
      </c>
      <c r="P802" s="3">
        <f>SUM($O$2:Table1[[#This Row],[pctAllTimeExp]])</f>
        <v>0.99376620500089496</v>
      </c>
      <c r="Q802" t="b">
        <f>Table1[[#This Row],[cumPctAllTimeExp]]&lt;0.95</f>
        <v>0</v>
      </c>
    </row>
    <row r="803" spans="1:17" x14ac:dyDescent="0.25">
      <c r="A803">
        <v>1694</v>
      </c>
      <c r="C803" t="s">
        <v>2508</v>
      </c>
      <c r="E803" t="s">
        <v>1696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9720</v>
      </c>
      <c r="L803" s="4">
        <v>0</v>
      </c>
      <c r="M803" s="4">
        <v>0</v>
      </c>
      <c r="N803" s="4">
        <f>SUM(Table1[[#This Row],[2025]:[2018]])</f>
        <v>9720</v>
      </c>
      <c r="O803" s="2">
        <f>Table1[[#This Row],[ttl]]/SUM(Table1[ttl])</f>
        <v>1.9599689711803308E-5</v>
      </c>
      <c r="P803" s="3">
        <f>SUM($O$2:Table1[[#This Row],[pctAllTimeExp]])</f>
        <v>0.99378580469060673</v>
      </c>
      <c r="Q803" t="b">
        <f>Table1[[#This Row],[cumPctAllTimeExp]]&lt;0.95</f>
        <v>0</v>
      </c>
    </row>
    <row r="804" spans="1:17" x14ac:dyDescent="0.25">
      <c r="A804">
        <v>1175</v>
      </c>
      <c r="C804" t="s">
        <v>2508</v>
      </c>
      <c r="E804" t="s">
        <v>1177</v>
      </c>
      <c r="F804" s="4">
        <v>0</v>
      </c>
      <c r="G804" s="4">
        <v>0</v>
      </c>
      <c r="H804" s="4">
        <v>100</v>
      </c>
      <c r="I804" s="4">
        <v>5274</v>
      </c>
      <c r="J804" s="4">
        <v>4332</v>
      </c>
      <c r="K804" s="4">
        <v>0</v>
      </c>
      <c r="L804" s="4">
        <v>0</v>
      </c>
      <c r="M804" s="4">
        <v>0</v>
      </c>
      <c r="N804" s="4">
        <f>SUM(Table1[[#This Row],[2025]:[2018]])</f>
        <v>9706</v>
      </c>
      <c r="O804" s="2">
        <f>Table1[[#This Row],[ttl]]/SUM(Table1[ttl])</f>
        <v>1.9571459706045565E-5</v>
      </c>
      <c r="P804" s="3">
        <f>SUM($O$2:Table1[[#This Row],[pctAllTimeExp]])</f>
        <v>0.99380537615031272</v>
      </c>
      <c r="Q804" t="b">
        <f>Table1[[#This Row],[cumPctAllTimeExp]]&lt;0.95</f>
        <v>0</v>
      </c>
    </row>
    <row r="805" spans="1:17" x14ac:dyDescent="0.25">
      <c r="A805">
        <v>745</v>
      </c>
      <c r="C805" t="s">
        <v>2508</v>
      </c>
      <c r="E805" t="s">
        <v>747</v>
      </c>
      <c r="F805" s="4">
        <v>0</v>
      </c>
      <c r="G805" s="4">
        <v>9665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f>SUM(Table1[[#This Row],[2025]:[2018]])</f>
        <v>9665</v>
      </c>
      <c r="O805" s="2">
        <f>Table1[[#This Row],[ttl]]/SUM(Table1[ttl])</f>
        <v>1.9488786117755036E-5</v>
      </c>
      <c r="P805" s="3">
        <f>SUM($O$2:Table1[[#This Row],[pctAllTimeExp]])</f>
        <v>0.99382486493643052</v>
      </c>
      <c r="Q805" t="b">
        <f>Table1[[#This Row],[cumPctAllTimeExp]]&lt;0.95</f>
        <v>0</v>
      </c>
    </row>
    <row r="806" spans="1:17" x14ac:dyDescent="0.25">
      <c r="A806">
        <v>441</v>
      </c>
      <c r="C806" t="s">
        <v>2508</v>
      </c>
      <c r="E806" t="s">
        <v>443</v>
      </c>
      <c r="F806" s="4">
        <v>1289.58</v>
      </c>
      <c r="G806" s="4">
        <v>1329.48</v>
      </c>
      <c r="H806" s="4">
        <v>1365.18</v>
      </c>
      <c r="I806" s="4">
        <v>1569.68</v>
      </c>
      <c r="J806" s="4">
        <v>817.09</v>
      </c>
      <c r="K806" s="4">
        <v>978.7</v>
      </c>
      <c r="L806" s="4">
        <v>1154.68</v>
      </c>
      <c r="M806" s="4">
        <v>1145.23</v>
      </c>
      <c r="N806" s="4">
        <f>SUM(Table1[[#This Row],[2025]:[2018]])</f>
        <v>9649.619999999999</v>
      </c>
      <c r="O806" s="2">
        <f>Table1[[#This Row],[ttl]]/SUM(Table1[ttl])</f>
        <v>1.9457773440001173E-5</v>
      </c>
      <c r="P806" s="3">
        <f>SUM($O$2:Table1[[#This Row],[pctAllTimeExp]])</f>
        <v>0.99384432270987055</v>
      </c>
      <c r="Q806" t="b">
        <f>Table1[[#This Row],[cumPctAllTimeExp]]&lt;0.95</f>
        <v>0</v>
      </c>
    </row>
    <row r="807" spans="1:17" x14ac:dyDescent="0.25">
      <c r="A807">
        <v>2269</v>
      </c>
      <c r="C807" t="s">
        <v>2508</v>
      </c>
      <c r="E807" t="s">
        <v>2271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9594</v>
      </c>
      <c r="N807" s="4">
        <f>SUM(Table1[[#This Row],[2025]:[2018]])</f>
        <v>9594</v>
      </c>
      <c r="O807" s="2">
        <f>Table1[[#This Row],[ttl]]/SUM(Table1[ttl])</f>
        <v>1.9345619659983636E-5</v>
      </c>
      <c r="P807" s="3">
        <f>SUM($O$2:Table1[[#This Row],[pctAllTimeExp]])</f>
        <v>0.99386366832953055</v>
      </c>
      <c r="Q807" t="b">
        <f>Table1[[#This Row],[cumPctAllTimeExp]]&lt;0.95</f>
        <v>0</v>
      </c>
    </row>
    <row r="808" spans="1:17" x14ac:dyDescent="0.25">
      <c r="A808">
        <v>828</v>
      </c>
      <c r="C808" t="s">
        <v>2508</v>
      </c>
      <c r="E808" t="s">
        <v>830</v>
      </c>
      <c r="F808" s="4">
        <v>0</v>
      </c>
      <c r="G808" s="4">
        <v>1108.76</v>
      </c>
      <c r="H808" s="4">
        <v>0</v>
      </c>
      <c r="I808" s="4">
        <v>8460</v>
      </c>
      <c r="J808" s="4">
        <v>0</v>
      </c>
      <c r="K808" s="4">
        <v>0</v>
      </c>
      <c r="L808" s="4">
        <v>0</v>
      </c>
      <c r="M808" s="4">
        <v>0</v>
      </c>
      <c r="N808" s="4">
        <f>SUM(Table1[[#This Row],[2025]:[2018]])</f>
        <v>9568.76</v>
      </c>
      <c r="O808" s="2">
        <f>Table1[[#This Row],[ttl]]/SUM(Table1[ttl])</f>
        <v>1.9294724992460392E-5</v>
      </c>
      <c r="P808" s="3">
        <f>SUM($O$2:Table1[[#This Row],[pctAllTimeExp]])</f>
        <v>0.99388296305452306</v>
      </c>
      <c r="Q808" t="b">
        <f>Table1[[#This Row],[cumPctAllTimeExp]]&lt;0.95</f>
        <v>0</v>
      </c>
    </row>
    <row r="809" spans="1:17" x14ac:dyDescent="0.25">
      <c r="A809">
        <v>651</v>
      </c>
      <c r="C809" t="s">
        <v>2508</v>
      </c>
      <c r="E809" t="s">
        <v>653</v>
      </c>
      <c r="F809" s="4">
        <v>150</v>
      </c>
      <c r="G809" s="4">
        <v>3446.68</v>
      </c>
      <c r="H809" s="4">
        <v>0</v>
      </c>
      <c r="I809" s="4">
        <v>1032.1099999999999</v>
      </c>
      <c r="J809" s="4">
        <v>634.25</v>
      </c>
      <c r="K809" s="4">
        <v>999.25</v>
      </c>
      <c r="L809" s="4">
        <v>2053.6</v>
      </c>
      <c r="M809" s="4">
        <v>1248</v>
      </c>
      <c r="N809" s="4">
        <f>SUM(Table1[[#This Row],[2025]:[2018]])</f>
        <v>9563.89</v>
      </c>
      <c r="O809" s="2">
        <f>Table1[[#This Row],[ttl]]/SUM(Table1[ttl])</f>
        <v>1.9284904983314663E-5</v>
      </c>
      <c r="P809" s="3">
        <f>SUM($O$2:Table1[[#This Row],[pctAllTimeExp]])</f>
        <v>0.99390224795950632</v>
      </c>
      <c r="Q809" t="b">
        <f>Table1[[#This Row],[cumPctAllTimeExp]]&lt;0.95</f>
        <v>0</v>
      </c>
    </row>
    <row r="810" spans="1:17" x14ac:dyDescent="0.25">
      <c r="A810">
        <v>783</v>
      </c>
      <c r="C810" t="s">
        <v>2508</v>
      </c>
      <c r="E810" t="s">
        <v>785</v>
      </c>
      <c r="F810" s="4">
        <v>0</v>
      </c>
      <c r="G810" s="4">
        <v>3200</v>
      </c>
      <c r="H810" s="4">
        <v>1600</v>
      </c>
      <c r="I810" s="4">
        <v>1000</v>
      </c>
      <c r="J810" s="4">
        <v>1000</v>
      </c>
      <c r="K810" s="4">
        <v>1000</v>
      </c>
      <c r="L810" s="4">
        <v>850</v>
      </c>
      <c r="M810" s="4">
        <v>850</v>
      </c>
      <c r="N810" s="4">
        <f>SUM(Table1[[#This Row],[2025]:[2018]])</f>
        <v>9500</v>
      </c>
      <c r="O810" s="2">
        <f>Table1[[#This Row],[ttl]]/SUM(Table1[ttl])</f>
        <v>1.9156075335610228E-5</v>
      </c>
      <c r="P810" s="3">
        <f>SUM($O$2:Table1[[#This Row],[pctAllTimeExp]])</f>
        <v>0.99392140403484197</v>
      </c>
      <c r="Q810" t="b">
        <f>Table1[[#This Row],[cumPctAllTimeExp]]&lt;0.95</f>
        <v>0</v>
      </c>
    </row>
    <row r="811" spans="1:17" x14ac:dyDescent="0.25">
      <c r="A811">
        <v>1012</v>
      </c>
      <c r="C811" t="s">
        <v>2508</v>
      </c>
      <c r="E811" t="s">
        <v>1014</v>
      </c>
      <c r="F811" s="4">
        <v>0</v>
      </c>
      <c r="G811" s="4">
        <v>0</v>
      </c>
      <c r="H811" s="4">
        <v>9492.68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f>SUM(Table1[[#This Row],[2025]:[2018]])</f>
        <v>9492.68</v>
      </c>
      <c r="O811" s="2">
        <f>Table1[[#This Row],[ttl]]/SUM(Table1[ttl])</f>
        <v>1.9141315075456897E-5</v>
      </c>
      <c r="P811" s="3">
        <f>SUM($O$2:Table1[[#This Row],[pctAllTimeExp]])</f>
        <v>0.99394054534991738</v>
      </c>
      <c r="Q811" t="b">
        <f>Table1[[#This Row],[cumPctAllTimeExp]]&lt;0.95</f>
        <v>0</v>
      </c>
    </row>
    <row r="812" spans="1:17" x14ac:dyDescent="0.25">
      <c r="A812">
        <v>1221</v>
      </c>
      <c r="C812" t="s">
        <v>2508</v>
      </c>
      <c r="E812" t="s">
        <v>1223</v>
      </c>
      <c r="F812" s="4">
        <v>0</v>
      </c>
      <c r="G812" s="4">
        <v>0</v>
      </c>
      <c r="H812" s="4">
        <v>0</v>
      </c>
      <c r="I812" s="4">
        <v>9450</v>
      </c>
      <c r="J812" s="4">
        <v>0</v>
      </c>
      <c r="K812" s="4">
        <v>0</v>
      </c>
      <c r="L812" s="4">
        <v>0</v>
      </c>
      <c r="M812" s="4">
        <v>0</v>
      </c>
      <c r="N812" s="4">
        <f>SUM(Table1[[#This Row],[2025]:[2018]])</f>
        <v>9450</v>
      </c>
      <c r="O812" s="2">
        <f>Table1[[#This Row],[ttl]]/SUM(Table1[ttl])</f>
        <v>1.9055253886475438E-5</v>
      </c>
      <c r="P812" s="3">
        <f>SUM($O$2:Table1[[#This Row],[pctAllTimeExp]])</f>
        <v>0.99395960060380384</v>
      </c>
      <c r="Q812" t="b">
        <f>Table1[[#This Row],[cumPctAllTimeExp]]&lt;0.95</f>
        <v>0</v>
      </c>
    </row>
    <row r="813" spans="1:17" x14ac:dyDescent="0.25">
      <c r="A813">
        <v>662</v>
      </c>
      <c r="C813" t="s">
        <v>2508</v>
      </c>
      <c r="E813" t="s">
        <v>664</v>
      </c>
      <c r="F813" s="4">
        <v>110</v>
      </c>
      <c r="G813" s="4">
        <v>208</v>
      </c>
      <c r="H813" s="4">
        <v>208</v>
      </c>
      <c r="I813" s="4">
        <v>208</v>
      </c>
      <c r="J813" s="4">
        <v>8671.9599999999991</v>
      </c>
      <c r="K813" s="4">
        <v>0</v>
      </c>
      <c r="L813" s="4">
        <v>0</v>
      </c>
      <c r="M813" s="4">
        <v>0</v>
      </c>
      <c r="N813" s="4">
        <f>SUM(Table1[[#This Row],[2025]:[2018]])</f>
        <v>9405.9599999999991</v>
      </c>
      <c r="O813" s="2">
        <f>Table1[[#This Row],[ttl]]/SUM(Table1[ttl])</f>
        <v>1.8966450354077511E-5</v>
      </c>
      <c r="P813" s="3">
        <f>SUM($O$2:Table1[[#This Row],[pctAllTimeExp]])</f>
        <v>0.99397856705415788</v>
      </c>
      <c r="Q813" t="b">
        <f>Table1[[#This Row],[cumPctAllTimeExp]]&lt;0.95</f>
        <v>0</v>
      </c>
    </row>
    <row r="814" spans="1:17" x14ac:dyDescent="0.25">
      <c r="A814">
        <v>860</v>
      </c>
      <c r="C814" t="s">
        <v>2508</v>
      </c>
      <c r="E814" t="s">
        <v>862</v>
      </c>
      <c r="F814" s="4">
        <v>0</v>
      </c>
      <c r="G814" s="4">
        <v>615</v>
      </c>
      <c r="H814" s="4">
        <v>0</v>
      </c>
      <c r="I814" s="4">
        <v>8786.94</v>
      </c>
      <c r="J814" s="4">
        <v>0</v>
      </c>
      <c r="K814" s="4">
        <v>0</v>
      </c>
      <c r="L814" s="4">
        <v>0</v>
      </c>
      <c r="M814" s="4">
        <v>0</v>
      </c>
      <c r="N814" s="4">
        <f>SUM(Table1[[#This Row],[2025]:[2018]])</f>
        <v>9401.94</v>
      </c>
      <c r="O814" s="2">
        <f>Table1[[#This Row],[ttl]]/SUM(Table1[ttl])</f>
        <v>1.8958344309567077E-5</v>
      </c>
      <c r="P814" s="3">
        <f>SUM($O$2:Table1[[#This Row],[pctAllTimeExp]])</f>
        <v>0.99399752539846742</v>
      </c>
      <c r="Q814" t="b">
        <f>Table1[[#This Row],[cumPctAllTimeExp]]&lt;0.95</f>
        <v>0</v>
      </c>
    </row>
    <row r="815" spans="1:17" x14ac:dyDescent="0.25">
      <c r="A815">
        <v>683</v>
      </c>
      <c r="C815" t="s">
        <v>2508</v>
      </c>
      <c r="E815" t="s">
        <v>685</v>
      </c>
      <c r="F815" s="4">
        <v>26.09</v>
      </c>
      <c r="G815" s="4">
        <v>0</v>
      </c>
      <c r="H815" s="4">
        <v>0</v>
      </c>
      <c r="I815" s="4">
        <v>0</v>
      </c>
      <c r="J815" s="4">
        <v>453.56</v>
      </c>
      <c r="K815" s="4">
        <v>830.56</v>
      </c>
      <c r="L815" s="4">
        <v>205.4</v>
      </c>
      <c r="M815" s="4">
        <v>7865.42</v>
      </c>
      <c r="N815" s="4">
        <f>SUM(Table1[[#This Row],[2025]:[2018]])</f>
        <v>9381.0300000000007</v>
      </c>
      <c r="O815" s="2">
        <f>Table1[[#This Row],[ttl]]/SUM(Table1[ttl])</f>
        <v>1.8916180779538908E-5</v>
      </c>
      <c r="P815" s="3">
        <f>SUM($O$2:Table1[[#This Row],[pctAllTimeExp]])</f>
        <v>0.99401644157924696</v>
      </c>
      <c r="Q815" t="b">
        <f>Table1[[#This Row],[cumPctAllTimeExp]]&lt;0.95</f>
        <v>0</v>
      </c>
    </row>
    <row r="816" spans="1:17" x14ac:dyDescent="0.25">
      <c r="A816">
        <v>1058</v>
      </c>
      <c r="C816" t="s">
        <v>2508</v>
      </c>
      <c r="E816" t="s">
        <v>1060</v>
      </c>
      <c r="F816" s="4">
        <v>0</v>
      </c>
      <c r="G816" s="4">
        <v>0</v>
      </c>
      <c r="H816" s="4">
        <v>2727</v>
      </c>
      <c r="I816" s="4">
        <v>0</v>
      </c>
      <c r="J816" s="4">
        <v>1075</v>
      </c>
      <c r="K816" s="4">
        <v>0</v>
      </c>
      <c r="L816" s="4">
        <v>3687.5</v>
      </c>
      <c r="M816" s="4">
        <v>1800</v>
      </c>
      <c r="N816" s="4">
        <f>SUM(Table1[[#This Row],[2025]:[2018]])</f>
        <v>9289.5</v>
      </c>
      <c r="O816" s="2">
        <f>Table1[[#This Row],[ttl]]/SUM(Table1[ttl])</f>
        <v>1.8731617034752761E-5</v>
      </c>
      <c r="P816" s="3">
        <f>SUM($O$2:Table1[[#This Row],[pctAllTimeExp]])</f>
        <v>0.99403517319628176</v>
      </c>
      <c r="Q816" t="b">
        <f>Table1[[#This Row],[cumPctAllTimeExp]]&lt;0.95</f>
        <v>0</v>
      </c>
    </row>
    <row r="817" spans="1:17" x14ac:dyDescent="0.25">
      <c r="A817">
        <v>449</v>
      </c>
      <c r="C817" t="s">
        <v>2508</v>
      </c>
      <c r="E817" t="s">
        <v>451</v>
      </c>
      <c r="F817" s="4">
        <v>1220</v>
      </c>
      <c r="G817" s="4">
        <v>1570</v>
      </c>
      <c r="H817" s="4">
        <v>225</v>
      </c>
      <c r="I817" s="4">
        <v>1410</v>
      </c>
      <c r="J817" s="4">
        <v>4378</v>
      </c>
      <c r="K817" s="4">
        <v>375</v>
      </c>
      <c r="L817" s="4">
        <v>0</v>
      </c>
      <c r="M817" s="4">
        <v>0</v>
      </c>
      <c r="N817" s="4">
        <f>SUM(Table1[[#This Row],[2025]:[2018]])</f>
        <v>9178</v>
      </c>
      <c r="O817" s="2">
        <f>Table1[[#This Row],[ttl]]/SUM(Table1[ttl])</f>
        <v>1.8506785203182177E-5</v>
      </c>
      <c r="P817" s="3">
        <f>SUM($O$2:Table1[[#This Row],[pctAllTimeExp]])</f>
        <v>0.99405367998148497</v>
      </c>
      <c r="Q817" t="b">
        <f>Table1[[#This Row],[cumPctAllTimeExp]]&lt;0.95</f>
        <v>0</v>
      </c>
    </row>
    <row r="818" spans="1:17" x14ac:dyDescent="0.25">
      <c r="A818">
        <v>748</v>
      </c>
      <c r="C818" t="s">
        <v>2508</v>
      </c>
      <c r="E818" t="s">
        <v>750</v>
      </c>
      <c r="F818" s="4">
        <v>0</v>
      </c>
      <c r="G818" s="4">
        <v>9177.7000000000007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f>SUM(Table1[[#This Row],[2025]:[2018]])</f>
        <v>9177.7000000000007</v>
      </c>
      <c r="O818" s="2">
        <f>Table1[[#This Row],[ttl]]/SUM(Table1[ttl])</f>
        <v>1.850618027448737E-5</v>
      </c>
      <c r="P818" s="3">
        <f>SUM($O$2:Table1[[#This Row],[pctAllTimeExp]])</f>
        <v>0.99407218616175941</v>
      </c>
      <c r="Q818" t="b">
        <f>Table1[[#This Row],[cumPctAllTimeExp]]&lt;0.95</f>
        <v>0</v>
      </c>
    </row>
    <row r="819" spans="1:17" x14ac:dyDescent="0.25">
      <c r="A819">
        <v>418</v>
      </c>
      <c r="C819" t="s">
        <v>2508</v>
      </c>
      <c r="E819" t="s">
        <v>420</v>
      </c>
      <c r="F819" s="4">
        <v>1624</v>
      </c>
      <c r="G819" s="4">
        <v>3000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4500</v>
      </c>
      <c r="N819" s="4">
        <f>SUM(Table1[[#This Row],[2025]:[2018]])</f>
        <v>9124</v>
      </c>
      <c r="O819" s="2">
        <f>Table1[[#This Row],[ttl]]/SUM(Table1[ttl])</f>
        <v>1.8397898038116601E-5</v>
      </c>
      <c r="P819" s="3">
        <f>SUM($O$2:Table1[[#This Row],[pctAllTimeExp]])</f>
        <v>0.99409058405979756</v>
      </c>
      <c r="Q819" t="b">
        <f>Table1[[#This Row],[cumPctAllTimeExp]]&lt;0.95</f>
        <v>0</v>
      </c>
    </row>
    <row r="820" spans="1:17" x14ac:dyDescent="0.25">
      <c r="A820">
        <v>495</v>
      </c>
      <c r="C820" t="s">
        <v>2508</v>
      </c>
      <c r="E820" t="s">
        <v>497</v>
      </c>
      <c r="F820" s="4">
        <v>832</v>
      </c>
      <c r="G820" s="4">
        <v>2465.1999999999998</v>
      </c>
      <c r="H820" s="4">
        <v>0</v>
      </c>
      <c r="I820" s="4">
        <v>940.6</v>
      </c>
      <c r="J820" s="4">
        <v>1319.79</v>
      </c>
      <c r="K820" s="4">
        <v>1132.82</v>
      </c>
      <c r="L820" s="4">
        <v>977.26</v>
      </c>
      <c r="M820" s="4">
        <v>1401.2</v>
      </c>
      <c r="N820" s="4">
        <f>SUM(Table1[[#This Row],[2025]:[2018]])</f>
        <v>9068.8700000000008</v>
      </c>
      <c r="O820" s="2">
        <f>Table1[[#This Row],[ttl]]/SUM(Table1[ttl])</f>
        <v>1.8286732308300585E-5</v>
      </c>
      <c r="P820" s="3">
        <f>SUM($O$2:Table1[[#This Row],[pctAllTimeExp]])</f>
        <v>0.99410887079210586</v>
      </c>
      <c r="Q820" t="b">
        <f>Table1[[#This Row],[cumPctAllTimeExp]]&lt;0.95</f>
        <v>0</v>
      </c>
    </row>
    <row r="821" spans="1:17" x14ac:dyDescent="0.25">
      <c r="A821">
        <v>232</v>
      </c>
      <c r="C821" t="s">
        <v>2508</v>
      </c>
      <c r="E821" t="s">
        <v>234</v>
      </c>
      <c r="F821" s="4">
        <v>9046.94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f>SUM(Table1[[#This Row],[2025]:[2018]])</f>
        <v>9046.94</v>
      </c>
      <c r="O821" s="2">
        <f>Table1[[#This Row],[ttl]]/SUM(Table1[ttl])</f>
        <v>1.8242512020710064E-5</v>
      </c>
      <c r="P821" s="3">
        <f>SUM($O$2:Table1[[#This Row],[pctAllTimeExp]])</f>
        <v>0.99412711330412662</v>
      </c>
      <c r="Q821" t="b">
        <f>Table1[[#This Row],[cumPctAllTimeExp]]&lt;0.95</f>
        <v>0</v>
      </c>
    </row>
    <row r="822" spans="1:17" x14ac:dyDescent="0.25">
      <c r="A822">
        <v>750</v>
      </c>
      <c r="C822" t="s">
        <v>2508</v>
      </c>
      <c r="E822" t="s">
        <v>752</v>
      </c>
      <c r="F822" s="4">
        <v>0</v>
      </c>
      <c r="G822" s="4">
        <v>8855.36</v>
      </c>
      <c r="H822" s="4">
        <v>0</v>
      </c>
      <c r="I822" s="4">
        <v>0</v>
      </c>
      <c r="J822" s="4">
        <v>0</v>
      </c>
      <c r="K822" s="4">
        <v>164.68</v>
      </c>
      <c r="L822" s="4">
        <v>0</v>
      </c>
      <c r="M822" s="4">
        <v>0</v>
      </c>
      <c r="N822" s="4">
        <f>SUM(Table1[[#This Row],[2025]:[2018]])</f>
        <v>9020.0400000000009</v>
      </c>
      <c r="O822" s="2">
        <f>Table1[[#This Row],[ttl]]/SUM(Table1[ttl])</f>
        <v>1.8188270081075549E-5</v>
      </c>
      <c r="P822" s="3">
        <f>SUM($O$2:Table1[[#This Row],[pctAllTimeExp]])</f>
        <v>0.99414530157420766</v>
      </c>
      <c r="Q822" t="b">
        <f>Table1[[#This Row],[cumPctAllTimeExp]]&lt;0.95</f>
        <v>0</v>
      </c>
    </row>
    <row r="823" spans="1:17" x14ac:dyDescent="0.25">
      <c r="A823">
        <v>1457</v>
      </c>
      <c r="C823" t="s">
        <v>2508</v>
      </c>
      <c r="E823" t="s">
        <v>1459</v>
      </c>
      <c r="F823" s="4">
        <v>0</v>
      </c>
      <c r="G823" s="4">
        <v>0</v>
      </c>
      <c r="H823" s="4">
        <v>0</v>
      </c>
      <c r="I823" s="4">
        <v>0</v>
      </c>
      <c r="J823" s="4">
        <v>3000</v>
      </c>
      <c r="K823" s="4">
        <v>0</v>
      </c>
      <c r="L823" s="4">
        <v>3000</v>
      </c>
      <c r="M823" s="4">
        <v>3000</v>
      </c>
      <c r="N823" s="4">
        <f>SUM(Table1[[#This Row],[2025]:[2018]])</f>
        <v>9000</v>
      </c>
      <c r="O823" s="2">
        <f>Table1[[#This Row],[ttl]]/SUM(Table1[ttl])</f>
        <v>1.8147860844262323E-5</v>
      </c>
      <c r="P823" s="3">
        <f>SUM($O$2:Table1[[#This Row],[pctAllTimeExp]])</f>
        <v>0.99416344943505197</v>
      </c>
      <c r="Q823" t="b">
        <f>Table1[[#This Row],[cumPctAllTimeExp]]&lt;0.95</f>
        <v>0</v>
      </c>
    </row>
    <row r="824" spans="1:17" x14ac:dyDescent="0.25">
      <c r="A824">
        <v>1695</v>
      </c>
      <c r="C824" t="s">
        <v>2508</v>
      </c>
      <c r="E824" t="s">
        <v>1697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9000</v>
      </c>
      <c r="L824" s="4">
        <v>0</v>
      </c>
      <c r="M824" s="4">
        <v>0</v>
      </c>
      <c r="N824" s="4">
        <f>SUM(Table1[[#This Row],[2025]:[2018]])</f>
        <v>9000</v>
      </c>
      <c r="O824" s="2">
        <f>Table1[[#This Row],[ttl]]/SUM(Table1[ttl])</f>
        <v>1.8147860844262323E-5</v>
      </c>
      <c r="P824" s="3">
        <f>SUM($O$2:Table1[[#This Row],[pctAllTimeExp]])</f>
        <v>0.99418159729589628</v>
      </c>
      <c r="Q824" t="b">
        <f>Table1[[#This Row],[cumPctAllTimeExp]]&lt;0.95</f>
        <v>0</v>
      </c>
    </row>
    <row r="825" spans="1:17" x14ac:dyDescent="0.25">
      <c r="A825">
        <v>1696</v>
      </c>
      <c r="C825" t="s">
        <v>2508</v>
      </c>
      <c r="E825" t="s">
        <v>1698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8982</v>
      </c>
      <c r="L825" s="4">
        <v>0</v>
      </c>
      <c r="M825" s="4">
        <v>0</v>
      </c>
      <c r="N825" s="4">
        <f>SUM(Table1[[#This Row],[2025]:[2018]])</f>
        <v>8982</v>
      </c>
      <c r="O825" s="2">
        <f>Table1[[#This Row],[ttl]]/SUM(Table1[ttl])</f>
        <v>1.8111565122573798E-5</v>
      </c>
      <c r="P825" s="3">
        <f>SUM($O$2:Table1[[#This Row],[pctAllTimeExp]])</f>
        <v>0.99419970886101883</v>
      </c>
      <c r="Q825" t="b">
        <f>Table1[[#This Row],[cumPctAllTimeExp]]&lt;0.95</f>
        <v>0</v>
      </c>
    </row>
    <row r="826" spans="1:17" x14ac:dyDescent="0.25">
      <c r="A826">
        <v>234</v>
      </c>
      <c r="C826" t="s">
        <v>2508</v>
      </c>
      <c r="E826" t="s">
        <v>236</v>
      </c>
      <c r="F826" s="4">
        <v>8935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f>SUM(Table1[[#This Row],[2025]:[2018]])</f>
        <v>8935</v>
      </c>
      <c r="O826" s="2">
        <f>Table1[[#This Row],[ttl]]/SUM(Table1[ttl])</f>
        <v>1.8016792960387092E-5</v>
      </c>
      <c r="P826" s="3">
        <f>SUM($O$2:Table1[[#This Row],[pctAllTimeExp]])</f>
        <v>0.99421772565397926</v>
      </c>
      <c r="Q826" t="b">
        <f>Table1[[#This Row],[cumPctAllTimeExp]]&lt;0.95</f>
        <v>0</v>
      </c>
    </row>
    <row r="827" spans="1:17" x14ac:dyDescent="0.25">
      <c r="A827">
        <v>1022</v>
      </c>
      <c r="C827" t="s">
        <v>2508</v>
      </c>
      <c r="E827" t="s">
        <v>1024</v>
      </c>
      <c r="F827" s="4">
        <v>0</v>
      </c>
      <c r="G827" s="4">
        <v>0</v>
      </c>
      <c r="H827" s="4">
        <v>7233.11</v>
      </c>
      <c r="I827" s="4">
        <v>1445.33</v>
      </c>
      <c r="J827" s="4">
        <v>221.38</v>
      </c>
      <c r="K827" s="4">
        <v>0</v>
      </c>
      <c r="L827" s="4">
        <v>0</v>
      </c>
      <c r="M827" s="4">
        <v>0</v>
      </c>
      <c r="N827" s="4">
        <f>SUM(Table1[[#This Row],[2025]:[2018]])</f>
        <v>8899.8199999999979</v>
      </c>
      <c r="O827" s="2">
        <f>Table1[[#This Row],[ttl]]/SUM(Table1[ttl])</f>
        <v>1.7945854988775852E-5</v>
      </c>
      <c r="P827" s="3">
        <f>SUM($O$2:Table1[[#This Row],[pctAllTimeExp]])</f>
        <v>0.99423567150896808</v>
      </c>
      <c r="Q827" t="b">
        <f>Table1[[#This Row],[cumPctAllTimeExp]]&lt;0.95</f>
        <v>0</v>
      </c>
    </row>
    <row r="828" spans="1:17" x14ac:dyDescent="0.25">
      <c r="A828">
        <v>824</v>
      </c>
      <c r="C828" t="s">
        <v>2508</v>
      </c>
      <c r="E828" t="s">
        <v>826</v>
      </c>
      <c r="F828" s="4">
        <v>0</v>
      </c>
      <c r="G828" s="4">
        <v>1275</v>
      </c>
      <c r="H828" s="4">
        <v>953</v>
      </c>
      <c r="I828" s="4">
        <v>725</v>
      </c>
      <c r="J828" s="4">
        <v>860</v>
      </c>
      <c r="K828" s="4">
        <v>1872</v>
      </c>
      <c r="L828" s="4">
        <v>2036</v>
      </c>
      <c r="M828" s="4">
        <v>1154</v>
      </c>
      <c r="N828" s="4">
        <f>SUM(Table1[[#This Row],[2025]:[2018]])</f>
        <v>8875</v>
      </c>
      <c r="O828" s="2">
        <f>Table1[[#This Row],[ttl]]/SUM(Table1[ttl])</f>
        <v>1.7895807221425344E-5</v>
      </c>
      <c r="P828" s="3">
        <f>SUM($O$2:Table1[[#This Row],[pctAllTimeExp]])</f>
        <v>0.99425356731618952</v>
      </c>
      <c r="Q828" t="b">
        <f>Table1[[#This Row],[cumPctAllTimeExp]]&lt;0.95</f>
        <v>0</v>
      </c>
    </row>
    <row r="829" spans="1:17" x14ac:dyDescent="0.25">
      <c r="A829">
        <v>2270</v>
      </c>
      <c r="C829" t="s">
        <v>2508</v>
      </c>
      <c r="E829" t="s">
        <v>2272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8851.2000000000007</v>
      </c>
      <c r="N829" s="4">
        <f>SUM(Table1[[#This Row],[2025]:[2018]])</f>
        <v>8851.2000000000007</v>
      </c>
      <c r="O829" s="2">
        <f>Table1[[#This Row],[ttl]]/SUM(Table1[ttl])</f>
        <v>1.7847816211637185E-5</v>
      </c>
      <c r="P829" s="3">
        <f>SUM($O$2:Table1[[#This Row],[pctAllTimeExp]])</f>
        <v>0.99427141513240114</v>
      </c>
      <c r="Q829" t="b">
        <f>Table1[[#This Row],[cumPctAllTimeExp]]&lt;0.95</f>
        <v>0</v>
      </c>
    </row>
    <row r="830" spans="1:17" x14ac:dyDescent="0.25">
      <c r="A830">
        <v>1999</v>
      </c>
      <c r="C830" t="s">
        <v>2508</v>
      </c>
      <c r="E830" t="s">
        <v>2001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8846.14</v>
      </c>
      <c r="M830" s="4">
        <v>0</v>
      </c>
      <c r="N830" s="4">
        <f>SUM(Table1[[#This Row],[2025]:[2018]])</f>
        <v>8846.14</v>
      </c>
      <c r="O830" s="2">
        <f>Table1[[#This Row],[ttl]]/SUM(Table1[ttl])</f>
        <v>1.7837613080984741E-5</v>
      </c>
      <c r="P830" s="3">
        <f>SUM($O$2:Table1[[#This Row],[pctAllTimeExp]])</f>
        <v>0.99428925274548208</v>
      </c>
      <c r="Q830" t="b">
        <f>Table1[[#This Row],[cumPctAllTimeExp]]&lt;0.95</f>
        <v>0</v>
      </c>
    </row>
    <row r="831" spans="1:17" x14ac:dyDescent="0.25">
      <c r="A831">
        <v>1719</v>
      </c>
      <c r="C831" t="s">
        <v>2508</v>
      </c>
      <c r="E831" t="s">
        <v>1721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4045</v>
      </c>
      <c r="L831" s="4">
        <v>0</v>
      </c>
      <c r="M831" s="4">
        <v>4800</v>
      </c>
      <c r="N831" s="4">
        <f>SUM(Table1[[#This Row],[2025]:[2018]])</f>
        <v>8845</v>
      </c>
      <c r="O831" s="2">
        <f>Table1[[#This Row],[ttl]]/SUM(Table1[ttl])</f>
        <v>1.783531435194447E-5</v>
      </c>
      <c r="P831" s="3">
        <f>SUM($O$2:Table1[[#This Row],[pctAllTimeExp]])</f>
        <v>0.99430708805983403</v>
      </c>
      <c r="Q831" t="b">
        <f>Table1[[#This Row],[cumPctAllTimeExp]]&lt;0.95</f>
        <v>0</v>
      </c>
    </row>
    <row r="832" spans="1:17" x14ac:dyDescent="0.25">
      <c r="A832">
        <v>1430</v>
      </c>
      <c r="C832" t="s">
        <v>2508</v>
      </c>
      <c r="E832" t="s">
        <v>1432</v>
      </c>
      <c r="F832" s="4">
        <v>0</v>
      </c>
      <c r="G832" s="4">
        <v>0</v>
      </c>
      <c r="H832" s="4">
        <v>0</v>
      </c>
      <c r="I832" s="4">
        <v>0</v>
      </c>
      <c r="J832" s="4">
        <v>8834.9599999999991</v>
      </c>
      <c r="K832" s="4">
        <v>0</v>
      </c>
      <c r="L832" s="4">
        <v>0</v>
      </c>
      <c r="M832" s="4">
        <v>0</v>
      </c>
      <c r="N832" s="4">
        <f>SUM(Table1[[#This Row],[2025]:[2018]])</f>
        <v>8834.9599999999991</v>
      </c>
      <c r="O832" s="2">
        <f>Table1[[#This Row],[ttl]]/SUM(Table1[ttl])</f>
        <v>1.7815069404958202E-5</v>
      </c>
      <c r="P832" s="3">
        <f>SUM($O$2:Table1[[#This Row],[pctAllTimeExp]])</f>
        <v>0.99432490312923894</v>
      </c>
      <c r="Q832" t="b">
        <f>Table1[[#This Row],[cumPctAllTimeExp]]&lt;0.95</f>
        <v>0</v>
      </c>
    </row>
    <row r="833" spans="1:17" x14ac:dyDescent="0.25">
      <c r="A833">
        <v>1015</v>
      </c>
      <c r="C833" t="s">
        <v>2508</v>
      </c>
      <c r="E833" t="s">
        <v>1017</v>
      </c>
      <c r="F833" s="4">
        <v>0</v>
      </c>
      <c r="G833" s="4">
        <v>0</v>
      </c>
      <c r="H833" s="4">
        <v>8775.76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f>SUM(Table1[[#This Row],[2025]:[2018]])</f>
        <v>8775.76</v>
      </c>
      <c r="O833" s="2">
        <f>Table1[[#This Row],[ttl]]/SUM(Table1[ttl])</f>
        <v>1.7695696809182612E-5</v>
      </c>
      <c r="P833" s="3">
        <f>SUM($O$2:Table1[[#This Row],[pctAllTimeExp]])</f>
        <v>0.99434259882604814</v>
      </c>
      <c r="Q833" t="b">
        <f>Table1[[#This Row],[cumPctAllTimeExp]]&lt;0.95</f>
        <v>0</v>
      </c>
    </row>
    <row r="834" spans="1:17" x14ac:dyDescent="0.25">
      <c r="A834">
        <v>770</v>
      </c>
      <c r="C834" t="s">
        <v>2508</v>
      </c>
      <c r="E834" t="s">
        <v>772</v>
      </c>
      <c r="F834" s="4">
        <v>0</v>
      </c>
      <c r="G834" s="4">
        <v>4571.8599999999997</v>
      </c>
      <c r="H834" s="4">
        <v>2194.5100000000002</v>
      </c>
      <c r="I834" s="4">
        <v>1983.08</v>
      </c>
      <c r="J834" s="4">
        <v>0</v>
      </c>
      <c r="K834" s="4">
        <v>0</v>
      </c>
      <c r="L834" s="4">
        <v>0</v>
      </c>
      <c r="M834" s="4">
        <v>0</v>
      </c>
      <c r="N834" s="4">
        <f>SUM(Table1[[#This Row],[2025]:[2018]])</f>
        <v>8749.4500000000007</v>
      </c>
      <c r="O834" s="2">
        <f>Table1[[#This Row],[ttl]]/SUM(Table1[ttl])</f>
        <v>1.7642644562647886E-5</v>
      </c>
      <c r="P834" s="3">
        <f>SUM($O$2:Table1[[#This Row],[pctAllTimeExp]])</f>
        <v>0.99436024147061075</v>
      </c>
      <c r="Q834" t="b">
        <f>Table1[[#This Row],[cumPctAllTimeExp]]&lt;0.95</f>
        <v>0</v>
      </c>
    </row>
    <row r="835" spans="1:17" x14ac:dyDescent="0.25">
      <c r="A835">
        <v>1057</v>
      </c>
      <c r="C835" t="s">
        <v>2508</v>
      </c>
      <c r="E835" t="s">
        <v>1059</v>
      </c>
      <c r="F835" s="4">
        <v>0</v>
      </c>
      <c r="G835" s="4">
        <v>0</v>
      </c>
      <c r="H835" s="4">
        <v>2825</v>
      </c>
      <c r="I835" s="4">
        <v>0</v>
      </c>
      <c r="J835" s="4">
        <v>5839</v>
      </c>
      <c r="K835" s="4">
        <v>0</v>
      </c>
      <c r="L835" s="4">
        <v>0</v>
      </c>
      <c r="M835" s="4">
        <v>0</v>
      </c>
      <c r="N835" s="4">
        <f>SUM(Table1[[#This Row],[2025]:[2018]])</f>
        <v>8664</v>
      </c>
      <c r="O835" s="2">
        <f>Table1[[#This Row],[ttl]]/SUM(Table1[ttl])</f>
        <v>1.7470340706076528E-5</v>
      </c>
      <c r="P835" s="3">
        <f>SUM($O$2:Table1[[#This Row],[pctAllTimeExp]])</f>
        <v>0.99437771181131684</v>
      </c>
      <c r="Q835" t="b">
        <f>Table1[[#This Row],[cumPctAllTimeExp]]&lt;0.95</f>
        <v>0</v>
      </c>
    </row>
    <row r="836" spans="1:17" x14ac:dyDescent="0.25">
      <c r="A836">
        <v>380</v>
      </c>
      <c r="C836" t="s">
        <v>2508</v>
      </c>
      <c r="E836" t="s">
        <v>382</v>
      </c>
      <c r="F836" s="4">
        <v>2300</v>
      </c>
      <c r="G836" s="4">
        <v>1500</v>
      </c>
      <c r="H836" s="4">
        <v>1850</v>
      </c>
      <c r="I836" s="4">
        <v>500</v>
      </c>
      <c r="J836" s="4">
        <v>1000</v>
      </c>
      <c r="K836" s="4">
        <v>0</v>
      </c>
      <c r="L836" s="4">
        <v>1500</v>
      </c>
      <c r="M836" s="4">
        <v>0</v>
      </c>
      <c r="N836" s="4">
        <f>SUM(Table1[[#This Row],[2025]:[2018]])</f>
        <v>8650</v>
      </c>
      <c r="O836" s="2">
        <f>Table1[[#This Row],[ttl]]/SUM(Table1[ttl])</f>
        <v>1.7442110700318788E-5</v>
      </c>
      <c r="P836" s="3">
        <f>SUM($O$2:Table1[[#This Row],[pctAllTimeExp]])</f>
        <v>0.99439515392201716</v>
      </c>
      <c r="Q836" t="b">
        <f>Table1[[#This Row],[cumPctAllTimeExp]]&lt;0.95</f>
        <v>0</v>
      </c>
    </row>
    <row r="837" spans="1:17" x14ac:dyDescent="0.25">
      <c r="A837">
        <v>752</v>
      </c>
      <c r="C837" t="s">
        <v>2508</v>
      </c>
      <c r="E837" t="s">
        <v>754</v>
      </c>
      <c r="F837" s="4">
        <v>0</v>
      </c>
      <c r="G837" s="4">
        <v>8575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f>SUM(Table1[[#This Row],[2025]:[2018]])</f>
        <v>8575</v>
      </c>
      <c r="O837" s="2">
        <f>Table1[[#This Row],[ttl]]/SUM(Table1[ttl])</f>
        <v>1.7290878526616599E-5</v>
      </c>
      <c r="P837" s="3">
        <f>SUM($O$2:Table1[[#This Row],[pctAllTimeExp]])</f>
        <v>0.9944124448005438</v>
      </c>
      <c r="Q837" t="b">
        <f>Table1[[#This Row],[cumPctAllTimeExp]]&lt;0.95</f>
        <v>0</v>
      </c>
    </row>
    <row r="838" spans="1:17" x14ac:dyDescent="0.25">
      <c r="A838">
        <v>1016</v>
      </c>
      <c r="C838" t="s">
        <v>2508</v>
      </c>
      <c r="E838" t="s">
        <v>1018</v>
      </c>
      <c r="F838" s="4">
        <v>0</v>
      </c>
      <c r="G838" s="4">
        <v>0</v>
      </c>
      <c r="H838" s="4">
        <v>8571.8700000000008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f>SUM(Table1[[#This Row],[2025]:[2018]])</f>
        <v>8571.8700000000008</v>
      </c>
      <c r="O838" s="2">
        <f>Table1[[#This Row],[ttl]]/SUM(Table1[ttl])</f>
        <v>1.7284567103900765E-5</v>
      </c>
      <c r="P838" s="3">
        <f>SUM($O$2:Table1[[#This Row],[pctAllTimeExp]])</f>
        <v>0.99442972936764773</v>
      </c>
      <c r="Q838" t="b">
        <f>Table1[[#This Row],[cumPctAllTimeExp]]&lt;0.95</f>
        <v>0</v>
      </c>
    </row>
    <row r="839" spans="1:17" x14ac:dyDescent="0.25">
      <c r="A839">
        <v>237</v>
      </c>
      <c r="C839" t="s">
        <v>2508</v>
      </c>
      <c r="E839" t="s">
        <v>239</v>
      </c>
      <c r="F839" s="4">
        <v>8500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f>SUM(Table1[[#This Row],[2025]:[2018]])</f>
        <v>8500</v>
      </c>
      <c r="O839" s="2">
        <f>Table1[[#This Row],[ttl]]/SUM(Table1[ttl])</f>
        <v>1.7139646352914414E-5</v>
      </c>
      <c r="P839" s="3">
        <f>SUM($O$2:Table1[[#This Row],[pctAllTimeExp]])</f>
        <v>0.99444686901400059</v>
      </c>
      <c r="Q839" t="b">
        <f>Table1[[#This Row],[cumPctAllTimeExp]]&lt;0.95</f>
        <v>0</v>
      </c>
    </row>
    <row r="840" spans="1:17" x14ac:dyDescent="0.25">
      <c r="A840">
        <v>2271</v>
      </c>
      <c r="C840" t="s">
        <v>2508</v>
      </c>
      <c r="E840" t="s">
        <v>2273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8500</v>
      </c>
      <c r="N840" s="4">
        <f>SUM(Table1[[#This Row],[2025]:[2018]])</f>
        <v>8500</v>
      </c>
      <c r="O840" s="2">
        <f>Table1[[#This Row],[ttl]]/SUM(Table1[ttl])</f>
        <v>1.7139646352914414E-5</v>
      </c>
      <c r="P840" s="3">
        <f>SUM($O$2:Table1[[#This Row],[pctAllTimeExp]])</f>
        <v>0.99446400866035345</v>
      </c>
      <c r="Q840" t="b">
        <f>Table1[[#This Row],[cumPctAllTimeExp]]&lt;0.95</f>
        <v>0</v>
      </c>
    </row>
    <row r="841" spans="1:17" x14ac:dyDescent="0.25">
      <c r="A841">
        <v>478</v>
      </c>
      <c r="C841" t="s">
        <v>2508</v>
      </c>
      <c r="E841" t="s">
        <v>480</v>
      </c>
      <c r="F841" s="4">
        <v>979.86</v>
      </c>
      <c r="G841" s="4">
        <v>1162</v>
      </c>
      <c r="H841" s="4">
        <v>1229.9100000000001</v>
      </c>
      <c r="I841" s="4">
        <v>794.36</v>
      </c>
      <c r="J841" s="4">
        <v>762.95</v>
      </c>
      <c r="K841" s="4">
        <v>1247.8499999999999</v>
      </c>
      <c r="L841" s="4">
        <v>944.99</v>
      </c>
      <c r="M841" s="4">
        <v>1375.77</v>
      </c>
      <c r="N841" s="4">
        <f>SUM(Table1[[#This Row],[2025]:[2018]])</f>
        <v>8497.69</v>
      </c>
      <c r="O841" s="2">
        <f>Table1[[#This Row],[ttl]]/SUM(Table1[ttl])</f>
        <v>1.7134988401964389E-5</v>
      </c>
      <c r="P841" s="3">
        <f>SUM($O$2:Table1[[#This Row],[pctAllTimeExp]])</f>
        <v>0.99448114364875539</v>
      </c>
      <c r="Q841" t="b">
        <f>Table1[[#This Row],[cumPctAllTimeExp]]&lt;0.95</f>
        <v>0</v>
      </c>
    </row>
    <row r="842" spans="1:17" x14ac:dyDescent="0.25">
      <c r="A842">
        <v>241</v>
      </c>
      <c r="C842" t="s">
        <v>2508</v>
      </c>
      <c r="E842" t="s">
        <v>243</v>
      </c>
      <c r="F842" s="4">
        <v>8432.02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f>SUM(Table1[[#This Row],[2025]:[2018]])</f>
        <v>8432.02</v>
      </c>
      <c r="O842" s="2">
        <f>Table1[[#This Row],[ttl]]/SUM(Table1[ttl])</f>
        <v>1.7002569510670754E-5</v>
      </c>
      <c r="P842" s="3">
        <f>SUM($O$2:Table1[[#This Row],[pctAllTimeExp]])</f>
        <v>0.99449814621826604</v>
      </c>
      <c r="Q842" t="b">
        <f>Table1[[#This Row],[cumPctAllTimeExp]]&lt;0.95</f>
        <v>0</v>
      </c>
    </row>
    <row r="843" spans="1:17" x14ac:dyDescent="0.25">
      <c r="A843">
        <v>382</v>
      </c>
      <c r="C843" t="s">
        <v>2508</v>
      </c>
      <c r="E843" t="s">
        <v>384</v>
      </c>
      <c r="F843" s="4">
        <v>2284.59</v>
      </c>
      <c r="G843" s="4">
        <v>5095.6400000000003</v>
      </c>
      <c r="H843" s="4">
        <v>1038.45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f>SUM(Table1[[#This Row],[2025]:[2018]])</f>
        <v>8418.68</v>
      </c>
      <c r="O843" s="2">
        <f>Table1[[#This Row],[ttl]]/SUM(Table1[ttl])</f>
        <v>1.6975670348041591E-5</v>
      </c>
      <c r="P843" s="3">
        <f>SUM($O$2:Table1[[#This Row],[pctAllTimeExp]])</f>
        <v>0.99451512188861413</v>
      </c>
      <c r="Q843" t="b">
        <f>Table1[[#This Row],[cumPctAllTimeExp]]&lt;0.95</f>
        <v>0</v>
      </c>
    </row>
    <row r="844" spans="1:17" x14ac:dyDescent="0.25">
      <c r="A844">
        <v>803</v>
      </c>
      <c r="C844" t="s">
        <v>2508</v>
      </c>
      <c r="E844" t="s">
        <v>805</v>
      </c>
      <c r="F844" s="4">
        <v>0</v>
      </c>
      <c r="G844" s="4">
        <v>1977</v>
      </c>
      <c r="H844" s="4">
        <v>3437</v>
      </c>
      <c r="I844" s="4">
        <v>1833</v>
      </c>
      <c r="J844" s="4">
        <v>360</v>
      </c>
      <c r="K844" s="4">
        <v>810</v>
      </c>
      <c r="L844" s="4">
        <v>0</v>
      </c>
      <c r="M844" s="4">
        <v>0</v>
      </c>
      <c r="N844" s="4">
        <f>SUM(Table1[[#This Row],[2025]:[2018]])</f>
        <v>8417</v>
      </c>
      <c r="O844" s="2">
        <f>Table1[[#This Row],[ttl]]/SUM(Table1[ttl])</f>
        <v>1.6972282747350662E-5</v>
      </c>
      <c r="P844" s="3">
        <f>SUM($O$2:Table1[[#This Row],[pctAllTimeExp]])</f>
        <v>0.99453209417136146</v>
      </c>
      <c r="Q844" t="b">
        <f>Table1[[#This Row],[cumPctAllTimeExp]]&lt;0.95</f>
        <v>0</v>
      </c>
    </row>
    <row r="845" spans="1:17" x14ac:dyDescent="0.25">
      <c r="A845">
        <v>1697</v>
      </c>
      <c r="C845" t="s">
        <v>2508</v>
      </c>
      <c r="E845" t="s">
        <v>1699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8400</v>
      </c>
      <c r="L845" s="4">
        <v>0</v>
      </c>
      <c r="M845" s="4">
        <v>0</v>
      </c>
      <c r="N845" s="4">
        <f>SUM(Table1[[#This Row],[2025]:[2018]])</f>
        <v>8400</v>
      </c>
      <c r="O845" s="2">
        <f>Table1[[#This Row],[ttl]]/SUM(Table1[ttl])</f>
        <v>1.6938003454644834E-5</v>
      </c>
      <c r="P845" s="3">
        <f>SUM($O$2:Table1[[#This Row],[pctAllTimeExp]])</f>
        <v>0.99454903217481605</v>
      </c>
      <c r="Q845" t="b">
        <f>Table1[[#This Row],[cumPctAllTimeExp]]&lt;0.95</f>
        <v>0</v>
      </c>
    </row>
    <row r="846" spans="1:17" x14ac:dyDescent="0.25">
      <c r="A846">
        <v>1727</v>
      </c>
      <c r="C846" t="s">
        <v>2508</v>
      </c>
      <c r="E846" t="s">
        <v>1729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3100</v>
      </c>
      <c r="L846" s="4">
        <v>2400</v>
      </c>
      <c r="M846" s="4">
        <v>2900</v>
      </c>
      <c r="N846" s="4">
        <f>SUM(Table1[[#This Row],[2025]:[2018]])</f>
        <v>8400</v>
      </c>
      <c r="O846" s="2">
        <f>Table1[[#This Row],[ttl]]/SUM(Table1[ttl])</f>
        <v>1.6938003454644834E-5</v>
      </c>
      <c r="P846" s="3">
        <f>SUM($O$2:Table1[[#This Row],[pctAllTimeExp]])</f>
        <v>0.99456597017827064</v>
      </c>
      <c r="Q846" t="b">
        <f>Table1[[#This Row],[cumPctAllTimeExp]]&lt;0.95</f>
        <v>0</v>
      </c>
    </row>
    <row r="847" spans="1:17" x14ac:dyDescent="0.25">
      <c r="A847">
        <v>1478</v>
      </c>
      <c r="C847" t="s">
        <v>2508</v>
      </c>
      <c r="E847" t="s">
        <v>1480</v>
      </c>
      <c r="F847" s="4">
        <v>0</v>
      </c>
      <c r="G847" s="4">
        <v>0</v>
      </c>
      <c r="H847" s="4">
        <v>0</v>
      </c>
      <c r="I847" s="4">
        <v>0</v>
      </c>
      <c r="J847" s="4">
        <v>1288.45</v>
      </c>
      <c r="K847" s="4">
        <v>2779</v>
      </c>
      <c r="L847" s="4">
        <v>2322.1999999999998</v>
      </c>
      <c r="M847" s="4">
        <v>1942.75</v>
      </c>
      <c r="N847" s="4">
        <f>SUM(Table1[[#This Row],[2025]:[2018]])</f>
        <v>8332.4</v>
      </c>
      <c r="O847" s="2">
        <f>Table1[[#This Row],[ttl]]/SUM(Table1[ttl])</f>
        <v>1.6801692855414596E-5</v>
      </c>
      <c r="P847" s="3">
        <f>SUM($O$2:Table1[[#This Row],[pctAllTimeExp]])</f>
        <v>0.99458277187112609</v>
      </c>
      <c r="Q847" t="b">
        <f>Table1[[#This Row],[cumPctAllTimeExp]]&lt;0.95</f>
        <v>0</v>
      </c>
    </row>
    <row r="848" spans="1:17" x14ac:dyDescent="0.25">
      <c r="A848">
        <v>1115</v>
      </c>
      <c r="C848" t="s">
        <v>2508</v>
      </c>
      <c r="E848" t="s">
        <v>1117</v>
      </c>
      <c r="F848" s="4">
        <v>0</v>
      </c>
      <c r="G848" s="4">
        <v>0</v>
      </c>
      <c r="H848" s="4">
        <v>621.89</v>
      </c>
      <c r="I848" s="4">
        <v>0</v>
      </c>
      <c r="J848" s="4">
        <v>0</v>
      </c>
      <c r="K848" s="4">
        <v>0</v>
      </c>
      <c r="L848" s="4">
        <v>7675.74</v>
      </c>
      <c r="M848" s="4">
        <v>0</v>
      </c>
      <c r="N848" s="4">
        <f>SUM(Table1[[#This Row],[2025]:[2018]])</f>
        <v>8297.6299999999992</v>
      </c>
      <c r="O848" s="2">
        <f>Table1[[#This Row],[ttl]]/SUM(Table1[ttl])</f>
        <v>1.6731581619686261E-5</v>
      </c>
      <c r="P848" s="3">
        <f>SUM($O$2:Table1[[#This Row],[pctAllTimeExp]])</f>
        <v>0.99459950345274573</v>
      </c>
      <c r="Q848" t="b">
        <f>Table1[[#This Row],[cumPctAllTimeExp]]&lt;0.95</f>
        <v>0</v>
      </c>
    </row>
    <row r="849" spans="1:17" x14ac:dyDescent="0.25">
      <c r="A849">
        <v>1017</v>
      </c>
      <c r="C849" t="s">
        <v>2508</v>
      </c>
      <c r="E849" t="s">
        <v>1019</v>
      </c>
      <c r="F849" s="4">
        <v>0</v>
      </c>
      <c r="G849" s="4">
        <v>0</v>
      </c>
      <c r="H849" s="4">
        <v>8260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f>SUM(Table1[[#This Row],[2025]:[2018]])</f>
        <v>8260</v>
      </c>
      <c r="O849" s="2">
        <f>Table1[[#This Row],[ttl]]/SUM(Table1[ttl])</f>
        <v>1.6655703397067418E-5</v>
      </c>
      <c r="P849" s="3">
        <f>SUM($O$2:Table1[[#This Row],[pctAllTimeExp]])</f>
        <v>0.99461615915614277</v>
      </c>
      <c r="Q849" t="b">
        <f>Table1[[#This Row],[cumPctAllTimeExp]]&lt;0.95</f>
        <v>0</v>
      </c>
    </row>
    <row r="850" spans="1:17" x14ac:dyDescent="0.25">
      <c r="A850">
        <v>489</v>
      </c>
      <c r="C850" t="s">
        <v>2508</v>
      </c>
      <c r="E850" t="s">
        <v>491</v>
      </c>
      <c r="F850" s="4">
        <v>875.5</v>
      </c>
      <c r="G850" s="4">
        <v>1726.5</v>
      </c>
      <c r="H850" s="4">
        <v>102</v>
      </c>
      <c r="I850" s="4">
        <v>655.95</v>
      </c>
      <c r="J850" s="4">
        <v>3165.99</v>
      </c>
      <c r="K850" s="4">
        <v>0</v>
      </c>
      <c r="L850" s="4">
        <v>581.54999999999995</v>
      </c>
      <c r="M850" s="4">
        <v>1117.0999999999999</v>
      </c>
      <c r="N850" s="4">
        <f>SUM(Table1[[#This Row],[2025]:[2018]])</f>
        <v>8224.59</v>
      </c>
      <c r="O850" s="2">
        <f>Table1[[#This Row],[ttl]]/SUM(Table1[ttl])</f>
        <v>1.658430164679016E-5</v>
      </c>
      <c r="P850" s="3">
        <f>SUM($O$2:Table1[[#This Row],[pctAllTimeExp]])</f>
        <v>0.99463274345778951</v>
      </c>
      <c r="Q850" t="b">
        <f>Table1[[#This Row],[cumPctAllTimeExp]]&lt;0.95</f>
        <v>0</v>
      </c>
    </row>
    <row r="851" spans="1:17" x14ac:dyDescent="0.25">
      <c r="A851">
        <v>1431</v>
      </c>
      <c r="C851" t="s">
        <v>2508</v>
      </c>
      <c r="E851" t="s">
        <v>1433</v>
      </c>
      <c r="F851" s="4">
        <v>0</v>
      </c>
      <c r="G851" s="4">
        <v>0</v>
      </c>
      <c r="H851" s="4">
        <v>0</v>
      </c>
      <c r="I851" s="4">
        <v>0</v>
      </c>
      <c r="J851" s="4">
        <v>8133.9</v>
      </c>
      <c r="K851" s="4">
        <v>0</v>
      </c>
      <c r="L851" s="4">
        <v>0</v>
      </c>
      <c r="M851" s="4">
        <v>0</v>
      </c>
      <c r="N851" s="4">
        <f>SUM(Table1[[#This Row],[2025]:[2018]])</f>
        <v>8133.9</v>
      </c>
      <c r="O851" s="2">
        <f>Table1[[#This Row],[ttl]]/SUM(Table1[ttl])</f>
        <v>1.6401431702349478E-5</v>
      </c>
      <c r="P851" s="3">
        <f>SUM($O$2:Table1[[#This Row],[pctAllTimeExp]])</f>
        <v>0.99464914488949185</v>
      </c>
      <c r="Q851" t="b">
        <f>Table1[[#This Row],[cumPctAllTimeExp]]&lt;0.95</f>
        <v>0</v>
      </c>
    </row>
    <row r="852" spans="1:17" x14ac:dyDescent="0.25">
      <c r="A852">
        <v>2000</v>
      </c>
      <c r="C852" t="s">
        <v>2508</v>
      </c>
      <c r="E852" t="s">
        <v>2002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8115</v>
      </c>
      <c r="M852" s="4">
        <v>0</v>
      </c>
      <c r="N852" s="4">
        <f>SUM(Table1[[#This Row],[2025]:[2018]])</f>
        <v>8115</v>
      </c>
      <c r="O852" s="2">
        <f>Table1[[#This Row],[ttl]]/SUM(Table1[ttl])</f>
        <v>1.6363321194576526E-5</v>
      </c>
      <c r="P852" s="3">
        <f>SUM($O$2:Table1[[#This Row],[pctAllTimeExp]])</f>
        <v>0.99466550821068644</v>
      </c>
      <c r="Q852" t="b">
        <f>Table1[[#This Row],[cumPctAllTimeExp]]&lt;0.95</f>
        <v>0</v>
      </c>
    </row>
    <row r="853" spans="1:17" x14ac:dyDescent="0.25">
      <c r="A853">
        <v>356</v>
      </c>
      <c r="C853" t="s">
        <v>2508</v>
      </c>
      <c r="E853" t="s">
        <v>358</v>
      </c>
      <c r="F853" s="4">
        <v>2992.8</v>
      </c>
      <c r="G853" s="4">
        <v>2754</v>
      </c>
      <c r="H853" s="4">
        <v>1119.42</v>
      </c>
      <c r="I853" s="4">
        <v>1243.8</v>
      </c>
      <c r="J853" s="4">
        <v>0</v>
      </c>
      <c r="K853" s="4">
        <v>0</v>
      </c>
      <c r="L853" s="4">
        <v>0</v>
      </c>
      <c r="M853" s="4">
        <v>0</v>
      </c>
      <c r="N853" s="4">
        <f>SUM(Table1[[#This Row],[2025]:[2018]])</f>
        <v>8110.02</v>
      </c>
      <c r="O853" s="2">
        <f>Table1[[#This Row],[ttl]]/SUM(Table1[ttl])</f>
        <v>1.6353279378242702E-5</v>
      </c>
      <c r="P853" s="3">
        <f>SUM($O$2:Table1[[#This Row],[pctAllTimeExp]])</f>
        <v>0.99468186149006466</v>
      </c>
      <c r="Q853" t="b">
        <f>Table1[[#This Row],[cumPctAllTimeExp]]&lt;0.95</f>
        <v>0</v>
      </c>
    </row>
    <row r="854" spans="1:17" x14ac:dyDescent="0.25">
      <c r="A854">
        <v>1698</v>
      </c>
      <c r="C854" t="s">
        <v>2508</v>
      </c>
      <c r="E854" t="s">
        <v>1700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8050</v>
      </c>
      <c r="L854" s="4">
        <v>0</v>
      </c>
      <c r="M854" s="4">
        <v>0</v>
      </c>
      <c r="N854" s="4">
        <f>SUM(Table1[[#This Row],[2025]:[2018]])</f>
        <v>8050</v>
      </c>
      <c r="O854" s="2">
        <f>Table1[[#This Row],[ttl]]/SUM(Table1[ttl])</f>
        <v>1.6232253310701299E-5</v>
      </c>
      <c r="P854" s="3">
        <f>SUM($O$2:Table1[[#This Row],[pctAllTimeExp]])</f>
        <v>0.99469809374337537</v>
      </c>
      <c r="Q854" t="b">
        <f>Table1[[#This Row],[cumPctAllTimeExp]]&lt;0.95</f>
        <v>0</v>
      </c>
    </row>
    <row r="855" spans="1:17" x14ac:dyDescent="0.25">
      <c r="A855">
        <v>2272</v>
      </c>
      <c r="C855" t="s">
        <v>2508</v>
      </c>
      <c r="E855" t="s">
        <v>2274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8048.47</v>
      </c>
      <c r="N855" s="4">
        <f>SUM(Table1[[#This Row],[2025]:[2018]])</f>
        <v>8048.47</v>
      </c>
      <c r="O855" s="2">
        <f>Table1[[#This Row],[ttl]]/SUM(Table1[ttl])</f>
        <v>1.6229168174357774E-5</v>
      </c>
      <c r="P855" s="3">
        <f>SUM($O$2:Table1[[#This Row],[pctAllTimeExp]])</f>
        <v>0.99471432291154971</v>
      </c>
      <c r="Q855" t="b">
        <f>Table1[[#This Row],[cumPctAllTimeExp]]&lt;0.95</f>
        <v>0</v>
      </c>
    </row>
    <row r="856" spans="1:17" x14ac:dyDescent="0.25">
      <c r="A856">
        <v>460</v>
      </c>
      <c r="C856" t="s">
        <v>2508</v>
      </c>
      <c r="E856" t="s">
        <v>462</v>
      </c>
      <c r="F856" s="4">
        <v>1133</v>
      </c>
      <c r="G856" s="4">
        <v>0</v>
      </c>
      <c r="H856" s="4">
        <v>632</v>
      </c>
      <c r="I856" s="4">
        <v>1045.98</v>
      </c>
      <c r="J856" s="4">
        <v>2259.1999999999998</v>
      </c>
      <c r="K856" s="4">
        <v>1093.2</v>
      </c>
      <c r="L856" s="4">
        <v>983.6</v>
      </c>
      <c r="M856" s="4">
        <v>880.1</v>
      </c>
      <c r="N856" s="4">
        <f>SUM(Table1[[#This Row],[2025]:[2018]])</f>
        <v>8027.0800000000008</v>
      </c>
      <c r="O856" s="2">
        <f>Table1[[#This Row],[ttl]]/SUM(Table1[ttl])</f>
        <v>1.6186036758417911E-5</v>
      </c>
      <c r="P856" s="3">
        <f>SUM($O$2:Table1[[#This Row],[pctAllTimeExp]])</f>
        <v>0.99473050894830817</v>
      </c>
      <c r="Q856" t="b">
        <f>Table1[[#This Row],[cumPctAllTimeExp]]&lt;0.95</f>
        <v>0</v>
      </c>
    </row>
    <row r="857" spans="1:17" x14ac:dyDescent="0.25">
      <c r="A857">
        <v>790</v>
      </c>
      <c r="C857" t="s">
        <v>2508</v>
      </c>
      <c r="E857" t="s">
        <v>792</v>
      </c>
      <c r="F857" s="4">
        <v>0</v>
      </c>
      <c r="G857" s="4">
        <v>2918.6</v>
      </c>
      <c r="H857" s="4">
        <v>0</v>
      </c>
      <c r="I857" s="4">
        <v>0</v>
      </c>
      <c r="J857" s="4">
        <v>5099</v>
      </c>
      <c r="K857" s="4">
        <v>0</v>
      </c>
      <c r="L857" s="4">
        <v>0</v>
      </c>
      <c r="M857" s="4">
        <v>0</v>
      </c>
      <c r="N857" s="4">
        <f>SUM(Table1[[#This Row],[2025]:[2018]])</f>
        <v>8017.6</v>
      </c>
      <c r="O857" s="2">
        <f>Table1[[#This Row],[ttl]]/SUM(Table1[ttl])</f>
        <v>1.6166921011661957E-5</v>
      </c>
      <c r="P857" s="3">
        <f>SUM($O$2:Table1[[#This Row],[pctAllTimeExp]])</f>
        <v>0.99474667586931986</v>
      </c>
      <c r="Q857" t="b">
        <f>Table1[[#This Row],[cumPctAllTimeExp]]&lt;0.95</f>
        <v>0</v>
      </c>
    </row>
    <row r="858" spans="1:17" x14ac:dyDescent="0.25">
      <c r="A858">
        <v>1699</v>
      </c>
      <c r="C858" t="s">
        <v>2508</v>
      </c>
      <c r="E858" t="s">
        <v>1701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8000</v>
      </c>
      <c r="L858" s="4">
        <v>0</v>
      </c>
      <c r="M858" s="4">
        <v>0</v>
      </c>
      <c r="N858" s="4">
        <f>SUM(Table1[[#This Row],[2025]:[2018]])</f>
        <v>8000</v>
      </c>
      <c r="O858" s="2">
        <f>Table1[[#This Row],[ttl]]/SUM(Table1[ttl])</f>
        <v>1.6131431861566509E-5</v>
      </c>
      <c r="P858" s="3">
        <f>SUM($O$2:Table1[[#This Row],[pctAllTimeExp]])</f>
        <v>0.99476280730118138</v>
      </c>
      <c r="Q858" t="b">
        <f>Table1[[#This Row],[cumPctAllTimeExp]]&lt;0.95</f>
        <v>0</v>
      </c>
    </row>
    <row r="859" spans="1:17" x14ac:dyDescent="0.25">
      <c r="A859">
        <v>2001</v>
      </c>
      <c r="C859" t="s">
        <v>2508</v>
      </c>
      <c r="E859" t="s">
        <v>2003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7975</v>
      </c>
      <c r="M859" s="4">
        <v>0</v>
      </c>
      <c r="N859" s="4">
        <f>SUM(Table1[[#This Row],[2025]:[2018]])</f>
        <v>7975</v>
      </c>
      <c r="O859" s="2">
        <f>Table1[[#This Row],[ttl]]/SUM(Table1[ttl])</f>
        <v>1.6081021136999114E-5</v>
      </c>
      <c r="P859" s="3">
        <f>SUM($O$2:Table1[[#This Row],[pctAllTimeExp]])</f>
        <v>0.99477888832231842</v>
      </c>
      <c r="Q859" t="b">
        <f>Table1[[#This Row],[cumPctAllTimeExp]]&lt;0.95</f>
        <v>0</v>
      </c>
    </row>
    <row r="860" spans="1:17" x14ac:dyDescent="0.25">
      <c r="A860">
        <v>246</v>
      </c>
      <c r="C860" t="s">
        <v>2508</v>
      </c>
      <c r="E860" t="s">
        <v>248</v>
      </c>
      <c r="F860" s="4">
        <v>7958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f>SUM(Table1[[#This Row],[2025]:[2018]])</f>
        <v>7958</v>
      </c>
      <c r="O860" s="2">
        <f>Table1[[#This Row],[ttl]]/SUM(Table1[ttl])</f>
        <v>1.6046741844293282E-5</v>
      </c>
      <c r="P860" s="3">
        <f>SUM($O$2:Table1[[#This Row],[pctAllTimeExp]])</f>
        <v>0.99479493506416272</v>
      </c>
      <c r="Q860" t="b">
        <f>Table1[[#This Row],[cumPctAllTimeExp]]&lt;0.95</f>
        <v>0</v>
      </c>
    </row>
    <row r="861" spans="1:17" x14ac:dyDescent="0.25">
      <c r="A861">
        <v>1019</v>
      </c>
      <c r="C861" t="s">
        <v>2508</v>
      </c>
      <c r="E861" t="s">
        <v>1021</v>
      </c>
      <c r="F861" s="4">
        <v>0</v>
      </c>
      <c r="G861" s="4">
        <v>0</v>
      </c>
      <c r="H861" s="4">
        <v>7894.5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f>SUM(Table1[[#This Row],[2025]:[2018]])</f>
        <v>7894.5</v>
      </c>
      <c r="O861" s="2">
        <f>Table1[[#This Row],[ttl]]/SUM(Table1[ttl])</f>
        <v>1.5918698603892101E-5</v>
      </c>
      <c r="P861" s="3">
        <f>SUM($O$2:Table1[[#This Row],[pctAllTimeExp]])</f>
        <v>0.99481085376276657</v>
      </c>
      <c r="Q861" t="b">
        <f>Table1[[#This Row],[cumPctAllTimeExp]]&lt;0.95</f>
        <v>0</v>
      </c>
    </row>
    <row r="862" spans="1:17" x14ac:dyDescent="0.25">
      <c r="A862">
        <v>1700</v>
      </c>
      <c r="C862" t="s">
        <v>2508</v>
      </c>
      <c r="E862" t="s">
        <v>1702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7878</v>
      </c>
      <c r="L862" s="4">
        <v>0</v>
      </c>
      <c r="M862" s="4">
        <v>0</v>
      </c>
      <c r="N862" s="4">
        <f>SUM(Table1[[#This Row],[2025]:[2018]])</f>
        <v>7878</v>
      </c>
      <c r="O862" s="2">
        <f>Table1[[#This Row],[ttl]]/SUM(Table1[ttl])</f>
        <v>1.5885427525677618E-5</v>
      </c>
      <c r="P862" s="3">
        <f>SUM($O$2:Table1[[#This Row],[pctAllTimeExp]])</f>
        <v>0.9948267391902923</v>
      </c>
      <c r="Q862" t="b">
        <f>Table1[[#This Row],[cumPctAllTimeExp]]&lt;0.95</f>
        <v>0</v>
      </c>
    </row>
    <row r="863" spans="1:17" x14ac:dyDescent="0.25">
      <c r="A863">
        <v>1765</v>
      </c>
      <c r="C863" t="s">
        <v>2508</v>
      </c>
      <c r="E863" t="s">
        <v>1767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1086.8800000000001</v>
      </c>
      <c r="L863" s="4">
        <v>3952.01</v>
      </c>
      <c r="M863" s="4">
        <v>2835.51</v>
      </c>
      <c r="N863" s="4">
        <f>SUM(Table1[[#This Row],[2025]:[2018]])</f>
        <v>7874.4000000000005</v>
      </c>
      <c r="O863" s="2">
        <f>Table1[[#This Row],[ttl]]/SUM(Table1[ttl])</f>
        <v>1.5878168381339914E-5</v>
      </c>
      <c r="P863" s="3">
        <f>SUM($O$2:Table1[[#This Row],[pctAllTimeExp]])</f>
        <v>0.99484261735867363</v>
      </c>
      <c r="Q863" t="b">
        <f>Table1[[#This Row],[cumPctAllTimeExp]]&lt;0.95</f>
        <v>0</v>
      </c>
    </row>
    <row r="864" spans="1:17" x14ac:dyDescent="0.25">
      <c r="A864">
        <v>249</v>
      </c>
      <c r="C864" t="s">
        <v>2508</v>
      </c>
      <c r="E864" t="s">
        <v>251</v>
      </c>
      <c r="F864" s="4">
        <v>7873.78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f>SUM(Table1[[#This Row],[2025]:[2018]])</f>
        <v>7873.78</v>
      </c>
      <c r="O864" s="2">
        <f>Table1[[#This Row],[ttl]]/SUM(Table1[ttl])</f>
        <v>1.5876918195370643E-5</v>
      </c>
      <c r="P864" s="3">
        <f>SUM($O$2:Table1[[#This Row],[pctAllTimeExp]])</f>
        <v>0.99485849427686901</v>
      </c>
      <c r="Q864" t="b">
        <f>Table1[[#This Row],[cumPctAllTimeExp]]&lt;0.95</f>
        <v>0</v>
      </c>
    </row>
    <row r="865" spans="1:17" x14ac:dyDescent="0.25">
      <c r="A865">
        <v>794</v>
      </c>
      <c r="C865" t="s">
        <v>2508</v>
      </c>
      <c r="E865" t="s">
        <v>796</v>
      </c>
      <c r="F865" s="4">
        <v>0</v>
      </c>
      <c r="G865" s="4">
        <v>2527</v>
      </c>
      <c r="H865" s="4">
        <v>725</v>
      </c>
      <c r="I865" s="4">
        <v>2886</v>
      </c>
      <c r="J865" s="4">
        <v>0</v>
      </c>
      <c r="K865" s="4">
        <v>1303</v>
      </c>
      <c r="L865" s="4">
        <v>384</v>
      </c>
      <c r="M865" s="4">
        <v>0</v>
      </c>
      <c r="N865" s="4">
        <f>SUM(Table1[[#This Row],[2025]:[2018]])</f>
        <v>7825</v>
      </c>
      <c r="O865" s="2">
        <f>Table1[[#This Row],[ttl]]/SUM(Table1[ttl])</f>
        <v>1.577855678959474E-5</v>
      </c>
      <c r="P865" s="3">
        <f>SUM($O$2:Table1[[#This Row],[pctAllTimeExp]])</f>
        <v>0.99487427283365859</v>
      </c>
      <c r="Q865" t="b">
        <f>Table1[[#This Row],[cumPctAllTimeExp]]&lt;0.95</f>
        <v>0</v>
      </c>
    </row>
    <row r="866" spans="1:17" x14ac:dyDescent="0.25">
      <c r="A866">
        <v>281</v>
      </c>
      <c r="C866" t="s">
        <v>2508</v>
      </c>
      <c r="E866" t="s">
        <v>283</v>
      </c>
      <c r="F866" s="4">
        <v>6059.25</v>
      </c>
      <c r="G866" s="4">
        <v>0</v>
      </c>
      <c r="H866" s="4">
        <v>0</v>
      </c>
      <c r="I866" s="4">
        <v>0</v>
      </c>
      <c r="J866" s="4">
        <v>1747.9</v>
      </c>
      <c r="K866" s="4">
        <v>0</v>
      </c>
      <c r="L866" s="4">
        <v>0</v>
      </c>
      <c r="M866" s="4">
        <v>0</v>
      </c>
      <c r="N866" s="4">
        <f>SUM(Table1[[#This Row],[2025]:[2018]])</f>
        <v>7807.15</v>
      </c>
      <c r="O866" s="2">
        <f>Table1[[#This Row],[ttl]]/SUM(Table1[ttl])</f>
        <v>1.574256353225362E-5</v>
      </c>
      <c r="P866" s="3">
        <f>SUM($O$2:Table1[[#This Row],[pctAllTimeExp]])</f>
        <v>0.9948900153971908</v>
      </c>
      <c r="Q866" t="b">
        <f>Table1[[#This Row],[cumPctAllTimeExp]]&lt;0.95</f>
        <v>0</v>
      </c>
    </row>
    <row r="867" spans="1:17" x14ac:dyDescent="0.25">
      <c r="A867">
        <v>440</v>
      </c>
      <c r="C867" t="s">
        <v>2508</v>
      </c>
      <c r="E867" t="s">
        <v>442</v>
      </c>
      <c r="F867" s="4">
        <v>1298</v>
      </c>
      <c r="G867" s="4">
        <v>6495.28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f>SUM(Table1[[#This Row],[2025]:[2018]])</f>
        <v>7793.28</v>
      </c>
      <c r="O867" s="2">
        <f>Table1[[#This Row],[ttl]]/SUM(Table1[ttl])</f>
        <v>1.571459566226363E-5</v>
      </c>
      <c r="P867" s="3">
        <f>SUM($O$2:Table1[[#This Row],[pctAllTimeExp]])</f>
        <v>0.99490572999285309</v>
      </c>
      <c r="Q867" t="b">
        <f>Table1[[#This Row],[cumPctAllTimeExp]]&lt;0.95</f>
        <v>0</v>
      </c>
    </row>
    <row r="868" spans="1:17" x14ac:dyDescent="0.25">
      <c r="A868">
        <v>2273</v>
      </c>
      <c r="C868" t="s">
        <v>2508</v>
      </c>
      <c r="E868" t="s">
        <v>2275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7784.8</v>
      </c>
      <c r="N868" s="4">
        <f>SUM(Table1[[#This Row],[2025]:[2018]])</f>
        <v>7784.8</v>
      </c>
      <c r="O868" s="2">
        <f>Table1[[#This Row],[ttl]]/SUM(Table1[ttl])</f>
        <v>1.5697496344490369E-5</v>
      </c>
      <c r="P868" s="3">
        <f>SUM($O$2:Table1[[#This Row],[pctAllTimeExp]])</f>
        <v>0.99492142748919754</v>
      </c>
      <c r="Q868" t="b">
        <f>Table1[[#This Row],[cumPctAllTimeExp]]&lt;0.95</f>
        <v>0</v>
      </c>
    </row>
    <row r="869" spans="1:17" x14ac:dyDescent="0.25">
      <c r="A869">
        <v>405</v>
      </c>
      <c r="C869" t="s">
        <v>2508</v>
      </c>
      <c r="E869" t="s">
        <v>407</v>
      </c>
      <c r="F869" s="4">
        <v>1798</v>
      </c>
      <c r="G869" s="4">
        <v>403</v>
      </c>
      <c r="H869" s="4">
        <v>0</v>
      </c>
      <c r="I869" s="4">
        <v>0</v>
      </c>
      <c r="J869" s="4">
        <v>1710</v>
      </c>
      <c r="K869" s="4">
        <v>0</v>
      </c>
      <c r="L869" s="4">
        <v>105.91</v>
      </c>
      <c r="M869" s="4">
        <v>3715.3</v>
      </c>
      <c r="N869" s="4">
        <f>SUM(Table1[[#This Row],[2025]:[2018]])</f>
        <v>7732.21</v>
      </c>
      <c r="O869" s="2">
        <f>Table1[[#This Row],[ttl]]/SUM(Table1[ttl])</f>
        <v>1.5591452344290396E-5</v>
      </c>
      <c r="P869" s="3">
        <f>SUM($O$2:Table1[[#This Row],[pctAllTimeExp]])</f>
        <v>0.99493701894154185</v>
      </c>
      <c r="Q869" t="b">
        <f>Table1[[#This Row],[cumPctAllTimeExp]]&lt;0.95</f>
        <v>0</v>
      </c>
    </row>
    <row r="870" spans="1:17" x14ac:dyDescent="0.25">
      <c r="A870">
        <v>341</v>
      </c>
      <c r="C870" t="s">
        <v>2508</v>
      </c>
      <c r="E870" t="s">
        <v>343</v>
      </c>
      <c r="F870" s="4">
        <v>3373.31</v>
      </c>
      <c r="G870" s="4">
        <v>525</v>
      </c>
      <c r="H870" s="4">
        <v>1959</v>
      </c>
      <c r="I870" s="4">
        <v>786.97</v>
      </c>
      <c r="J870" s="4">
        <v>0</v>
      </c>
      <c r="K870" s="4">
        <v>1053</v>
      </c>
      <c r="L870" s="4">
        <v>0</v>
      </c>
      <c r="M870" s="4">
        <v>0</v>
      </c>
      <c r="N870" s="4">
        <f>SUM(Table1[[#This Row],[2025]:[2018]])</f>
        <v>7697.28</v>
      </c>
      <c r="O870" s="2">
        <f>Table1[[#This Row],[ttl]]/SUM(Table1[ttl])</f>
        <v>1.5521018479924831E-5</v>
      </c>
      <c r="P870" s="3">
        <f>SUM($O$2:Table1[[#This Row],[pctAllTimeExp]])</f>
        <v>0.99495253996002175</v>
      </c>
      <c r="Q870" t="b">
        <f>Table1[[#This Row],[cumPctAllTimeExp]]&lt;0.95</f>
        <v>0</v>
      </c>
    </row>
    <row r="871" spans="1:17" x14ac:dyDescent="0.25">
      <c r="A871">
        <v>1021</v>
      </c>
      <c r="C871" t="s">
        <v>2508</v>
      </c>
      <c r="E871" t="s">
        <v>1023</v>
      </c>
      <c r="F871" s="4">
        <v>0</v>
      </c>
      <c r="G871" s="4">
        <v>0</v>
      </c>
      <c r="H871" s="4">
        <v>7670.4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f>SUM(Table1[[#This Row],[2025]:[2018]])</f>
        <v>7670.4</v>
      </c>
      <c r="O871" s="2">
        <f>Table1[[#This Row],[ttl]]/SUM(Table1[ttl])</f>
        <v>1.5466816868869968E-5</v>
      </c>
      <c r="P871" s="3">
        <f>SUM($O$2:Table1[[#This Row],[pctAllTimeExp]])</f>
        <v>0.99496800677689068</v>
      </c>
      <c r="Q871" t="b">
        <f>Table1[[#This Row],[cumPctAllTimeExp]]&lt;0.95</f>
        <v>0</v>
      </c>
    </row>
    <row r="872" spans="1:17" x14ac:dyDescent="0.25">
      <c r="A872">
        <v>825</v>
      </c>
      <c r="C872" t="s">
        <v>2508</v>
      </c>
      <c r="E872" t="s">
        <v>827</v>
      </c>
      <c r="F872" s="4">
        <v>0</v>
      </c>
      <c r="G872" s="4">
        <v>1236.52</v>
      </c>
      <c r="H872" s="4">
        <v>3671.54</v>
      </c>
      <c r="I872" s="4">
        <v>2727</v>
      </c>
      <c r="J872" s="4">
        <v>0</v>
      </c>
      <c r="K872" s="4">
        <v>0</v>
      </c>
      <c r="L872" s="4">
        <v>0</v>
      </c>
      <c r="M872" s="4">
        <v>0</v>
      </c>
      <c r="N872" s="4">
        <f>SUM(Table1[[#This Row],[2025]:[2018]])</f>
        <v>7635.0599999999995</v>
      </c>
      <c r="O872" s="2">
        <f>Table1[[#This Row],[ttl]]/SUM(Table1[ttl])</f>
        <v>1.5395556268621498E-5</v>
      </c>
      <c r="P872" s="3">
        <f>SUM($O$2:Table1[[#This Row],[pctAllTimeExp]])</f>
        <v>0.99498340233315929</v>
      </c>
      <c r="Q872" t="b">
        <f>Table1[[#This Row],[cumPctAllTimeExp]]&lt;0.95</f>
        <v>0</v>
      </c>
    </row>
    <row r="873" spans="1:17" x14ac:dyDescent="0.25">
      <c r="A873">
        <v>2051</v>
      </c>
      <c r="C873" t="s">
        <v>2508</v>
      </c>
      <c r="E873" t="s">
        <v>2053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1988.16</v>
      </c>
      <c r="M873" s="4">
        <v>5614.18</v>
      </c>
      <c r="N873" s="4">
        <f>SUM(Table1[[#This Row],[2025]:[2018]])</f>
        <v>7602.34</v>
      </c>
      <c r="O873" s="2">
        <f>Table1[[#This Row],[ttl]]/SUM(Table1[ttl])</f>
        <v>1.5329578712307691E-5</v>
      </c>
      <c r="P873" s="3">
        <f>SUM($O$2:Table1[[#This Row],[pctAllTimeExp]])</f>
        <v>0.9949987319118716</v>
      </c>
      <c r="Q873" t="b">
        <f>Table1[[#This Row],[cumPctAllTimeExp]]&lt;0.95</f>
        <v>0</v>
      </c>
    </row>
    <row r="874" spans="1:17" x14ac:dyDescent="0.25">
      <c r="A874">
        <v>1722</v>
      </c>
      <c r="C874" t="s">
        <v>2508</v>
      </c>
      <c r="E874" t="s">
        <v>1724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3798</v>
      </c>
      <c r="L874" s="4">
        <v>0</v>
      </c>
      <c r="M874" s="4">
        <v>3798</v>
      </c>
      <c r="N874" s="4">
        <f>SUM(Table1[[#This Row],[2025]:[2018]])</f>
        <v>7596</v>
      </c>
      <c r="O874" s="2">
        <f>Table1[[#This Row],[ttl]]/SUM(Table1[ttl])</f>
        <v>1.5316794552557399E-5</v>
      </c>
      <c r="P874" s="3">
        <f>SUM($O$2:Table1[[#This Row],[pctAllTimeExp]])</f>
        <v>0.99501404870642418</v>
      </c>
      <c r="Q874" t="b">
        <f>Table1[[#This Row],[cumPctAllTimeExp]]&lt;0.95</f>
        <v>0</v>
      </c>
    </row>
    <row r="875" spans="1:17" x14ac:dyDescent="0.25">
      <c r="A875">
        <v>434</v>
      </c>
      <c r="C875" t="s">
        <v>2508</v>
      </c>
      <c r="E875" t="s">
        <v>436</v>
      </c>
      <c r="F875" s="4">
        <v>1433.76</v>
      </c>
      <c r="G875" s="4">
        <v>1668.61</v>
      </c>
      <c r="H875" s="4">
        <v>1719.25</v>
      </c>
      <c r="I875" s="4">
        <v>457.29</v>
      </c>
      <c r="J875" s="4">
        <v>361.07</v>
      </c>
      <c r="K875" s="4">
        <v>704.65</v>
      </c>
      <c r="L875" s="4">
        <v>857.19</v>
      </c>
      <c r="M875" s="4">
        <v>358.79</v>
      </c>
      <c r="N875" s="4">
        <f>SUM(Table1[[#This Row],[2025]:[2018]])</f>
        <v>7560.61</v>
      </c>
      <c r="O875" s="2">
        <f>Table1[[#This Row],[ttl]]/SUM(Table1[ttl])</f>
        <v>1.5245433130859794E-5</v>
      </c>
      <c r="P875" s="3">
        <f>SUM($O$2:Table1[[#This Row],[pctAllTimeExp]])</f>
        <v>0.99502929413955499</v>
      </c>
      <c r="Q875" t="b">
        <f>Table1[[#This Row],[cumPctAllTimeExp]]&lt;0.95</f>
        <v>0</v>
      </c>
    </row>
    <row r="876" spans="1:17" x14ac:dyDescent="0.25">
      <c r="A876">
        <v>255</v>
      </c>
      <c r="C876" t="s">
        <v>2508</v>
      </c>
      <c r="E876" t="s">
        <v>257</v>
      </c>
      <c r="F876" s="4">
        <v>7500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f>SUM(Table1[[#This Row],[2025]:[2018]])</f>
        <v>7500</v>
      </c>
      <c r="O876" s="2">
        <f>Table1[[#This Row],[ttl]]/SUM(Table1[ttl])</f>
        <v>1.5123217370218602E-5</v>
      </c>
      <c r="P876" s="3">
        <f>SUM($O$2:Table1[[#This Row],[pctAllTimeExp]])</f>
        <v>0.99504441735692517</v>
      </c>
      <c r="Q876" t="b">
        <f>Table1[[#This Row],[cumPctAllTimeExp]]&lt;0.95</f>
        <v>0</v>
      </c>
    </row>
    <row r="877" spans="1:17" x14ac:dyDescent="0.25">
      <c r="A877">
        <v>1076</v>
      </c>
      <c r="C877" t="s">
        <v>2508</v>
      </c>
      <c r="E877" t="s">
        <v>1078</v>
      </c>
      <c r="F877" s="4">
        <v>0</v>
      </c>
      <c r="G877" s="4">
        <v>0</v>
      </c>
      <c r="H877" s="4">
        <v>1500</v>
      </c>
      <c r="I877" s="4">
        <v>1200</v>
      </c>
      <c r="J877" s="4">
        <v>1200</v>
      </c>
      <c r="K877" s="4">
        <v>1200</v>
      </c>
      <c r="L877" s="4">
        <v>1200</v>
      </c>
      <c r="M877" s="4">
        <v>1200</v>
      </c>
      <c r="N877" s="4">
        <f>SUM(Table1[[#This Row],[2025]:[2018]])</f>
        <v>7500</v>
      </c>
      <c r="O877" s="2">
        <f>Table1[[#This Row],[ttl]]/SUM(Table1[ttl])</f>
        <v>1.5123217370218602E-5</v>
      </c>
      <c r="P877" s="3">
        <f>SUM($O$2:Table1[[#This Row],[pctAllTimeExp]])</f>
        <v>0.99505954057429535</v>
      </c>
      <c r="Q877" t="b">
        <f>Table1[[#This Row],[cumPctAllTimeExp]]&lt;0.95</f>
        <v>0</v>
      </c>
    </row>
    <row r="878" spans="1:17" x14ac:dyDescent="0.25">
      <c r="A878">
        <v>1255</v>
      </c>
      <c r="C878" t="s">
        <v>2508</v>
      </c>
      <c r="E878" t="s">
        <v>1257</v>
      </c>
      <c r="F878" s="4">
        <v>0</v>
      </c>
      <c r="G878" s="4">
        <v>0</v>
      </c>
      <c r="H878" s="4">
        <v>0</v>
      </c>
      <c r="I878" s="4">
        <v>2055.5</v>
      </c>
      <c r="J878" s="4">
        <v>4446</v>
      </c>
      <c r="K878" s="4">
        <v>970.5</v>
      </c>
      <c r="L878" s="4">
        <v>0</v>
      </c>
      <c r="M878" s="4">
        <v>0</v>
      </c>
      <c r="N878" s="4">
        <f>SUM(Table1[[#This Row],[2025]:[2018]])</f>
        <v>7472</v>
      </c>
      <c r="O878" s="2">
        <f>Table1[[#This Row],[ttl]]/SUM(Table1[ttl])</f>
        <v>1.5066757358703119E-5</v>
      </c>
      <c r="P878" s="3">
        <f>SUM($O$2:Table1[[#This Row],[pctAllTimeExp]])</f>
        <v>0.99507460733165409</v>
      </c>
      <c r="Q878" t="b">
        <f>Table1[[#This Row],[cumPctAllTimeExp]]&lt;0.95</f>
        <v>0</v>
      </c>
    </row>
    <row r="879" spans="1:17" x14ac:dyDescent="0.25">
      <c r="A879">
        <v>457</v>
      </c>
      <c r="C879" t="s">
        <v>2508</v>
      </c>
      <c r="E879" t="s">
        <v>459</v>
      </c>
      <c r="F879" s="4">
        <v>1175</v>
      </c>
      <c r="G879" s="4">
        <v>1025</v>
      </c>
      <c r="H879" s="4">
        <v>500</v>
      </c>
      <c r="I879" s="4">
        <v>1207.5</v>
      </c>
      <c r="J879" s="4">
        <v>3555</v>
      </c>
      <c r="K879" s="4">
        <v>0</v>
      </c>
      <c r="L879" s="4">
        <v>0</v>
      </c>
      <c r="M879" s="4">
        <v>0</v>
      </c>
      <c r="N879" s="4">
        <f>SUM(Table1[[#This Row],[2025]:[2018]])</f>
        <v>7462.5</v>
      </c>
      <c r="O879" s="2">
        <f>Table1[[#This Row],[ttl]]/SUM(Table1[ttl])</f>
        <v>1.5047601283367508E-5</v>
      </c>
      <c r="P879" s="3">
        <f>SUM($O$2:Table1[[#This Row],[pctAllTimeExp]])</f>
        <v>0.99508965493293744</v>
      </c>
      <c r="Q879" t="b">
        <f>Table1[[#This Row],[cumPctAllTimeExp]]&lt;0.95</f>
        <v>0</v>
      </c>
    </row>
    <row r="880" spans="1:17" x14ac:dyDescent="0.25">
      <c r="A880">
        <v>2012</v>
      </c>
      <c r="C880" t="s">
        <v>2508</v>
      </c>
      <c r="E880" t="s">
        <v>2014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4780</v>
      </c>
      <c r="M880" s="4">
        <v>2675</v>
      </c>
      <c r="N880" s="4">
        <f>SUM(Table1[[#This Row],[2025]:[2018]])</f>
        <v>7455</v>
      </c>
      <c r="O880" s="2">
        <f>Table1[[#This Row],[ttl]]/SUM(Table1[ttl])</f>
        <v>1.5032478065997289E-5</v>
      </c>
      <c r="P880" s="3">
        <f>SUM($O$2:Table1[[#This Row],[pctAllTimeExp]])</f>
        <v>0.99510468741100344</v>
      </c>
      <c r="Q880" t="b">
        <f>Table1[[#This Row],[cumPctAllTimeExp]]&lt;0.95</f>
        <v>0</v>
      </c>
    </row>
    <row r="881" spans="1:17" x14ac:dyDescent="0.25">
      <c r="A881">
        <v>381</v>
      </c>
      <c r="C881" t="s">
        <v>2508</v>
      </c>
      <c r="E881" t="s">
        <v>383</v>
      </c>
      <c r="F881" s="4">
        <v>2284.6</v>
      </c>
      <c r="G881" s="4">
        <v>124.32</v>
      </c>
      <c r="H881" s="4">
        <v>1910.64</v>
      </c>
      <c r="I881" s="4">
        <v>1607.28</v>
      </c>
      <c r="J881" s="4">
        <v>1488.56</v>
      </c>
      <c r="K881" s="4">
        <v>0</v>
      </c>
      <c r="L881" s="4">
        <v>0</v>
      </c>
      <c r="M881" s="4">
        <v>0</v>
      </c>
      <c r="N881" s="4">
        <f>SUM(Table1[[#This Row],[2025]:[2018]])</f>
        <v>7415.4</v>
      </c>
      <c r="O881" s="2">
        <f>Table1[[#This Row],[ttl]]/SUM(Table1[ttl])</f>
        <v>1.4952627478282534E-5</v>
      </c>
      <c r="P881" s="3">
        <f>SUM($O$2:Table1[[#This Row],[pctAllTimeExp]])</f>
        <v>0.99511964003848175</v>
      </c>
      <c r="Q881" t="b">
        <f>Table1[[#This Row],[cumPctAllTimeExp]]&lt;0.95</f>
        <v>0</v>
      </c>
    </row>
    <row r="882" spans="1:17" x14ac:dyDescent="0.25">
      <c r="A882">
        <v>757</v>
      </c>
      <c r="C882" t="s">
        <v>2508</v>
      </c>
      <c r="E882" t="s">
        <v>759</v>
      </c>
      <c r="F882" s="4">
        <v>0</v>
      </c>
      <c r="G882" s="4">
        <v>7370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f>SUM(Table1[[#This Row],[2025]:[2018]])</f>
        <v>7370</v>
      </c>
      <c r="O882" s="2">
        <f>Table1[[#This Row],[ttl]]/SUM(Table1[ttl])</f>
        <v>1.4861081602468146E-5</v>
      </c>
      <c r="P882" s="3">
        <f>SUM($O$2:Table1[[#This Row],[pctAllTimeExp]])</f>
        <v>0.99513450112008417</v>
      </c>
      <c r="Q882" t="b">
        <f>Table1[[#This Row],[cumPctAllTimeExp]]&lt;0.95</f>
        <v>0</v>
      </c>
    </row>
    <row r="883" spans="1:17" x14ac:dyDescent="0.25">
      <c r="A883">
        <v>1064</v>
      </c>
      <c r="C883" t="s">
        <v>2508</v>
      </c>
      <c r="E883" t="s">
        <v>1066</v>
      </c>
      <c r="F883" s="4">
        <v>0</v>
      </c>
      <c r="G883" s="4">
        <v>0</v>
      </c>
      <c r="H883" s="4">
        <v>2434</v>
      </c>
      <c r="I883" s="4">
        <v>2830</v>
      </c>
      <c r="J883" s="4">
        <v>2106</v>
      </c>
      <c r="K883" s="4">
        <v>0</v>
      </c>
      <c r="L883" s="4">
        <v>0</v>
      </c>
      <c r="M883" s="4">
        <v>0</v>
      </c>
      <c r="N883" s="4">
        <f>SUM(Table1[[#This Row],[2025]:[2018]])</f>
        <v>7370</v>
      </c>
      <c r="O883" s="2">
        <f>Table1[[#This Row],[ttl]]/SUM(Table1[ttl])</f>
        <v>1.4861081602468146E-5</v>
      </c>
      <c r="P883" s="3">
        <f>SUM($O$2:Table1[[#This Row],[pctAllTimeExp]])</f>
        <v>0.99514936220168659</v>
      </c>
      <c r="Q883" t="b">
        <f>Table1[[#This Row],[cumPctAllTimeExp]]&lt;0.95</f>
        <v>0</v>
      </c>
    </row>
    <row r="884" spans="1:17" x14ac:dyDescent="0.25">
      <c r="A884">
        <v>262</v>
      </c>
      <c r="C884" t="s">
        <v>2508</v>
      </c>
      <c r="E884" t="s">
        <v>264</v>
      </c>
      <c r="F884" s="4">
        <v>7355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f>SUM(Table1[[#This Row],[2025]:[2018]])</f>
        <v>7355</v>
      </c>
      <c r="O884" s="2">
        <f>Table1[[#This Row],[ttl]]/SUM(Table1[ttl])</f>
        <v>1.4830835167727709E-5</v>
      </c>
      <c r="P884" s="3">
        <f>SUM($O$2:Table1[[#This Row],[pctAllTimeExp]])</f>
        <v>0.99516419303685433</v>
      </c>
      <c r="Q884" t="b">
        <f>Table1[[#This Row],[cumPctAllTimeExp]]&lt;0.95</f>
        <v>0</v>
      </c>
    </row>
    <row r="885" spans="1:17" x14ac:dyDescent="0.25">
      <c r="A885">
        <v>1434</v>
      </c>
      <c r="C885" t="s">
        <v>2508</v>
      </c>
      <c r="E885" t="s">
        <v>1436</v>
      </c>
      <c r="F885" s="4">
        <v>0</v>
      </c>
      <c r="G885" s="4">
        <v>0</v>
      </c>
      <c r="H885" s="4">
        <v>0</v>
      </c>
      <c r="I885" s="4">
        <v>0</v>
      </c>
      <c r="J885" s="4">
        <v>7340</v>
      </c>
      <c r="K885" s="4">
        <v>0</v>
      </c>
      <c r="L885" s="4">
        <v>0</v>
      </c>
      <c r="M885" s="4">
        <v>0</v>
      </c>
      <c r="N885" s="4">
        <f>SUM(Table1[[#This Row],[2025]:[2018]])</f>
        <v>7340</v>
      </c>
      <c r="O885" s="2">
        <f>Table1[[#This Row],[ttl]]/SUM(Table1[ttl])</f>
        <v>1.4800588732987272E-5</v>
      </c>
      <c r="P885" s="3">
        <f>SUM($O$2:Table1[[#This Row],[pctAllTimeExp]])</f>
        <v>0.99517899362558726</v>
      </c>
      <c r="Q885" t="b">
        <f>Table1[[#This Row],[cumPctAllTimeExp]]&lt;0.95</f>
        <v>0</v>
      </c>
    </row>
    <row r="886" spans="1:17" x14ac:dyDescent="0.25">
      <c r="A886">
        <v>1435</v>
      </c>
      <c r="C886" t="s">
        <v>2508</v>
      </c>
      <c r="E886" t="s">
        <v>1437</v>
      </c>
      <c r="F886" s="4">
        <v>0</v>
      </c>
      <c r="G886" s="4">
        <v>0</v>
      </c>
      <c r="H886" s="4">
        <v>0</v>
      </c>
      <c r="I886" s="4">
        <v>0</v>
      </c>
      <c r="J886" s="4">
        <v>6975.9</v>
      </c>
      <c r="K886" s="4">
        <v>352.35</v>
      </c>
      <c r="L886" s="4">
        <v>0</v>
      </c>
      <c r="M886" s="4">
        <v>0</v>
      </c>
      <c r="N886" s="4">
        <f>SUM(Table1[[#This Row],[2025]:[2018]])</f>
        <v>7328.25</v>
      </c>
      <c r="O886" s="2">
        <f>Table1[[#This Row],[ttl]]/SUM(Table1[ttl])</f>
        <v>1.4776895692440595E-5</v>
      </c>
      <c r="P886" s="3">
        <f>SUM($O$2:Table1[[#This Row],[pctAllTimeExp]])</f>
        <v>0.99519377052127966</v>
      </c>
      <c r="Q886" t="b">
        <f>Table1[[#This Row],[cumPctAllTimeExp]]&lt;0.95</f>
        <v>0</v>
      </c>
    </row>
    <row r="887" spans="1:17" x14ac:dyDescent="0.25">
      <c r="A887">
        <v>1774</v>
      </c>
      <c r="C887" t="s">
        <v>2508</v>
      </c>
      <c r="E887" t="s">
        <v>1776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944.95</v>
      </c>
      <c r="L887" s="4">
        <v>398.68</v>
      </c>
      <c r="M887" s="4">
        <v>5874.2</v>
      </c>
      <c r="N887" s="4">
        <f>SUM(Table1[[#This Row],[2025]:[2018]])</f>
        <v>7217.83</v>
      </c>
      <c r="O887" s="2">
        <f>Table1[[#This Row],[ttl]]/SUM(Table1[ttl])</f>
        <v>1.4554241604171323E-5</v>
      </c>
      <c r="P887" s="3">
        <f>SUM($O$2:Table1[[#This Row],[pctAllTimeExp]])</f>
        <v>0.99520832476288379</v>
      </c>
      <c r="Q887" t="b">
        <f>Table1[[#This Row],[cumPctAllTimeExp]]&lt;0.95</f>
        <v>0</v>
      </c>
    </row>
    <row r="888" spans="1:17" x14ac:dyDescent="0.25">
      <c r="A888">
        <v>759</v>
      </c>
      <c r="C888" t="s">
        <v>2508</v>
      </c>
      <c r="E888" t="s">
        <v>761</v>
      </c>
      <c r="F888" s="4">
        <v>0</v>
      </c>
      <c r="G888" s="4">
        <v>7200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f>SUM(Table1[[#This Row],[2025]:[2018]])</f>
        <v>7200</v>
      </c>
      <c r="O888" s="2">
        <f>Table1[[#This Row],[ttl]]/SUM(Table1[ttl])</f>
        <v>1.4518288675409857E-5</v>
      </c>
      <c r="P888" s="3">
        <f>SUM($O$2:Table1[[#This Row],[pctAllTimeExp]])</f>
        <v>0.99522284305155917</v>
      </c>
      <c r="Q888" t="b">
        <f>Table1[[#This Row],[cumPctAllTimeExp]]&lt;0.95</f>
        <v>0</v>
      </c>
    </row>
    <row r="889" spans="1:17" x14ac:dyDescent="0.25">
      <c r="A889">
        <v>1031</v>
      </c>
      <c r="C889" t="s">
        <v>2508</v>
      </c>
      <c r="E889" t="s">
        <v>1033</v>
      </c>
      <c r="F889" s="4">
        <v>0</v>
      </c>
      <c r="G889" s="4">
        <v>0</v>
      </c>
      <c r="H889" s="4">
        <v>5994</v>
      </c>
      <c r="I889" s="4">
        <v>0</v>
      </c>
      <c r="J889" s="4">
        <v>1152</v>
      </c>
      <c r="K889" s="4">
        <v>0</v>
      </c>
      <c r="L889" s="4">
        <v>0</v>
      </c>
      <c r="M889" s="4">
        <v>0</v>
      </c>
      <c r="N889" s="4">
        <f>SUM(Table1[[#This Row],[2025]:[2018]])</f>
        <v>7146</v>
      </c>
      <c r="O889" s="2">
        <f>Table1[[#This Row],[ttl]]/SUM(Table1[ttl])</f>
        <v>1.4409401510344284E-5</v>
      </c>
      <c r="P889" s="3">
        <f>SUM($O$2:Table1[[#This Row],[pctAllTimeExp]])</f>
        <v>0.99523725245306949</v>
      </c>
      <c r="Q889" t="b">
        <f>Table1[[#This Row],[cumPctAllTimeExp]]&lt;0.95</f>
        <v>0</v>
      </c>
    </row>
    <row r="890" spans="1:17" x14ac:dyDescent="0.25">
      <c r="A890">
        <v>2274</v>
      </c>
      <c r="C890" t="s">
        <v>2508</v>
      </c>
      <c r="E890" t="s">
        <v>2276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7135.09</v>
      </c>
      <c r="N890" s="4">
        <f>SUM(Table1[[#This Row],[2025]:[2018]])</f>
        <v>7135.09</v>
      </c>
      <c r="O890" s="2">
        <f>Table1[[#This Row],[ttl]]/SUM(Table1[ttl])</f>
        <v>1.4387402270143072E-5</v>
      </c>
      <c r="P890" s="3">
        <f>SUM($O$2:Table1[[#This Row],[pctAllTimeExp]])</f>
        <v>0.9952516398553396</v>
      </c>
      <c r="Q890" t="b">
        <f>Table1[[#This Row],[cumPctAllTimeExp]]&lt;0.95</f>
        <v>0</v>
      </c>
    </row>
    <row r="891" spans="1:17" x14ac:dyDescent="0.25">
      <c r="A891">
        <v>1023</v>
      </c>
      <c r="C891" t="s">
        <v>2508</v>
      </c>
      <c r="E891" t="s">
        <v>1025</v>
      </c>
      <c r="F891" s="4">
        <v>0</v>
      </c>
      <c r="G891" s="4">
        <v>0</v>
      </c>
      <c r="H891" s="4">
        <v>7129.38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f>SUM(Table1[[#This Row],[2025]:[2018]])</f>
        <v>7129.38</v>
      </c>
      <c r="O891" s="2">
        <f>Table1[[#This Row],[ttl]]/SUM(Table1[ttl])</f>
        <v>1.4375888460651878E-5</v>
      </c>
      <c r="P891" s="3">
        <f>SUM($O$2:Table1[[#This Row],[pctAllTimeExp]])</f>
        <v>0.99526601574380025</v>
      </c>
      <c r="Q891" t="b">
        <f>Table1[[#This Row],[cumPctAllTimeExp]]&lt;0.95</f>
        <v>0</v>
      </c>
    </row>
    <row r="892" spans="1:17" x14ac:dyDescent="0.25">
      <c r="A892">
        <v>2044</v>
      </c>
      <c r="C892" t="s">
        <v>2508</v>
      </c>
      <c r="E892" t="s">
        <v>2046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2200</v>
      </c>
      <c r="M892" s="4">
        <v>4900</v>
      </c>
      <c r="N892" s="4">
        <f>SUM(Table1[[#This Row],[2025]:[2018]])</f>
        <v>7100</v>
      </c>
      <c r="O892" s="2">
        <f>Table1[[#This Row],[ttl]]/SUM(Table1[ttl])</f>
        <v>1.4316645777140275E-5</v>
      </c>
      <c r="P892" s="3">
        <f>SUM($O$2:Table1[[#This Row],[pctAllTimeExp]])</f>
        <v>0.99528033238957736</v>
      </c>
      <c r="Q892" t="b">
        <f>Table1[[#This Row],[cumPctAllTimeExp]]&lt;0.95</f>
        <v>0</v>
      </c>
    </row>
    <row r="893" spans="1:17" x14ac:dyDescent="0.25">
      <c r="A893">
        <v>393</v>
      </c>
      <c r="C893" t="s">
        <v>2508</v>
      </c>
      <c r="E893" t="s">
        <v>395</v>
      </c>
      <c r="F893" s="4">
        <v>2029</v>
      </c>
      <c r="G893" s="4">
        <v>0</v>
      </c>
      <c r="H893" s="4">
        <v>0</v>
      </c>
      <c r="I893" s="4">
        <v>0</v>
      </c>
      <c r="J893" s="4">
        <v>3360</v>
      </c>
      <c r="K893" s="4">
        <v>0</v>
      </c>
      <c r="L893" s="4">
        <v>1650</v>
      </c>
      <c r="M893" s="4">
        <v>0</v>
      </c>
      <c r="N893" s="4">
        <f>SUM(Table1[[#This Row],[2025]:[2018]])</f>
        <v>7039</v>
      </c>
      <c r="O893" s="2">
        <f>Table1[[#This Row],[ttl]]/SUM(Table1[ttl])</f>
        <v>1.4193643609195832E-5</v>
      </c>
      <c r="P893" s="3">
        <f>SUM($O$2:Table1[[#This Row],[pctAllTimeExp]])</f>
        <v>0.99529452603318658</v>
      </c>
      <c r="Q893" t="b">
        <f>Table1[[#This Row],[cumPctAllTimeExp]]&lt;0.95</f>
        <v>0</v>
      </c>
    </row>
    <row r="894" spans="1:17" x14ac:dyDescent="0.25">
      <c r="A894">
        <v>347</v>
      </c>
      <c r="C894" t="s">
        <v>2508</v>
      </c>
      <c r="E894" t="s">
        <v>349</v>
      </c>
      <c r="F894" s="4">
        <v>3224.58</v>
      </c>
      <c r="G894" s="4">
        <v>0</v>
      </c>
      <c r="H894" s="4">
        <v>0</v>
      </c>
      <c r="I894" s="4">
        <v>27.75</v>
      </c>
      <c r="J894" s="4">
        <v>3642.69</v>
      </c>
      <c r="K894" s="4">
        <v>120.75</v>
      </c>
      <c r="L894" s="4">
        <v>0</v>
      </c>
      <c r="M894" s="4">
        <v>0</v>
      </c>
      <c r="N894" s="4">
        <f>SUM(Table1[[#This Row],[2025]:[2018]])</f>
        <v>7015.77</v>
      </c>
      <c r="O894" s="2">
        <f>Table1[[#This Row],[ttl]]/SUM(Table1[ttl])</f>
        <v>1.4146801963927808E-5</v>
      </c>
      <c r="P894" s="3">
        <f>SUM($O$2:Table1[[#This Row],[pctAllTimeExp]])</f>
        <v>0.99530867283515045</v>
      </c>
      <c r="Q894" t="b">
        <f>Table1[[#This Row],[cumPctAllTimeExp]]&lt;0.95</f>
        <v>0</v>
      </c>
    </row>
    <row r="895" spans="1:17" x14ac:dyDescent="0.25">
      <c r="A895">
        <v>639</v>
      </c>
      <c r="C895" t="s">
        <v>2508</v>
      </c>
      <c r="E895" t="s">
        <v>641</v>
      </c>
      <c r="F895" s="4">
        <v>175</v>
      </c>
      <c r="G895" s="4">
        <v>0</v>
      </c>
      <c r="H895" s="4">
        <v>665.5</v>
      </c>
      <c r="I895" s="4">
        <v>788</v>
      </c>
      <c r="J895" s="4">
        <v>755.25</v>
      </c>
      <c r="K895" s="4">
        <v>860.5</v>
      </c>
      <c r="L895" s="4">
        <v>1548.5</v>
      </c>
      <c r="M895" s="4">
        <v>2182.4</v>
      </c>
      <c r="N895" s="4">
        <f>SUM(Table1[[#This Row],[2025]:[2018]])</f>
        <v>6975.15</v>
      </c>
      <c r="O895" s="2">
        <f>Table1[[#This Row],[ttl]]/SUM(Table1[ttl])</f>
        <v>1.4064894618650703E-5</v>
      </c>
      <c r="P895" s="3">
        <f>SUM($O$2:Table1[[#This Row],[pctAllTimeExp]])</f>
        <v>0.99532273772976909</v>
      </c>
      <c r="Q895" t="b">
        <f>Table1[[#This Row],[cumPctAllTimeExp]]&lt;0.95</f>
        <v>0</v>
      </c>
    </row>
    <row r="896" spans="1:17" x14ac:dyDescent="0.25">
      <c r="A896">
        <v>1225</v>
      </c>
      <c r="C896" t="s">
        <v>2508</v>
      </c>
      <c r="E896" t="s">
        <v>1227</v>
      </c>
      <c r="F896" s="4">
        <v>0</v>
      </c>
      <c r="G896" s="4">
        <v>0</v>
      </c>
      <c r="H896" s="4">
        <v>0</v>
      </c>
      <c r="I896" s="4">
        <v>6950</v>
      </c>
      <c r="J896" s="4">
        <v>0</v>
      </c>
      <c r="K896" s="4">
        <v>0</v>
      </c>
      <c r="L896" s="4">
        <v>0</v>
      </c>
      <c r="M896" s="4">
        <v>0</v>
      </c>
      <c r="N896" s="4">
        <f>SUM(Table1[[#This Row],[2025]:[2018]])</f>
        <v>6950</v>
      </c>
      <c r="O896" s="2">
        <f>Table1[[#This Row],[ttl]]/SUM(Table1[ttl])</f>
        <v>1.4014181429735903E-5</v>
      </c>
      <c r="P896" s="3">
        <f>SUM($O$2:Table1[[#This Row],[pctAllTimeExp]])</f>
        <v>0.99533675191119886</v>
      </c>
      <c r="Q896" t="b">
        <f>Table1[[#This Row],[cumPctAllTimeExp]]&lt;0.95</f>
        <v>0</v>
      </c>
    </row>
    <row r="897" spans="1:17" x14ac:dyDescent="0.25">
      <c r="A897">
        <v>324</v>
      </c>
      <c r="C897" t="s">
        <v>2508</v>
      </c>
      <c r="E897" t="s">
        <v>326</v>
      </c>
      <c r="F897" s="4">
        <v>3953.13</v>
      </c>
      <c r="G897" s="4">
        <v>2906.58</v>
      </c>
      <c r="H897" s="4">
        <v>39.61</v>
      </c>
      <c r="I897" s="4">
        <v>50.42</v>
      </c>
      <c r="J897" s="4">
        <v>0</v>
      </c>
      <c r="K897" s="4">
        <v>0</v>
      </c>
      <c r="L897" s="4">
        <v>0</v>
      </c>
      <c r="M897" s="4">
        <v>0</v>
      </c>
      <c r="N897" s="4">
        <f>SUM(Table1[[#This Row],[2025]:[2018]])</f>
        <v>6949.74</v>
      </c>
      <c r="O897" s="2">
        <f>Table1[[#This Row],[ttl]]/SUM(Table1[ttl])</f>
        <v>1.4013657158200403E-5</v>
      </c>
      <c r="P897" s="3">
        <f>SUM($O$2:Table1[[#This Row],[pctAllTimeExp]])</f>
        <v>0.99535076556835711</v>
      </c>
      <c r="Q897" t="b">
        <f>Table1[[#This Row],[cumPctAllTimeExp]]&lt;0.95</f>
        <v>0</v>
      </c>
    </row>
    <row r="898" spans="1:17" x14ac:dyDescent="0.25">
      <c r="A898">
        <v>635</v>
      </c>
      <c r="C898" t="s">
        <v>2508</v>
      </c>
      <c r="E898" t="s">
        <v>637</v>
      </c>
      <c r="F898" s="4">
        <v>189.99</v>
      </c>
      <c r="G898" s="4">
        <v>0</v>
      </c>
      <c r="H898" s="4">
        <v>0</v>
      </c>
      <c r="I898" s="4">
        <v>472.12</v>
      </c>
      <c r="J898" s="4">
        <v>1905.82</v>
      </c>
      <c r="K898" s="4">
        <v>2823.67</v>
      </c>
      <c r="L898" s="4">
        <v>1109.23</v>
      </c>
      <c r="M898" s="4">
        <v>440.99</v>
      </c>
      <c r="N898" s="4">
        <f>SUM(Table1[[#This Row],[2025]:[2018]])</f>
        <v>6941.82</v>
      </c>
      <c r="O898" s="2">
        <f>Table1[[#This Row],[ttl]]/SUM(Table1[ttl])</f>
        <v>1.3997687040657452E-5</v>
      </c>
      <c r="P898" s="3">
        <f>SUM($O$2:Table1[[#This Row],[pctAllTimeExp]])</f>
        <v>0.9953647632553978</v>
      </c>
      <c r="Q898" t="b">
        <f>Table1[[#This Row],[cumPctAllTimeExp]]&lt;0.95</f>
        <v>0</v>
      </c>
    </row>
    <row r="899" spans="1:17" x14ac:dyDescent="0.25">
      <c r="A899">
        <v>1540</v>
      </c>
      <c r="C899" t="s">
        <v>2508</v>
      </c>
      <c r="E899" t="s">
        <v>1542</v>
      </c>
      <c r="F899" s="4">
        <v>0</v>
      </c>
      <c r="G899" s="4">
        <v>0</v>
      </c>
      <c r="H899" s="4">
        <v>0</v>
      </c>
      <c r="I899" s="4">
        <v>0</v>
      </c>
      <c r="J899" s="4">
        <v>327.35000000000002</v>
      </c>
      <c r="K899" s="4">
        <v>1873.72</v>
      </c>
      <c r="L899" s="4">
        <v>2456.5700000000002</v>
      </c>
      <c r="M899" s="4">
        <v>2223.54</v>
      </c>
      <c r="N899" s="4">
        <f>SUM(Table1[[#This Row],[2025]:[2018]])</f>
        <v>6881.18</v>
      </c>
      <c r="O899" s="2">
        <f>Table1[[#This Row],[ttl]]/SUM(Table1[ttl])</f>
        <v>1.3875410787146778E-5</v>
      </c>
      <c r="P899" s="3">
        <f>SUM($O$2:Table1[[#This Row],[pctAllTimeExp]])</f>
        <v>0.99537863866618492</v>
      </c>
      <c r="Q899" t="b">
        <f>Table1[[#This Row],[cumPctAllTimeExp]]&lt;0.95</f>
        <v>0</v>
      </c>
    </row>
    <row r="900" spans="1:17" x14ac:dyDescent="0.25">
      <c r="A900">
        <v>1161</v>
      </c>
      <c r="C900" t="s">
        <v>2508</v>
      </c>
      <c r="E900" t="s">
        <v>1163</v>
      </c>
      <c r="F900" s="4">
        <v>0</v>
      </c>
      <c r="G900" s="4">
        <v>0</v>
      </c>
      <c r="H900" s="4">
        <v>185</v>
      </c>
      <c r="I900" s="4">
        <v>1688</v>
      </c>
      <c r="J900" s="4">
        <v>1505</v>
      </c>
      <c r="K900" s="4">
        <v>1475</v>
      </c>
      <c r="L900" s="4">
        <v>1983</v>
      </c>
      <c r="M900" s="4">
        <v>0</v>
      </c>
      <c r="N900" s="4">
        <f>SUM(Table1[[#This Row],[2025]:[2018]])</f>
        <v>6836</v>
      </c>
      <c r="O900" s="2">
        <f>Table1[[#This Row],[ttl]]/SUM(Table1[ttl])</f>
        <v>1.3784308525708581E-5</v>
      </c>
      <c r="P900" s="3">
        <f>SUM($O$2:Table1[[#This Row],[pctAllTimeExp]])</f>
        <v>0.99539242297471064</v>
      </c>
      <c r="Q900" t="b">
        <f>Table1[[#This Row],[cumPctAllTimeExp]]&lt;0.95</f>
        <v>0</v>
      </c>
    </row>
    <row r="901" spans="1:17" x14ac:dyDescent="0.25">
      <c r="A901">
        <v>2035</v>
      </c>
      <c r="C901" t="s">
        <v>2508</v>
      </c>
      <c r="E901" t="s">
        <v>2037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2700</v>
      </c>
      <c r="M901" s="4">
        <v>4125</v>
      </c>
      <c r="N901" s="4">
        <f>SUM(Table1[[#This Row],[2025]:[2018]])</f>
        <v>6825</v>
      </c>
      <c r="O901" s="2">
        <f>Table1[[#This Row],[ttl]]/SUM(Table1[ttl])</f>
        <v>1.3762127806898927E-5</v>
      </c>
      <c r="P901" s="3">
        <f>SUM($O$2:Table1[[#This Row],[pctAllTimeExp]])</f>
        <v>0.99540618510251755</v>
      </c>
      <c r="Q901" t="b">
        <f>Table1[[#This Row],[cumPctAllTimeExp]]&lt;0.95</f>
        <v>0</v>
      </c>
    </row>
    <row r="902" spans="1:17" x14ac:dyDescent="0.25">
      <c r="A902">
        <v>1026</v>
      </c>
      <c r="C902" t="s">
        <v>2508</v>
      </c>
      <c r="E902" t="s">
        <v>1028</v>
      </c>
      <c r="F902" s="4">
        <v>0</v>
      </c>
      <c r="G902" s="4">
        <v>0</v>
      </c>
      <c r="H902" s="4">
        <v>6800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f>SUM(Table1[[#This Row],[2025]:[2018]])</f>
        <v>6800</v>
      </c>
      <c r="O902" s="2">
        <f>Table1[[#This Row],[ttl]]/SUM(Table1[ttl])</f>
        <v>1.3711717082331532E-5</v>
      </c>
      <c r="P902" s="3">
        <f>SUM($O$2:Table1[[#This Row],[pctAllTimeExp]])</f>
        <v>0.99541989681959986</v>
      </c>
      <c r="Q902" t="b">
        <f>Table1[[#This Row],[cumPctAllTimeExp]]&lt;0.95</f>
        <v>0</v>
      </c>
    </row>
    <row r="903" spans="1:17" x14ac:dyDescent="0.25">
      <c r="A903">
        <v>858</v>
      </c>
      <c r="C903" t="s">
        <v>2508</v>
      </c>
      <c r="E903" t="s">
        <v>860</v>
      </c>
      <c r="F903" s="4">
        <v>0</v>
      </c>
      <c r="G903" s="4">
        <v>646</v>
      </c>
      <c r="H903" s="4">
        <v>197</v>
      </c>
      <c r="I903" s="4">
        <v>0</v>
      </c>
      <c r="J903" s="4">
        <v>0</v>
      </c>
      <c r="K903" s="4">
        <v>0</v>
      </c>
      <c r="L903" s="4">
        <v>5900</v>
      </c>
      <c r="M903" s="4">
        <v>0</v>
      </c>
      <c r="N903" s="4">
        <f>SUM(Table1[[#This Row],[2025]:[2018]])</f>
        <v>6743</v>
      </c>
      <c r="O903" s="2">
        <f>Table1[[#This Row],[ttl]]/SUM(Table1[ttl])</f>
        <v>1.3596780630317871E-5</v>
      </c>
      <c r="P903" s="3">
        <f>SUM($O$2:Table1[[#This Row],[pctAllTimeExp]])</f>
        <v>0.99543349360023015</v>
      </c>
      <c r="Q903" t="b">
        <f>Table1[[#This Row],[cumPctAllTimeExp]]&lt;0.95</f>
        <v>0</v>
      </c>
    </row>
    <row r="904" spans="1:17" x14ac:dyDescent="0.25">
      <c r="A904">
        <v>765</v>
      </c>
      <c r="C904" t="s">
        <v>2508</v>
      </c>
      <c r="E904" t="s">
        <v>767</v>
      </c>
      <c r="F904" s="4">
        <v>0</v>
      </c>
      <c r="G904" s="4">
        <v>5240</v>
      </c>
      <c r="H904" s="4">
        <v>1500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f>SUM(Table1[[#This Row],[2025]:[2018]])</f>
        <v>6740</v>
      </c>
      <c r="O904" s="2">
        <f>Table1[[#This Row],[ttl]]/SUM(Table1[ttl])</f>
        <v>1.3590731343369782E-5</v>
      </c>
      <c r="P904" s="3">
        <f>SUM($O$2:Table1[[#This Row],[pctAllTimeExp]])</f>
        <v>0.99544708433157347</v>
      </c>
      <c r="Q904" t="b">
        <f>Table1[[#This Row],[cumPctAllTimeExp]]&lt;0.95</f>
        <v>0</v>
      </c>
    </row>
    <row r="905" spans="1:17" x14ac:dyDescent="0.25">
      <c r="A905">
        <v>270</v>
      </c>
      <c r="C905" t="s">
        <v>2508</v>
      </c>
      <c r="E905" t="s">
        <v>272</v>
      </c>
      <c r="F905" s="4">
        <v>6737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f>SUM(Table1[[#This Row],[2025]:[2018]])</f>
        <v>6737</v>
      </c>
      <c r="O905" s="2">
        <f>Table1[[#This Row],[ttl]]/SUM(Table1[ttl])</f>
        <v>1.3584682056421696E-5</v>
      </c>
      <c r="P905" s="3">
        <f>SUM($O$2:Table1[[#This Row],[pctAllTimeExp]])</f>
        <v>0.99546066901362984</v>
      </c>
      <c r="Q905" t="b">
        <f>Table1[[#This Row],[cumPctAllTimeExp]]&lt;0.95</f>
        <v>0</v>
      </c>
    </row>
    <row r="906" spans="1:17" x14ac:dyDescent="0.25">
      <c r="A906">
        <v>452</v>
      </c>
      <c r="C906" t="s">
        <v>2508</v>
      </c>
      <c r="E906" t="s">
        <v>454</v>
      </c>
      <c r="F906" s="4">
        <v>1200</v>
      </c>
      <c r="G906" s="4">
        <v>1100</v>
      </c>
      <c r="H906" s="4">
        <v>1100</v>
      </c>
      <c r="I906" s="4">
        <v>1100</v>
      </c>
      <c r="J906" s="4">
        <v>2200</v>
      </c>
      <c r="K906" s="4">
        <v>0</v>
      </c>
      <c r="L906" s="4">
        <v>0</v>
      </c>
      <c r="M906" s="4">
        <v>0</v>
      </c>
      <c r="N906" s="4">
        <f>SUM(Table1[[#This Row],[2025]:[2018]])</f>
        <v>6700</v>
      </c>
      <c r="O906" s="2">
        <f>Table1[[#This Row],[ttl]]/SUM(Table1[ttl])</f>
        <v>1.351007418406195E-5</v>
      </c>
      <c r="P906" s="3">
        <f>SUM($O$2:Table1[[#This Row],[pctAllTimeExp]])</f>
        <v>0.99547417908781388</v>
      </c>
      <c r="Q906" t="b">
        <f>Table1[[#This Row],[cumPctAllTimeExp]]&lt;0.95</f>
        <v>0</v>
      </c>
    </row>
    <row r="907" spans="1:17" x14ac:dyDescent="0.25">
      <c r="A907">
        <v>1173</v>
      </c>
      <c r="C907" t="s">
        <v>2508</v>
      </c>
      <c r="E907" t="s">
        <v>1175</v>
      </c>
      <c r="F907" s="4">
        <v>0</v>
      </c>
      <c r="G907" s="4">
        <v>0</v>
      </c>
      <c r="H907" s="4">
        <v>111.4</v>
      </c>
      <c r="I907" s="4">
        <v>0</v>
      </c>
      <c r="J907" s="4">
        <v>0</v>
      </c>
      <c r="K907" s="4">
        <v>0</v>
      </c>
      <c r="L907" s="4">
        <v>6586.68</v>
      </c>
      <c r="M907" s="4">
        <v>0</v>
      </c>
      <c r="N907" s="4">
        <f>SUM(Table1[[#This Row],[2025]:[2018]])</f>
        <v>6698.08</v>
      </c>
      <c r="O907" s="2">
        <f>Table1[[#This Row],[ttl]]/SUM(Table1[ttl])</f>
        <v>1.3506202640415174E-5</v>
      </c>
      <c r="P907" s="3">
        <f>SUM($O$2:Table1[[#This Row],[pctAllTimeExp]])</f>
        <v>0.99548768529045428</v>
      </c>
      <c r="Q907" t="b">
        <f>Table1[[#This Row],[cumPctAllTimeExp]]&lt;0.95</f>
        <v>0</v>
      </c>
    </row>
    <row r="908" spans="1:17" x14ac:dyDescent="0.25">
      <c r="A908">
        <v>302</v>
      </c>
      <c r="C908" t="s">
        <v>2508</v>
      </c>
      <c r="E908" t="s">
        <v>304</v>
      </c>
      <c r="F908" s="4">
        <v>5012</v>
      </c>
      <c r="G908" s="4">
        <v>0</v>
      </c>
      <c r="H908" s="4">
        <v>1685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f>SUM(Table1[[#This Row],[2025]:[2018]])</f>
        <v>6697</v>
      </c>
      <c r="O908" s="2">
        <f>Table1[[#This Row],[ttl]]/SUM(Table1[ttl])</f>
        <v>1.3504024897113862E-5</v>
      </c>
      <c r="P908" s="3">
        <f>SUM($O$2:Table1[[#This Row],[pctAllTimeExp]])</f>
        <v>0.99550118931535136</v>
      </c>
      <c r="Q908" t="b">
        <f>Table1[[#This Row],[cumPctAllTimeExp]]&lt;0.95</f>
        <v>0</v>
      </c>
    </row>
    <row r="909" spans="1:17" x14ac:dyDescent="0.25">
      <c r="A909">
        <v>2275</v>
      </c>
      <c r="C909" t="s">
        <v>2508</v>
      </c>
      <c r="E909" t="s">
        <v>2277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6682</v>
      </c>
      <c r="N909" s="4">
        <f>SUM(Table1[[#This Row],[2025]:[2018]])</f>
        <v>6682</v>
      </c>
      <c r="O909" s="2">
        <f>Table1[[#This Row],[ttl]]/SUM(Table1[ttl])</f>
        <v>1.3473778462373425E-5</v>
      </c>
      <c r="P909" s="3">
        <f>SUM($O$2:Table1[[#This Row],[pctAllTimeExp]])</f>
        <v>0.99551466309381376</v>
      </c>
      <c r="Q909" t="b">
        <f>Table1[[#This Row],[cumPctAllTimeExp]]&lt;0.95</f>
        <v>0</v>
      </c>
    </row>
    <row r="910" spans="1:17" x14ac:dyDescent="0.25">
      <c r="A910">
        <v>471</v>
      </c>
      <c r="C910" t="s">
        <v>2508</v>
      </c>
      <c r="E910" t="s">
        <v>473</v>
      </c>
      <c r="F910" s="4">
        <v>1000</v>
      </c>
      <c r="G910" s="4">
        <v>2600</v>
      </c>
      <c r="H910" s="4">
        <v>2000</v>
      </c>
      <c r="I910" s="4">
        <v>250</v>
      </c>
      <c r="J910" s="4">
        <v>0</v>
      </c>
      <c r="K910" s="4">
        <v>800</v>
      </c>
      <c r="L910" s="4">
        <v>0</v>
      </c>
      <c r="M910" s="4">
        <v>0</v>
      </c>
      <c r="N910" s="4">
        <f>SUM(Table1[[#This Row],[2025]:[2018]])</f>
        <v>6650</v>
      </c>
      <c r="O910" s="2">
        <f>Table1[[#This Row],[ttl]]/SUM(Table1[ttl])</f>
        <v>1.340925273492716E-5</v>
      </c>
      <c r="P910" s="3">
        <f>SUM($O$2:Table1[[#This Row],[pctAllTimeExp]])</f>
        <v>0.99552807234654872</v>
      </c>
      <c r="Q910" t="b">
        <f>Table1[[#This Row],[cumPctAllTimeExp]]&lt;0.95</f>
        <v>0</v>
      </c>
    </row>
    <row r="911" spans="1:17" x14ac:dyDescent="0.25">
      <c r="A911">
        <v>272</v>
      </c>
      <c r="C911" t="s">
        <v>2508</v>
      </c>
      <c r="E911" t="s">
        <v>274</v>
      </c>
      <c r="F911" s="4">
        <v>6600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f>SUM(Table1[[#This Row],[2025]:[2018]])</f>
        <v>6600</v>
      </c>
      <c r="O911" s="2">
        <f>Table1[[#This Row],[ttl]]/SUM(Table1[ttl])</f>
        <v>1.3308431285792368E-5</v>
      </c>
      <c r="P911" s="3">
        <f>SUM($O$2:Table1[[#This Row],[pctAllTimeExp]])</f>
        <v>0.99554138077783449</v>
      </c>
      <c r="Q911" t="b">
        <f>Table1[[#This Row],[cumPctAllTimeExp]]&lt;0.95</f>
        <v>0</v>
      </c>
    </row>
    <row r="912" spans="1:17" x14ac:dyDescent="0.25">
      <c r="A912">
        <v>2060</v>
      </c>
      <c r="C912" t="s">
        <v>2508</v>
      </c>
      <c r="E912" t="s">
        <v>2062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1585</v>
      </c>
      <c r="M912" s="4">
        <v>4999</v>
      </c>
      <c r="N912" s="4">
        <f>SUM(Table1[[#This Row],[2025]:[2018]])</f>
        <v>6584</v>
      </c>
      <c r="O912" s="2">
        <f>Table1[[#This Row],[ttl]]/SUM(Table1[ttl])</f>
        <v>1.3276168422069236E-5</v>
      </c>
      <c r="P912" s="3">
        <f>SUM($O$2:Table1[[#This Row],[pctAllTimeExp]])</f>
        <v>0.99555465694625656</v>
      </c>
      <c r="Q912" t="b">
        <f>Table1[[#This Row],[cumPctAllTimeExp]]&lt;0.95</f>
        <v>0</v>
      </c>
    </row>
    <row r="913" spans="1:17" x14ac:dyDescent="0.25">
      <c r="A913">
        <v>401</v>
      </c>
      <c r="C913" t="s">
        <v>2508</v>
      </c>
      <c r="E913" t="s">
        <v>403</v>
      </c>
      <c r="F913" s="4">
        <v>1893.6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777.1</v>
      </c>
      <c r="M913" s="4">
        <v>3909.84</v>
      </c>
      <c r="N913" s="4">
        <f>SUM(Table1[[#This Row],[2025]:[2018]])</f>
        <v>6580.54</v>
      </c>
      <c r="O913" s="2">
        <f>Table1[[#This Row],[ttl]]/SUM(Table1[ttl])</f>
        <v>1.3269191577789109E-5</v>
      </c>
      <c r="P913" s="3">
        <f>SUM($O$2:Table1[[#This Row],[pctAllTimeExp]])</f>
        <v>0.99556792613783429</v>
      </c>
      <c r="Q913" t="b">
        <f>Table1[[#This Row],[cumPctAllTimeExp]]&lt;0.95</f>
        <v>0</v>
      </c>
    </row>
    <row r="914" spans="1:17" x14ac:dyDescent="0.25">
      <c r="A914">
        <v>477</v>
      </c>
      <c r="C914" t="s">
        <v>2508</v>
      </c>
      <c r="E914" t="s">
        <v>479</v>
      </c>
      <c r="F914" s="4">
        <v>1000</v>
      </c>
      <c r="G914" s="4">
        <v>1000</v>
      </c>
      <c r="H914" s="4">
        <v>700</v>
      </c>
      <c r="I914" s="4">
        <v>700</v>
      </c>
      <c r="J914" s="4">
        <v>0</v>
      </c>
      <c r="K914" s="4">
        <v>1350</v>
      </c>
      <c r="L914" s="4">
        <v>500</v>
      </c>
      <c r="M914" s="4">
        <v>1300</v>
      </c>
      <c r="N914" s="4">
        <f>SUM(Table1[[#This Row],[2025]:[2018]])</f>
        <v>6550</v>
      </c>
      <c r="O914" s="2">
        <f>Table1[[#This Row],[ttl]]/SUM(Table1[ttl])</f>
        <v>1.3207609836657578E-5</v>
      </c>
      <c r="P914" s="3">
        <f>SUM($O$2:Table1[[#This Row],[pctAllTimeExp]])</f>
        <v>0.99558113374767099</v>
      </c>
      <c r="Q914" t="b">
        <f>Table1[[#This Row],[cumPctAllTimeExp]]&lt;0.95</f>
        <v>0</v>
      </c>
    </row>
    <row r="915" spans="1:17" x14ac:dyDescent="0.25">
      <c r="A915">
        <v>2276</v>
      </c>
      <c r="C915" t="s">
        <v>2508</v>
      </c>
      <c r="E915" t="s">
        <v>2278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6550</v>
      </c>
      <c r="N915" s="4">
        <f>SUM(Table1[[#This Row],[2025]:[2018]])</f>
        <v>6550</v>
      </c>
      <c r="O915" s="2">
        <f>Table1[[#This Row],[ttl]]/SUM(Table1[ttl])</f>
        <v>1.3207609836657578E-5</v>
      </c>
      <c r="P915" s="3">
        <f>SUM($O$2:Table1[[#This Row],[pctAllTimeExp]])</f>
        <v>0.99559434135750768</v>
      </c>
      <c r="Q915" t="b">
        <f>Table1[[#This Row],[cumPctAllTimeExp]]&lt;0.95</f>
        <v>0</v>
      </c>
    </row>
    <row r="916" spans="1:17" x14ac:dyDescent="0.25">
      <c r="A916">
        <v>811</v>
      </c>
      <c r="C916" t="s">
        <v>2508</v>
      </c>
      <c r="E916" t="s">
        <v>813</v>
      </c>
      <c r="F916" s="4">
        <v>0</v>
      </c>
      <c r="G916" s="4">
        <v>1700</v>
      </c>
      <c r="H916" s="4">
        <v>0</v>
      </c>
      <c r="I916" s="4">
        <v>0</v>
      </c>
      <c r="J916" s="4">
        <v>0</v>
      </c>
      <c r="K916" s="4">
        <v>4814.6000000000004</v>
      </c>
      <c r="L916" s="4">
        <v>0</v>
      </c>
      <c r="M916" s="4">
        <v>0</v>
      </c>
      <c r="N916" s="4">
        <f>SUM(Table1[[#This Row],[2025]:[2018]])</f>
        <v>6514.6</v>
      </c>
      <c r="O916" s="2">
        <f>Table1[[#This Row],[ttl]]/SUM(Table1[ttl])</f>
        <v>1.3136228250670147E-5</v>
      </c>
      <c r="P916" s="3">
        <f>SUM($O$2:Table1[[#This Row],[pctAllTimeExp]])</f>
        <v>0.9956074775857584</v>
      </c>
      <c r="Q916" t="b">
        <f>Table1[[#This Row],[cumPctAllTimeExp]]&lt;0.95</f>
        <v>0</v>
      </c>
    </row>
    <row r="917" spans="1:17" x14ac:dyDescent="0.25">
      <c r="A917">
        <v>807</v>
      </c>
      <c r="C917" t="s">
        <v>2508</v>
      </c>
      <c r="E917" t="s">
        <v>809</v>
      </c>
      <c r="F917" s="4">
        <v>0</v>
      </c>
      <c r="G917" s="4">
        <v>1819</v>
      </c>
      <c r="H917" s="4">
        <v>0</v>
      </c>
      <c r="I917" s="4">
        <v>0</v>
      </c>
      <c r="J917" s="4">
        <v>1783.18</v>
      </c>
      <c r="K917" s="4">
        <v>0</v>
      </c>
      <c r="L917" s="4">
        <v>2802.78</v>
      </c>
      <c r="M917" s="4">
        <v>0</v>
      </c>
      <c r="N917" s="4">
        <f>SUM(Table1[[#This Row],[2025]:[2018]])</f>
        <v>6404.9600000000009</v>
      </c>
      <c r="O917" s="2">
        <f>Table1[[#This Row],[ttl]]/SUM(Table1[ttl])</f>
        <v>1.291514697700738E-5</v>
      </c>
      <c r="P917" s="3">
        <f>SUM($O$2:Table1[[#This Row],[pctAllTimeExp]])</f>
        <v>0.99562039273273539</v>
      </c>
      <c r="Q917" t="b">
        <f>Table1[[#This Row],[cumPctAllTimeExp]]&lt;0.95</f>
        <v>0</v>
      </c>
    </row>
    <row r="918" spans="1:17" x14ac:dyDescent="0.25">
      <c r="A918">
        <v>454</v>
      </c>
      <c r="C918" t="s">
        <v>2508</v>
      </c>
      <c r="E918" t="s">
        <v>456</v>
      </c>
      <c r="F918" s="4">
        <v>1200</v>
      </c>
      <c r="G918" s="4">
        <v>1200</v>
      </c>
      <c r="H918" s="4">
        <v>1200</v>
      </c>
      <c r="I918" s="4">
        <v>700</v>
      </c>
      <c r="J918" s="4">
        <v>100</v>
      </c>
      <c r="K918" s="4">
        <v>0</v>
      </c>
      <c r="L918" s="4">
        <v>1000</v>
      </c>
      <c r="M918" s="4">
        <v>1000</v>
      </c>
      <c r="N918" s="4">
        <f>SUM(Table1[[#This Row],[2025]:[2018]])</f>
        <v>6400</v>
      </c>
      <c r="O918" s="2">
        <f>Table1[[#This Row],[ttl]]/SUM(Table1[ttl])</f>
        <v>1.2905145489253206E-5</v>
      </c>
      <c r="P918" s="3">
        <f>SUM($O$2:Table1[[#This Row],[pctAllTimeExp]])</f>
        <v>0.99563329787822463</v>
      </c>
      <c r="Q918" t="b">
        <f>Table1[[#This Row],[cumPctAllTimeExp]]&lt;0.95</f>
        <v>0</v>
      </c>
    </row>
    <row r="919" spans="1:17" x14ac:dyDescent="0.25">
      <c r="A919">
        <v>1701</v>
      </c>
      <c r="C919" t="s">
        <v>2508</v>
      </c>
      <c r="E919" t="s">
        <v>1703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6400</v>
      </c>
      <c r="L919" s="4">
        <v>0</v>
      </c>
      <c r="M919" s="4">
        <v>0</v>
      </c>
      <c r="N919" s="4">
        <f>SUM(Table1[[#This Row],[2025]:[2018]])</f>
        <v>6400</v>
      </c>
      <c r="O919" s="2">
        <f>Table1[[#This Row],[ttl]]/SUM(Table1[ttl])</f>
        <v>1.2905145489253206E-5</v>
      </c>
      <c r="P919" s="3">
        <f>SUM($O$2:Table1[[#This Row],[pctAllTimeExp]])</f>
        <v>0.99564620302371387</v>
      </c>
      <c r="Q919" t="b">
        <f>Table1[[#This Row],[cumPctAllTimeExp]]&lt;0.95</f>
        <v>0</v>
      </c>
    </row>
    <row r="920" spans="1:17" x14ac:dyDescent="0.25">
      <c r="A920">
        <v>417</v>
      </c>
      <c r="C920" t="s">
        <v>2508</v>
      </c>
      <c r="E920" t="s">
        <v>419</v>
      </c>
      <c r="F920" s="4">
        <v>1644.28</v>
      </c>
      <c r="G920" s="4">
        <v>179.04</v>
      </c>
      <c r="H920" s="4">
        <v>325.36</v>
      </c>
      <c r="I920" s="4">
        <v>131.58000000000001</v>
      </c>
      <c r="J920" s="4">
        <v>0</v>
      </c>
      <c r="K920" s="4">
        <v>4015.72</v>
      </c>
      <c r="L920" s="4">
        <v>16.87</v>
      </c>
      <c r="M920" s="4">
        <v>0</v>
      </c>
      <c r="N920" s="4">
        <f>SUM(Table1[[#This Row],[2025]:[2018]])</f>
        <v>6312.8499999999995</v>
      </c>
      <c r="O920" s="2">
        <f>Table1[[#This Row],[ttl]]/SUM(Table1[ttl])</f>
        <v>1.2729413703411265E-5</v>
      </c>
      <c r="P920" s="3">
        <f>SUM($O$2:Table1[[#This Row],[pctAllTimeExp]])</f>
        <v>0.99565893243741732</v>
      </c>
      <c r="Q920" t="b">
        <f>Table1[[#This Row],[cumPctAllTimeExp]]&lt;0.95</f>
        <v>0</v>
      </c>
    </row>
    <row r="921" spans="1:17" x14ac:dyDescent="0.25">
      <c r="A921">
        <v>1028</v>
      </c>
      <c r="C921" t="s">
        <v>2508</v>
      </c>
      <c r="E921" t="s">
        <v>1030</v>
      </c>
      <c r="F921" s="4">
        <v>0</v>
      </c>
      <c r="G921" s="4">
        <v>0</v>
      </c>
      <c r="H921" s="4">
        <v>6300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f>SUM(Table1[[#This Row],[2025]:[2018]])</f>
        <v>6300</v>
      </c>
      <c r="O921" s="2">
        <f>Table1[[#This Row],[ttl]]/SUM(Table1[ttl])</f>
        <v>1.2703502590983625E-5</v>
      </c>
      <c r="P921" s="3">
        <f>SUM($O$2:Table1[[#This Row],[pctAllTimeExp]])</f>
        <v>0.99567163594000829</v>
      </c>
      <c r="Q921" t="b">
        <f>Table1[[#This Row],[cumPctAllTimeExp]]&lt;0.95</f>
        <v>0</v>
      </c>
    </row>
    <row r="922" spans="1:17" x14ac:dyDescent="0.25">
      <c r="A922">
        <v>1762</v>
      </c>
      <c r="C922" t="s">
        <v>2508</v>
      </c>
      <c r="E922" t="s">
        <v>1764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1350</v>
      </c>
      <c r="L922" s="4">
        <v>288</v>
      </c>
      <c r="M922" s="4">
        <v>4658</v>
      </c>
      <c r="N922" s="4">
        <f>SUM(Table1[[#This Row],[2025]:[2018]])</f>
        <v>6296</v>
      </c>
      <c r="O922" s="2">
        <f>Table1[[#This Row],[ttl]]/SUM(Table1[ttl])</f>
        <v>1.2695436875052842E-5</v>
      </c>
      <c r="P922" s="3">
        <f>SUM($O$2:Table1[[#This Row],[pctAllTimeExp]])</f>
        <v>0.99568433137688339</v>
      </c>
      <c r="Q922" t="b">
        <f>Table1[[#This Row],[cumPctAllTimeExp]]&lt;0.95</f>
        <v>0</v>
      </c>
    </row>
    <row r="923" spans="1:17" x14ac:dyDescent="0.25">
      <c r="A923">
        <v>1229</v>
      </c>
      <c r="C923" t="s">
        <v>2508</v>
      </c>
      <c r="E923" t="s">
        <v>1231</v>
      </c>
      <c r="F923" s="4">
        <v>0</v>
      </c>
      <c r="G923" s="4">
        <v>0</v>
      </c>
      <c r="H923" s="4">
        <v>0</v>
      </c>
      <c r="I923" s="4">
        <v>6273.75</v>
      </c>
      <c r="J923" s="4">
        <v>0</v>
      </c>
      <c r="K923" s="4">
        <v>0</v>
      </c>
      <c r="L923" s="4">
        <v>0</v>
      </c>
      <c r="M923" s="4">
        <v>0</v>
      </c>
      <c r="N923" s="4">
        <f>SUM(Table1[[#This Row],[2025]:[2018]])</f>
        <v>6273.75</v>
      </c>
      <c r="O923" s="2">
        <f>Table1[[#This Row],[ttl]]/SUM(Table1[ttl])</f>
        <v>1.2650571330187861E-5</v>
      </c>
      <c r="P923" s="3">
        <f>SUM($O$2:Table1[[#This Row],[pctAllTimeExp]])</f>
        <v>0.99569698194821354</v>
      </c>
      <c r="Q923" t="b">
        <f>Table1[[#This Row],[cumPctAllTimeExp]]&lt;0.95</f>
        <v>0</v>
      </c>
    </row>
    <row r="924" spans="1:17" x14ac:dyDescent="0.25">
      <c r="A924">
        <v>1083</v>
      </c>
      <c r="C924" t="s">
        <v>2508</v>
      </c>
      <c r="E924" t="s">
        <v>1085</v>
      </c>
      <c r="F924" s="4">
        <v>0</v>
      </c>
      <c r="G924" s="4">
        <v>0</v>
      </c>
      <c r="H924" s="4">
        <v>1137.04</v>
      </c>
      <c r="I924" s="4">
        <v>5111.78</v>
      </c>
      <c r="J924" s="4">
        <v>0</v>
      </c>
      <c r="K924" s="4">
        <v>0</v>
      </c>
      <c r="L924" s="4">
        <v>0</v>
      </c>
      <c r="M924" s="4">
        <v>0</v>
      </c>
      <c r="N924" s="4">
        <f>SUM(Table1[[#This Row],[2025]:[2018]])</f>
        <v>6248.82</v>
      </c>
      <c r="O924" s="2">
        <f>Table1[[#This Row],[ttl]]/SUM(Table1[ttl])</f>
        <v>1.2600301755649252E-5</v>
      </c>
      <c r="P924" s="3">
        <f>SUM($O$2:Table1[[#This Row],[pctAllTimeExp]])</f>
        <v>0.99570958224996919</v>
      </c>
      <c r="Q924" t="b">
        <f>Table1[[#This Row],[cumPctAllTimeExp]]&lt;0.95</f>
        <v>0</v>
      </c>
    </row>
    <row r="925" spans="1:17" x14ac:dyDescent="0.25">
      <c r="A925">
        <v>1702</v>
      </c>
      <c r="C925" t="s">
        <v>2508</v>
      </c>
      <c r="E925" t="s">
        <v>1704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6212.26</v>
      </c>
      <c r="L925" s="4">
        <v>0</v>
      </c>
      <c r="M925" s="4">
        <v>0</v>
      </c>
      <c r="N925" s="4">
        <f>SUM(Table1[[#This Row],[2025]:[2018]])</f>
        <v>6212.26</v>
      </c>
      <c r="O925" s="2">
        <f>Table1[[#This Row],[ttl]]/SUM(Table1[ttl])</f>
        <v>1.2526581112041894E-5</v>
      </c>
      <c r="P925" s="3">
        <f>SUM($O$2:Table1[[#This Row],[pctAllTimeExp]])</f>
        <v>0.99572210883108125</v>
      </c>
      <c r="Q925" t="b">
        <f>Table1[[#This Row],[cumPctAllTimeExp]]&lt;0.95</f>
        <v>0</v>
      </c>
    </row>
    <row r="926" spans="1:17" x14ac:dyDescent="0.25">
      <c r="A926">
        <v>1230</v>
      </c>
      <c r="C926" t="s">
        <v>2508</v>
      </c>
      <c r="E926" t="s">
        <v>1232</v>
      </c>
      <c r="F926" s="4">
        <v>0</v>
      </c>
      <c r="G926" s="4">
        <v>0</v>
      </c>
      <c r="H926" s="4">
        <v>0</v>
      </c>
      <c r="I926" s="4">
        <v>6176</v>
      </c>
      <c r="J926" s="4">
        <v>0</v>
      </c>
      <c r="K926" s="4">
        <v>0</v>
      </c>
      <c r="L926" s="4">
        <v>0</v>
      </c>
      <c r="M926" s="4">
        <v>0</v>
      </c>
      <c r="N926" s="4">
        <f>SUM(Table1[[#This Row],[2025]:[2018]])</f>
        <v>6176</v>
      </c>
      <c r="O926" s="2">
        <f>Table1[[#This Row],[ttl]]/SUM(Table1[ttl])</f>
        <v>1.2453465397129344E-5</v>
      </c>
      <c r="P926" s="3">
        <f>SUM($O$2:Table1[[#This Row],[pctAllTimeExp]])</f>
        <v>0.99573456229647839</v>
      </c>
      <c r="Q926" t="b">
        <f>Table1[[#This Row],[cumPctAllTimeExp]]&lt;0.95</f>
        <v>0</v>
      </c>
    </row>
    <row r="927" spans="1:17" x14ac:dyDescent="0.25">
      <c r="A927">
        <v>392</v>
      </c>
      <c r="C927" t="s">
        <v>2508</v>
      </c>
      <c r="E927" t="s">
        <v>394</v>
      </c>
      <c r="F927" s="4">
        <v>2050</v>
      </c>
      <c r="G927" s="4">
        <v>1250</v>
      </c>
      <c r="H927" s="4">
        <v>1600</v>
      </c>
      <c r="I927" s="4">
        <v>1250</v>
      </c>
      <c r="J927" s="4">
        <v>0</v>
      </c>
      <c r="K927" s="4">
        <v>0</v>
      </c>
      <c r="L927" s="4">
        <v>0</v>
      </c>
      <c r="M927" s="4">
        <v>0</v>
      </c>
      <c r="N927" s="4">
        <f>SUM(Table1[[#This Row],[2025]:[2018]])</f>
        <v>6150</v>
      </c>
      <c r="O927" s="2">
        <f>Table1[[#This Row],[ttl]]/SUM(Table1[ttl])</f>
        <v>1.2401038243579253E-5</v>
      </c>
      <c r="P927" s="3">
        <f>SUM($O$2:Table1[[#This Row],[pctAllTimeExp]])</f>
        <v>0.99574696333472201</v>
      </c>
      <c r="Q927" t="b">
        <f>Table1[[#This Row],[cumPctAllTimeExp]]&lt;0.95</f>
        <v>0</v>
      </c>
    </row>
    <row r="928" spans="1:17" x14ac:dyDescent="0.25">
      <c r="A928">
        <v>416</v>
      </c>
      <c r="C928" t="s">
        <v>2508</v>
      </c>
      <c r="E928" t="s">
        <v>418</v>
      </c>
      <c r="F928" s="4">
        <v>1650</v>
      </c>
      <c r="G928" s="4">
        <v>1500</v>
      </c>
      <c r="H928" s="4">
        <v>1500</v>
      </c>
      <c r="I928" s="4">
        <v>0</v>
      </c>
      <c r="J928" s="4">
        <v>0</v>
      </c>
      <c r="K928" s="4">
        <v>1500</v>
      </c>
      <c r="L928" s="4">
        <v>0</v>
      </c>
      <c r="M928" s="4">
        <v>0</v>
      </c>
      <c r="N928" s="4">
        <f>SUM(Table1[[#This Row],[2025]:[2018]])</f>
        <v>6150</v>
      </c>
      <c r="O928" s="2">
        <f>Table1[[#This Row],[ttl]]/SUM(Table1[ttl])</f>
        <v>1.2401038243579253E-5</v>
      </c>
      <c r="P928" s="3">
        <f>SUM($O$2:Table1[[#This Row],[pctAllTimeExp]])</f>
        <v>0.99575936437296564</v>
      </c>
      <c r="Q928" t="b">
        <f>Table1[[#This Row],[cumPctAllTimeExp]]&lt;0.95</f>
        <v>0</v>
      </c>
    </row>
    <row r="929" spans="1:17" x14ac:dyDescent="0.25">
      <c r="A929">
        <v>315</v>
      </c>
      <c r="C929" t="s">
        <v>2508</v>
      </c>
      <c r="E929" t="s">
        <v>317</v>
      </c>
      <c r="F929" s="4">
        <v>4327</v>
      </c>
      <c r="G929" s="4">
        <v>1794.5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f>SUM(Table1[[#This Row],[2025]:[2018]])</f>
        <v>6121.5</v>
      </c>
      <c r="O929" s="2">
        <f>Table1[[#This Row],[ttl]]/SUM(Table1[ttl])</f>
        <v>1.2343570017572423E-5</v>
      </c>
      <c r="P929" s="3">
        <f>SUM($O$2:Table1[[#This Row],[pctAllTimeExp]])</f>
        <v>0.9957717079429832</v>
      </c>
      <c r="Q929" t="b">
        <f>Table1[[#This Row],[cumPctAllTimeExp]]&lt;0.95</f>
        <v>0</v>
      </c>
    </row>
    <row r="930" spans="1:17" x14ac:dyDescent="0.25">
      <c r="A930">
        <v>1438</v>
      </c>
      <c r="C930" t="s">
        <v>2508</v>
      </c>
      <c r="E930" t="s">
        <v>1440</v>
      </c>
      <c r="F930" s="4">
        <v>0</v>
      </c>
      <c r="G930" s="4">
        <v>0</v>
      </c>
      <c r="H930" s="4">
        <v>0</v>
      </c>
      <c r="I930" s="4">
        <v>0</v>
      </c>
      <c r="J930" s="4">
        <v>6110</v>
      </c>
      <c r="K930" s="4">
        <v>0</v>
      </c>
      <c r="L930" s="4">
        <v>0</v>
      </c>
      <c r="M930" s="4">
        <v>0</v>
      </c>
      <c r="N930" s="4">
        <f>SUM(Table1[[#This Row],[2025]:[2018]])</f>
        <v>6110</v>
      </c>
      <c r="O930" s="2">
        <f>Table1[[#This Row],[ttl]]/SUM(Table1[ttl])</f>
        <v>1.2320381084271421E-5</v>
      </c>
      <c r="P930" s="3">
        <f>SUM($O$2:Table1[[#This Row],[pctAllTimeExp]])</f>
        <v>0.99578402832406743</v>
      </c>
      <c r="Q930" t="b">
        <f>Table1[[#This Row],[cumPctAllTimeExp]]&lt;0.95</f>
        <v>0</v>
      </c>
    </row>
    <row r="931" spans="1:17" x14ac:dyDescent="0.25">
      <c r="A931">
        <v>1703</v>
      </c>
      <c r="C931" t="s">
        <v>2508</v>
      </c>
      <c r="E931" t="s">
        <v>1705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6094.5</v>
      </c>
      <c r="L931" s="4">
        <v>0</v>
      </c>
      <c r="M931" s="4">
        <v>0</v>
      </c>
      <c r="N931" s="4">
        <f>SUM(Table1[[#This Row],[2025]:[2018]])</f>
        <v>6094.5</v>
      </c>
      <c r="O931" s="2">
        <f>Table1[[#This Row],[ttl]]/SUM(Table1[ttl])</f>
        <v>1.2289126435039635E-5</v>
      </c>
      <c r="P931" s="3">
        <f>SUM($O$2:Table1[[#This Row],[pctAllTimeExp]])</f>
        <v>0.99579631745050246</v>
      </c>
      <c r="Q931" t="b">
        <f>Table1[[#This Row],[cumPctAllTimeExp]]&lt;0.95</f>
        <v>0</v>
      </c>
    </row>
    <row r="932" spans="1:17" x14ac:dyDescent="0.25">
      <c r="A932">
        <v>2007</v>
      </c>
      <c r="C932" t="s">
        <v>2508</v>
      </c>
      <c r="E932" t="s">
        <v>2009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5360</v>
      </c>
      <c r="M932" s="4">
        <v>732.49</v>
      </c>
      <c r="N932" s="4">
        <f>SUM(Table1[[#This Row],[2025]:[2018]])</f>
        <v>6092.49</v>
      </c>
      <c r="O932" s="2">
        <f>Table1[[#This Row],[ttl]]/SUM(Table1[ttl])</f>
        <v>1.2285073412784417E-5</v>
      </c>
      <c r="P932" s="3">
        <f>SUM($O$2:Table1[[#This Row],[pctAllTimeExp]])</f>
        <v>0.99580860252391523</v>
      </c>
      <c r="Q932" t="b">
        <f>Table1[[#This Row],[cumPctAllTimeExp]]&lt;0.95</f>
        <v>0</v>
      </c>
    </row>
    <row r="933" spans="1:17" x14ac:dyDescent="0.25">
      <c r="A933">
        <v>1598</v>
      </c>
      <c r="C933" t="s">
        <v>2508</v>
      </c>
      <c r="E933" t="s">
        <v>1600</v>
      </c>
      <c r="F933" s="4">
        <v>0</v>
      </c>
      <c r="G933" s="4">
        <v>0</v>
      </c>
      <c r="H933" s="4">
        <v>0</v>
      </c>
      <c r="I933" s="4">
        <v>0</v>
      </c>
      <c r="J933" s="4">
        <v>149</v>
      </c>
      <c r="K933" s="4">
        <v>316.16000000000003</v>
      </c>
      <c r="L933" s="4">
        <v>5600</v>
      </c>
      <c r="M933" s="4">
        <v>0</v>
      </c>
      <c r="N933" s="4">
        <f>SUM(Table1[[#This Row],[2025]:[2018]])</f>
        <v>6065.16</v>
      </c>
      <c r="O933" s="2">
        <f>Table1[[#This Row],[ttl]]/SUM(Table1[ttl])</f>
        <v>1.222996440868734E-5</v>
      </c>
      <c r="P933" s="3">
        <f>SUM($O$2:Table1[[#This Row],[pctAllTimeExp]])</f>
        <v>0.99582083248832387</v>
      </c>
      <c r="Q933" t="b">
        <f>Table1[[#This Row],[cumPctAllTimeExp]]&lt;0.95</f>
        <v>0</v>
      </c>
    </row>
    <row r="934" spans="1:17" x14ac:dyDescent="0.25">
      <c r="A934">
        <v>656</v>
      </c>
      <c r="C934" t="s">
        <v>2508</v>
      </c>
      <c r="E934" t="s">
        <v>658</v>
      </c>
      <c r="F934" s="4">
        <v>132.30000000000001</v>
      </c>
      <c r="G934" s="4">
        <v>0</v>
      </c>
      <c r="H934" s="4">
        <v>0</v>
      </c>
      <c r="I934" s="4">
        <v>0</v>
      </c>
      <c r="J934" s="4">
        <v>79.95</v>
      </c>
      <c r="K934" s="4">
        <v>502.97</v>
      </c>
      <c r="L934" s="4">
        <v>1904.45</v>
      </c>
      <c r="M934" s="4">
        <v>3443.23</v>
      </c>
      <c r="N934" s="4">
        <f>SUM(Table1[[#This Row],[2025]:[2018]])</f>
        <v>6062.9</v>
      </c>
      <c r="O934" s="2">
        <f>Table1[[#This Row],[ttl]]/SUM(Table1[ttl])</f>
        <v>1.2225407279186446E-5</v>
      </c>
      <c r="P934" s="3">
        <f>SUM($O$2:Table1[[#This Row],[pctAllTimeExp]])</f>
        <v>0.99583305789560306</v>
      </c>
      <c r="Q934" t="b">
        <f>Table1[[#This Row],[cumPctAllTimeExp]]&lt;0.95</f>
        <v>0</v>
      </c>
    </row>
    <row r="935" spans="1:17" x14ac:dyDescent="0.25">
      <c r="A935">
        <v>1030</v>
      </c>
      <c r="C935" t="s">
        <v>2508</v>
      </c>
      <c r="E935" t="s">
        <v>1032</v>
      </c>
      <c r="F935" s="4">
        <v>0</v>
      </c>
      <c r="G935" s="4">
        <v>0</v>
      </c>
      <c r="H935" s="4">
        <v>6050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f>SUM(Table1[[#This Row],[2025]:[2018]])</f>
        <v>6050</v>
      </c>
      <c r="O935" s="2">
        <f>Table1[[#This Row],[ttl]]/SUM(Table1[ttl])</f>
        <v>1.2199395345309671E-5</v>
      </c>
      <c r="P935" s="3">
        <f>SUM($O$2:Table1[[#This Row],[pctAllTimeExp]])</f>
        <v>0.99584525729094842</v>
      </c>
      <c r="Q935" t="b">
        <f>Table1[[#This Row],[cumPctAllTimeExp]]&lt;0.95</f>
        <v>0</v>
      </c>
    </row>
    <row r="936" spans="1:17" x14ac:dyDescent="0.25">
      <c r="A936">
        <v>597</v>
      </c>
      <c r="C936" t="s">
        <v>2508</v>
      </c>
      <c r="E936" t="s">
        <v>599</v>
      </c>
      <c r="F936" s="4">
        <v>396</v>
      </c>
      <c r="G936" s="4">
        <v>2279</v>
      </c>
      <c r="H936" s="4">
        <v>0</v>
      </c>
      <c r="I936" s="4">
        <v>3011</v>
      </c>
      <c r="J936" s="4">
        <v>0</v>
      </c>
      <c r="K936" s="4">
        <v>0</v>
      </c>
      <c r="L936" s="4">
        <v>324</v>
      </c>
      <c r="M936" s="4">
        <v>0</v>
      </c>
      <c r="N936" s="4">
        <f>SUM(Table1[[#This Row],[2025]:[2018]])</f>
        <v>6010</v>
      </c>
      <c r="O936" s="2">
        <f>Table1[[#This Row],[ttl]]/SUM(Table1[ttl])</f>
        <v>1.2118738186001839E-5</v>
      </c>
      <c r="P936" s="3">
        <f>SUM($O$2:Table1[[#This Row],[pctAllTimeExp]])</f>
        <v>0.99585737602913438</v>
      </c>
      <c r="Q936" t="b">
        <f>Table1[[#This Row],[cumPctAllTimeExp]]&lt;0.95</f>
        <v>0</v>
      </c>
    </row>
    <row r="937" spans="1:17" x14ac:dyDescent="0.25">
      <c r="A937">
        <v>787</v>
      </c>
      <c r="C937" t="s">
        <v>2508</v>
      </c>
      <c r="E937" t="s">
        <v>789</v>
      </c>
      <c r="F937" s="4">
        <v>0</v>
      </c>
      <c r="G937" s="4">
        <v>3000</v>
      </c>
      <c r="H937" s="4">
        <v>3000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f>SUM(Table1[[#This Row],[2025]:[2018]])</f>
        <v>6000</v>
      </c>
      <c r="O937" s="2">
        <f>Table1[[#This Row],[ttl]]/SUM(Table1[ttl])</f>
        <v>1.2098573896174881E-5</v>
      </c>
      <c r="P937" s="3">
        <f>SUM($O$2:Table1[[#This Row],[pctAllTimeExp]])</f>
        <v>0.99586947460303055</v>
      </c>
      <c r="Q937" t="b">
        <f>Table1[[#This Row],[cumPctAllTimeExp]]&lt;0.95</f>
        <v>0</v>
      </c>
    </row>
    <row r="938" spans="1:17" x14ac:dyDescent="0.25">
      <c r="A938">
        <v>2277</v>
      </c>
      <c r="C938" t="s">
        <v>2508</v>
      </c>
      <c r="E938" t="s">
        <v>2279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6000</v>
      </c>
      <c r="N938" s="4">
        <f>SUM(Table1[[#This Row],[2025]:[2018]])</f>
        <v>6000</v>
      </c>
      <c r="O938" s="2">
        <f>Table1[[#This Row],[ttl]]/SUM(Table1[ttl])</f>
        <v>1.2098573896174881E-5</v>
      </c>
      <c r="P938" s="3">
        <f>SUM($O$2:Table1[[#This Row],[pctAllTimeExp]])</f>
        <v>0.99588157317692672</v>
      </c>
      <c r="Q938" t="b">
        <f>Table1[[#This Row],[cumPctAllTimeExp]]&lt;0.95</f>
        <v>0</v>
      </c>
    </row>
    <row r="939" spans="1:17" x14ac:dyDescent="0.25">
      <c r="A939">
        <v>1145</v>
      </c>
      <c r="C939" t="s">
        <v>2508</v>
      </c>
      <c r="E939" t="s">
        <v>1147</v>
      </c>
      <c r="F939" s="4">
        <v>0</v>
      </c>
      <c r="G939" s="4">
        <v>0</v>
      </c>
      <c r="H939" s="4">
        <v>289.75</v>
      </c>
      <c r="I939" s="4">
        <v>814.6</v>
      </c>
      <c r="J939" s="4">
        <v>278.92</v>
      </c>
      <c r="K939" s="4">
        <v>409.44</v>
      </c>
      <c r="L939" s="4">
        <v>2281.52</v>
      </c>
      <c r="M939" s="4">
        <v>1925.72</v>
      </c>
      <c r="N939" s="4">
        <f>SUM(Table1[[#This Row],[2025]:[2018]])</f>
        <v>5999.95</v>
      </c>
      <c r="O939" s="2">
        <f>Table1[[#This Row],[ttl]]/SUM(Table1[ttl])</f>
        <v>1.2098473074725745E-5</v>
      </c>
      <c r="P939" s="3">
        <f>SUM($O$2:Table1[[#This Row],[pctAllTimeExp]])</f>
        <v>0.99589367165000142</v>
      </c>
      <c r="Q939" t="b">
        <f>Table1[[#This Row],[cumPctAllTimeExp]]&lt;0.95</f>
        <v>0</v>
      </c>
    </row>
    <row r="940" spans="1:17" x14ac:dyDescent="0.25">
      <c r="A940">
        <v>2003</v>
      </c>
      <c r="C940" t="s">
        <v>2508</v>
      </c>
      <c r="E940" t="s">
        <v>2005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5968.47</v>
      </c>
      <c r="M940" s="4">
        <v>0</v>
      </c>
      <c r="N940" s="4">
        <f>SUM(Table1[[#This Row],[2025]:[2018]])</f>
        <v>5968.47</v>
      </c>
      <c r="O940" s="2">
        <f>Table1[[#This Row],[ttl]]/SUM(Table1[ttl])</f>
        <v>1.2034995890350482E-5</v>
      </c>
      <c r="P940" s="3">
        <f>SUM($O$2:Table1[[#This Row],[pctAllTimeExp]])</f>
        <v>0.99590570664589173</v>
      </c>
      <c r="Q940" t="b">
        <f>Table1[[#This Row],[cumPctAllTimeExp]]&lt;0.95</f>
        <v>0</v>
      </c>
    </row>
    <row r="941" spans="1:17" x14ac:dyDescent="0.25">
      <c r="A941">
        <v>2052</v>
      </c>
      <c r="C941" t="s">
        <v>2508</v>
      </c>
      <c r="E941" t="s">
        <v>2054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1977.54</v>
      </c>
      <c r="M941" s="4">
        <v>3984.28</v>
      </c>
      <c r="N941" s="4">
        <f>SUM(Table1[[#This Row],[2025]:[2018]])</f>
        <v>5961.82</v>
      </c>
      <c r="O941" s="2">
        <f>Table1[[#This Row],[ttl]]/SUM(Table1[ttl])</f>
        <v>1.2021586637615554E-5</v>
      </c>
      <c r="P941" s="3">
        <f>SUM($O$2:Table1[[#This Row],[pctAllTimeExp]])</f>
        <v>0.99591772823252933</v>
      </c>
      <c r="Q941" t="b">
        <f>Table1[[#This Row],[cumPctAllTimeExp]]&lt;0.95</f>
        <v>0</v>
      </c>
    </row>
    <row r="942" spans="1:17" x14ac:dyDescent="0.25">
      <c r="A942">
        <v>461</v>
      </c>
      <c r="C942" t="s">
        <v>2508</v>
      </c>
      <c r="E942" t="s">
        <v>463</v>
      </c>
      <c r="F942" s="4">
        <v>1125</v>
      </c>
      <c r="G942" s="4">
        <v>1125</v>
      </c>
      <c r="H942" s="4">
        <v>1400</v>
      </c>
      <c r="I942" s="4">
        <v>700</v>
      </c>
      <c r="J942" s="4">
        <v>0</v>
      </c>
      <c r="K942" s="4">
        <v>600</v>
      </c>
      <c r="L942" s="4">
        <v>250</v>
      </c>
      <c r="M942" s="4">
        <v>750</v>
      </c>
      <c r="N942" s="4">
        <f>SUM(Table1[[#This Row],[2025]:[2018]])</f>
        <v>5950</v>
      </c>
      <c r="O942" s="2">
        <f>Table1[[#This Row],[ttl]]/SUM(Table1[ttl])</f>
        <v>1.1997752447040091E-5</v>
      </c>
      <c r="P942" s="3">
        <f>SUM($O$2:Table1[[#This Row],[pctAllTimeExp]])</f>
        <v>0.99592972598497642</v>
      </c>
      <c r="Q942" t="b">
        <f>Table1[[#This Row],[cumPctAllTimeExp]]&lt;0.95</f>
        <v>0</v>
      </c>
    </row>
    <row r="943" spans="1:17" x14ac:dyDescent="0.25">
      <c r="A943">
        <v>1728</v>
      </c>
      <c r="C943" t="s">
        <v>2508</v>
      </c>
      <c r="E943" t="s">
        <v>1730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3000</v>
      </c>
      <c r="L943" s="4">
        <v>1175</v>
      </c>
      <c r="M943" s="4">
        <v>1775</v>
      </c>
      <c r="N943" s="4">
        <f>SUM(Table1[[#This Row],[2025]:[2018]])</f>
        <v>5950</v>
      </c>
      <c r="O943" s="2">
        <f>Table1[[#This Row],[ttl]]/SUM(Table1[ttl])</f>
        <v>1.1997752447040091E-5</v>
      </c>
      <c r="P943" s="3">
        <f>SUM($O$2:Table1[[#This Row],[pctAllTimeExp]])</f>
        <v>0.99594172373742351</v>
      </c>
      <c r="Q943" t="b">
        <f>Table1[[#This Row],[cumPctAllTimeExp]]&lt;0.95</f>
        <v>0</v>
      </c>
    </row>
    <row r="944" spans="1:17" x14ac:dyDescent="0.25">
      <c r="A944">
        <v>1267</v>
      </c>
      <c r="C944" t="s">
        <v>2508</v>
      </c>
      <c r="E944" t="s">
        <v>1269</v>
      </c>
      <c r="F944" s="4">
        <v>0</v>
      </c>
      <c r="G944" s="4">
        <v>0</v>
      </c>
      <c r="H944" s="4">
        <v>0</v>
      </c>
      <c r="I944" s="4">
        <v>1714.26</v>
      </c>
      <c r="J944" s="4">
        <v>0</v>
      </c>
      <c r="K944" s="4">
        <v>0</v>
      </c>
      <c r="L944" s="4">
        <v>0</v>
      </c>
      <c r="M944" s="4">
        <v>4229.5200000000004</v>
      </c>
      <c r="N944" s="4">
        <f>SUM(Table1[[#This Row],[2025]:[2018]])</f>
        <v>5943.7800000000007</v>
      </c>
      <c r="O944" s="2">
        <f>Table1[[#This Row],[ttl]]/SUM(Table1[ttl])</f>
        <v>1.1985210258767724E-5</v>
      </c>
      <c r="P944" s="3">
        <f>SUM($O$2:Table1[[#This Row],[pctAllTimeExp]])</f>
        <v>0.99595370894768231</v>
      </c>
      <c r="Q944" t="b">
        <f>Table1[[#This Row],[cumPctAllTimeExp]]&lt;0.95</f>
        <v>0</v>
      </c>
    </row>
    <row r="945" spans="1:17" x14ac:dyDescent="0.25">
      <c r="A945">
        <v>1032</v>
      </c>
      <c r="C945" t="s">
        <v>2508</v>
      </c>
      <c r="E945" t="s">
        <v>1034</v>
      </c>
      <c r="F945" s="4">
        <v>0</v>
      </c>
      <c r="G945" s="4">
        <v>0</v>
      </c>
      <c r="H945" s="4">
        <v>5923.25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f>SUM(Table1[[#This Row],[2025]:[2018]])</f>
        <v>5923.25</v>
      </c>
      <c r="O945" s="2">
        <f>Table1[[#This Row],[ttl]]/SUM(Table1[ttl])</f>
        <v>1.1943812971752977E-5</v>
      </c>
      <c r="P945" s="3">
        <f>SUM($O$2:Table1[[#This Row],[pctAllTimeExp]])</f>
        <v>0.99596565276065407</v>
      </c>
      <c r="Q945" t="b">
        <f>Table1[[#This Row],[cumPctAllTimeExp]]&lt;0.95</f>
        <v>0</v>
      </c>
    </row>
    <row r="946" spans="1:17" x14ac:dyDescent="0.25">
      <c r="A946">
        <v>1033</v>
      </c>
      <c r="C946" t="s">
        <v>2508</v>
      </c>
      <c r="E946" t="s">
        <v>1035</v>
      </c>
      <c r="F946" s="4">
        <v>0</v>
      </c>
      <c r="G946" s="4">
        <v>0</v>
      </c>
      <c r="H946" s="4">
        <v>5920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f>SUM(Table1[[#This Row],[2025]:[2018]])</f>
        <v>5920</v>
      </c>
      <c r="O946" s="2">
        <f>Table1[[#This Row],[ttl]]/SUM(Table1[ttl])</f>
        <v>1.1937259577559216E-5</v>
      </c>
      <c r="P946" s="3">
        <f>SUM($O$2:Table1[[#This Row],[pctAllTimeExp]])</f>
        <v>0.99597759002023167</v>
      </c>
      <c r="Q946" t="b">
        <f>Table1[[#This Row],[cumPctAllTimeExp]]&lt;0.95</f>
        <v>0</v>
      </c>
    </row>
    <row r="947" spans="1:17" x14ac:dyDescent="0.25">
      <c r="A947">
        <v>1231</v>
      </c>
      <c r="C947" t="s">
        <v>2508</v>
      </c>
      <c r="E947" t="s">
        <v>1233</v>
      </c>
      <c r="F947" s="4">
        <v>0</v>
      </c>
      <c r="G947" s="4">
        <v>0</v>
      </c>
      <c r="H947" s="4">
        <v>0</v>
      </c>
      <c r="I947" s="4">
        <v>5900</v>
      </c>
      <c r="J947" s="4">
        <v>0</v>
      </c>
      <c r="K947" s="4">
        <v>0</v>
      </c>
      <c r="L947" s="4">
        <v>0</v>
      </c>
      <c r="M947" s="4">
        <v>0</v>
      </c>
      <c r="N947" s="4">
        <f>SUM(Table1[[#This Row],[2025]:[2018]])</f>
        <v>5900</v>
      </c>
      <c r="O947" s="2">
        <f>Table1[[#This Row],[ttl]]/SUM(Table1[ttl])</f>
        <v>1.18969309979053E-5</v>
      </c>
      <c r="P947" s="3">
        <f>SUM($O$2:Table1[[#This Row],[pctAllTimeExp]])</f>
        <v>0.99598948695122957</v>
      </c>
      <c r="Q947" t="b">
        <f>Table1[[#This Row],[cumPctAllTimeExp]]&lt;0.95</f>
        <v>0</v>
      </c>
    </row>
    <row r="948" spans="1:17" x14ac:dyDescent="0.25">
      <c r="A948">
        <v>2004</v>
      </c>
      <c r="C948" t="s">
        <v>2508</v>
      </c>
      <c r="E948" t="s">
        <v>2006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5879.4</v>
      </c>
      <c r="M948" s="4">
        <v>0</v>
      </c>
      <c r="N948" s="4">
        <f>SUM(Table1[[#This Row],[2025]:[2018]])</f>
        <v>5879.4</v>
      </c>
      <c r="O948" s="2">
        <f>Table1[[#This Row],[ttl]]/SUM(Table1[ttl])</f>
        <v>1.1855392560861765E-5</v>
      </c>
      <c r="P948" s="3">
        <f>SUM($O$2:Table1[[#This Row],[pctAllTimeExp]])</f>
        <v>0.99600134234379045</v>
      </c>
      <c r="Q948" t="b">
        <f>Table1[[#This Row],[cumPctAllTimeExp]]&lt;0.95</f>
        <v>0</v>
      </c>
    </row>
    <row r="949" spans="1:17" x14ac:dyDescent="0.25">
      <c r="A949">
        <v>286</v>
      </c>
      <c r="C949" t="s">
        <v>2508</v>
      </c>
      <c r="E949" t="s">
        <v>288</v>
      </c>
      <c r="F949" s="4">
        <v>5875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f>SUM(Table1[[#This Row],[2025]:[2018]])</f>
        <v>5875</v>
      </c>
      <c r="O949" s="2">
        <f>Table1[[#This Row],[ttl]]/SUM(Table1[ttl])</f>
        <v>1.1846520273337904E-5</v>
      </c>
      <c r="P949" s="3">
        <f>SUM($O$2:Table1[[#This Row],[pctAllTimeExp]])</f>
        <v>0.99601318886406376</v>
      </c>
      <c r="Q949" t="b">
        <f>Table1[[#This Row],[cumPctAllTimeExp]]&lt;0.95</f>
        <v>0</v>
      </c>
    </row>
    <row r="950" spans="1:17" x14ac:dyDescent="0.25">
      <c r="A950">
        <v>1474</v>
      </c>
      <c r="C950" t="s">
        <v>2508</v>
      </c>
      <c r="E950" t="s">
        <v>1476</v>
      </c>
      <c r="F950" s="4">
        <v>0</v>
      </c>
      <c r="G950" s="4">
        <v>0</v>
      </c>
      <c r="H950" s="4">
        <v>0</v>
      </c>
      <c r="I950" s="4">
        <v>0</v>
      </c>
      <c r="J950" s="4">
        <v>1352.32</v>
      </c>
      <c r="K950" s="4">
        <v>2529.34</v>
      </c>
      <c r="L950" s="4">
        <v>741.82</v>
      </c>
      <c r="M950" s="4">
        <v>1235.73</v>
      </c>
      <c r="N950" s="4">
        <f>SUM(Table1[[#This Row],[2025]:[2018]])</f>
        <v>5859.2099999999991</v>
      </c>
      <c r="O950" s="2">
        <f>Table1[[#This Row],[ttl]]/SUM(Table1[ttl])</f>
        <v>1.1814680859701136E-5</v>
      </c>
      <c r="P950" s="3">
        <f>SUM($O$2:Table1[[#This Row],[pctAllTimeExp]])</f>
        <v>0.99602500354492352</v>
      </c>
      <c r="Q950" t="b">
        <f>Table1[[#This Row],[cumPctAllTimeExp]]&lt;0.95</f>
        <v>0</v>
      </c>
    </row>
    <row r="951" spans="1:17" x14ac:dyDescent="0.25">
      <c r="A951">
        <v>2005</v>
      </c>
      <c r="C951" t="s">
        <v>2508</v>
      </c>
      <c r="E951" t="s">
        <v>2007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5842.75</v>
      </c>
      <c r="M951" s="4">
        <v>10</v>
      </c>
      <c r="N951" s="4">
        <f>SUM(Table1[[#This Row],[2025]:[2018]])</f>
        <v>5852.75</v>
      </c>
      <c r="O951" s="2">
        <f>Table1[[#This Row],[ttl]]/SUM(Table1[ttl])</f>
        <v>1.1801654728472922E-5</v>
      </c>
      <c r="P951" s="3">
        <f>SUM($O$2:Table1[[#This Row],[pctAllTimeExp]])</f>
        <v>0.99603680519965199</v>
      </c>
      <c r="Q951" t="b">
        <f>Table1[[#This Row],[cumPctAllTimeExp]]&lt;0.95</f>
        <v>0</v>
      </c>
    </row>
    <row r="952" spans="1:17" x14ac:dyDescent="0.25">
      <c r="A952">
        <v>337</v>
      </c>
      <c r="C952" t="s">
        <v>2508</v>
      </c>
      <c r="E952" t="s">
        <v>339</v>
      </c>
      <c r="F952" s="4">
        <v>3458.97</v>
      </c>
      <c r="G952" s="4">
        <v>2386.65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f>SUM(Table1[[#This Row],[2025]:[2018]])</f>
        <v>5845.62</v>
      </c>
      <c r="O952" s="2">
        <f>Table1[[#This Row],[ttl]]/SUM(Table1[ttl])</f>
        <v>1.1787277589826301E-5</v>
      </c>
      <c r="P952" s="3">
        <f>SUM($O$2:Table1[[#This Row],[pctAllTimeExp]])</f>
        <v>0.99604859247724187</v>
      </c>
      <c r="Q952" t="b">
        <f>Table1[[#This Row],[cumPctAllTimeExp]]&lt;0.95</f>
        <v>0</v>
      </c>
    </row>
    <row r="953" spans="1:17" x14ac:dyDescent="0.25">
      <c r="A953">
        <v>287</v>
      </c>
      <c r="C953" t="s">
        <v>2508</v>
      </c>
      <c r="E953" t="s">
        <v>289</v>
      </c>
      <c r="F953" s="4">
        <v>5836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f>SUM(Table1[[#This Row],[2025]:[2018]])</f>
        <v>5836</v>
      </c>
      <c r="O953" s="2">
        <f>Table1[[#This Row],[ttl]]/SUM(Table1[ttl])</f>
        <v>1.1767879543012767E-5</v>
      </c>
      <c r="P953" s="3">
        <f>SUM($O$2:Table1[[#This Row],[pctAllTimeExp]])</f>
        <v>0.99606036035678491</v>
      </c>
      <c r="Q953" t="b">
        <f>Table1[[#This Row],[cumPctAllTimeExp]]&lt;0.95</f>
        <v>0</v>
      </c>
    </row>
    <row r="954" spans="1:17" x14ac:dyDescent="0.25">
      <c r="A954">
        <v>785</v>
      </c>
      <c r="C954" t="s">
        <v>2508</v>
      </c>
      <c r="E954" t="s">
        <v>787</v>
      </c>
      <c r="F954" s="4">
        <v>0</v>
      </c>
      <c r="G954" s="4">
        <v>3036</v>
      </c>
      <c r="H954" s="4">
        <v>2711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f>SUM(Table1[[#This Row],[2025]:[2018]])</f>
        <v>5747</v>
      </c>
      <c r="O954" s="2">
        <f>Table1[[#This Row],[ttl]]/SUM(Table1[ttl])</f>
        <v>1.158841736355284E-5</v>
      </c>
      <c r="P954" s="3">
        <f>SUM($O$2:Table1[[#This Row],[pctAllTimeExp]])</f>
        <v>0.99607194877414851</v>
      </c>
      <c r="Q954" t="b">
        <f>Table1[[#This Row],[cumPctAllTimeExp]]&lt;0.95</f>
        <v>0</v>
      </c>
    </row>
    <row r="955" spans="1:17" x14ac:dyDescent="0.25">
      <c r="A955">
        <v>2278</v>
      </c>
      <c r="C955" t="s">
        <v>2508</v>
      </c>
      <c r="E955" t="s">
        <v>2280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5737</v>
      </c>
      <c r="N955" s="4">
        <f>SUM(Table1[[#This Row],[2025]:[2018]])</f>
        <v>5737</v>
      </c>
      <c r="O955" s="2">
        <f>Table1[[#This Row],[ttl]]/SUM(Table1[ttl])</f>
        <v>1.1568253073725882E-5</v>
      </c>
      <c r="P955" s="3">
        <f>SUM($O$2:Table1[[#This Row],[pctAllTimeExp]])</f>
        <v>0.9960835170272222</v>
      </c>
      <c r="Q955" t="b">
        <f>Table1[[#This Row],[cumPctAllTimeExp]]&lt;0.95</f>
        <v>0</v>
      </c>
    </row>
    <row r="956" spans="1:17" x14ac:dyDescent="0.25">
      <c r="A956">
        <v>763</v>
      </c>
      <c r="C956" t="s">
        <v>2508</v>
      </c>
      <c r="E956" t="s">
        <v>765</v>
      </c>
      <c r="F956" s="4">
        <v>0</v>
      </c>
      <c r="G956" s="4">
        <v>5698.99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f>SUM(Table1[[#This Row],[2025]:[2018]])</f>
        <v>5698.99</v>
      </c>
      <c r="O956" s="2">
        <f>Table1[[#This Row],[ttl]]/SUM(Table1[ttl])</f>
        <v>1.1491608608093613E-5</v>
      </c>
      <c r="P956" s="3">
        <f>SUM($O$2:Table1[[#This Row],[pctAllTimeExp]])</f>
        <v>0.99609500863583034</v>
      </c>
      <c r="Q956" t="b">
        <f>Table1[[#This Row],[cumPctAllTimeExp]]&lt;0.95</f>
        <v>0</v>
      </c>
    </row>
    <row r="957" spans="1:17" x14ac:dyDescent="0.25">
      <c r="A957">
        <v>288</v>
      </c>
      <c r="C957" t="s">
        <v>2508</v>
      </c>
      <c r="E957" t="s">
        <v>290</v>
      </c>
      <c r="F957" s="4">
        <v>5680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f>SUM(Table1[[#This Row],[2025]:[2018]])</f>
        <v>5680</v>
      </c>
      <c r="O957" s="2">
        <f>Table1[[#This Row],[ttl]]/SUM(Table1[ttl])</f>
        <v>1.145331662171222E-5</v>
      </c>
      <c r="P957" s="3">
        <f>SUM($O$2:Table1[[#This Row],[pctAllTimeExp]])</f>
        <v>0.996106461952452</v>
      </c>
      <c r="Q957" t="b">
        <f>Table1[[#This Row],[cumPctAllTimeExp]]&lt;0.95</f>
        <v>0</v>
      </c>
    </row>
    <row r="958" spans="1:17" x14ac:dyDescent="0.25">
      <c r="A958">
        <v>616</v>
      </c>
      <c r="C958" t="s">
        <v>2508</v>
      </c>
      <c r="E958" t="s">
        <v>618</v>
      </c>
      <c r="F958" s="4">
        <v>275</v>
      </c>
      <c r="G958" s="4">
        <v>0</v>
      </c>
      <c r="H958" s="4">
        <v>5390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f>SUM(Table1[[#This Row],[2025]:[2018]])</f>
        <v>5665</v>
      </c>
      <c r="O958" s="2">
        <f>Table1[[#This Row],[ttl]]/SUM(Table1[ttl])</f>
        <v>1.1423070186971783E-5</v>
      </c>
      <c r="P958" s="3">
        <f>SUM($O$2:Table1[[#This Row],[pctAllTimeExp]])</f>
        <v>0.99611788502263898</v>
      </c>
      <c r="Q958" t="b">
        <f>Table1[[#This Row],[cumPctAllTimeExp]]&lt;0.95</f>
        <v>0</v>
      </c>
    </row>
    <row r="959" spans="1:17" x14ac:dyDescent="0.25">
      <c r="A959">
        <v>1439</v>
      </c>
      <c r="C959" t="s">
        <v>2508</v>
      </c>
      <c r="E959" t="s">
        <v>1441</v>
      </c>
      <c r="F959" s="4">
        <v>0</v>
      </c>
      <c r="G959" s="4">
        <v>0</v>
      </c>
      <c r="H959" s="4">
        <v>0</v>
      </c>
      <c r="I959" s="4">
        <v>0</v>
      </c>
      <c r="J959" s="4">
        <v>5640</v>
      </c>
      <c r="K959" s="4">
        <v>0</v>
      </c>
      <c r="L959" s="4">
        <v>0</v>
      </c>
      <c r="M959" s="4">
        <v>0</v>
      </c>
      <c r="N959" s="4">
        <f>SUM(Table1[[#This Row],[2025]:[2018]])</f>
        <v>5640</v>
      </c>
      <c r="O959" s="2">
        <f>Table1[[#This Row],[ttl]]/SUM(Table1[ttl])</f>
        <v>1.1372659462404388E-5</v>
      </c>
      <c r="P959" s="3">
        <f>SUM($O$2:Table1[[#This Row],[pctAllTimeExp]])</f>
        <v>0.99612925768210137</v>
      </c>
      <c r="Q959" t="b">
        <f>Table1[[#This Row],[cumPctAllTimeExp]]&lt;0.95</f>
        <v>0</v>
      </c>
    </row>
    <row r="960" spans="1:17" x14ac:dyDescent="0.25">
      <c r="A960">
        <v>1440</v>
      </c>
      <c r="C960" t="s">
        <v>2508</v>
      </c>
      <c r="E960" t="s">
        <v>1442</v>
      </c>
      <c r="F960" s="4">
        <v>0</v>
      </c>
      <c r="G960" s="4">
        <v>0</v>
      </c>
      <c r="H960" s="4">
        <v>0</v>
      </c>
      <c r="I960" s="4">
        <v>0</v>
      </c>
      <c r="J960" s="4">
        <v>5616.85</v>
      </c>
      <c r="K960" s="4">
        <v>0</v>
      </c>
      <c r="L960" s="4">
        <v>0</v>
      </c>
      <c r="M960" s="4">
        <v>0</v>
      </c>
      <c r="N960" s="4">
        <f>SUM(Table1[[#This Row],[2025]:[2018]])</f>
        <v>5616.85</v>
      </c>
      <c r="O960" s="2">
        <f>Table1[[#This Row],[ttl]]/SUM(Table1[ttl])</f>
        <v>1.1325979131454981E-5</v>
      </c>
      <c r="P960" s="3">
        <f>SUM($O$2:Table1[[#This Row],[pctAllTimeExp]])</f>
        <v>0.99614058366123281</v>
      </c>
      <c r="Q960" t="b">
        <f>Table1[[#This Row],[cumPctAllTimeExp]]&lt;0.95</f>
        <v>0</v>
      </c>
    </row>
    <row r="961" spans="1:17" x14ac:dyDescent="0.25">
      <c r="A961">
        <v>343</v>
      </c>
      <c r="C961" t="s">
        <v>2508</v>
      </c>
      <c r="E961" t="s">
        <v>345</v>
      </c>
      <c r="F961" s="4">
        <v>3333.8</v>
      </c>
      <c r="G961" s="4">
        <v>1926.8</v>
      </c>
      <c r="H961" s="4">
        <v>355.2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f>SUM(Table1[[#This Row],[2025]:[2018]])</f>
        <v>5615.8</v>
      </c>
      <c r="O961" s="2">
        <f>Table1[[#This Row],[ttl]]/SUM(Table1[ttl])</f>
        <v>1.132386188102315E-5</v>
      </c>
      <c r="P961" s="3">
        <f>SUM($O$2:Table1[[#This Row],[pctAllTimeExp]])</f>
        <v>0.99615190752311389</v>
      </c>
      <c r="Q961" t="b">
        <f>Table1[[#This Row],[cumPctAllTimeExp]]&lt;0.95</f>
        <v>0</v>
      </c>
    </row>
    <row r="962" spans="1:17" x14ac:dyDescent="0.25">
      <c r="A962">
        <v>1278</v>
      </c>
      <c r="C962" t="s">
        <v>2508</v>
      </c>
      <c r="E962" t="s">
        <v>1280</v>
      </c>
      <c r="F962" s="4">
        <v>0</v>
      </c>
      <c r="G962" s="4">
        <v>0</v>
      </c>
      <c r="H962" s="4">
        <v>0</v>
      </c>
      <c r="I962" s="4">
        <v>1127.92</v>
      </c>
      <c r="J962" s="4">
        <v>4486.84</v>
      </c>
      <c r="K962" s="4">
        <v>0</v>
      </c>
      <c r="L962" s="4">
        <v>0</v>
      </c>
      <c r="M962" s="4">
        <v>0</v>
      </c>
      <c r="N962" s="4">
        <f>SUM(Table1[[#This Row],[2025]:[2018]])</f>
        <v>5614.76</v>
      </c>
      <c r="O962" s="2">
        <f>Table1[[#This Row],[ttl]]/SUM(Table1[ttl])</f>
        <v>1.1321764794881146E-5</v>
      </c>
      <c r="P962" s="3">
        <f>SUM($O$2:Table1[[#This Row],[pctAllTimeExp]])</f>
        <v>0.99616322928790879</v>
      </c>
      <c r="Q962" t="b">
        <f>Table1[[#This Row],[cumPctAllTimeExp]]&lt;0.95</f>
        <v>0</v>
      </c>
    </row>
    <row r="963" spans="1:17" x14ac:dyDescent="0.25">
      <c r="A963">
        <v>1441</v>
      </c>
      <c r="C963" t="s">
        <v>2508</v>
      </c>
      <c r="E963" t="s">
        <v>1443</v>
      </c>
      <c r="F963" s="4">
        <v>0</v>
      </c>
      <c r="G963" s="4">
        <v>0</v>
      </c>
      <c r="H963" s="4">
        <v>0</v>
      </c>
      <c r="I963" s="4">
        <v>0</v>
      </c>
      <c r="J963" s="4">
        <v>5600</v>
      </c>
      <c r="K963" s="4">
        <v>0</v>
      </c>
      <c r="L963" s="4">
        <v>0</v>
      </c>
      <c r="M963" s="4">
        <v>0</v>
      </c>
      <c r="N963" s="4">
        <f>SUM(Table1[[#This Row],[2025]:[2018]])</f>
        <v>5600</v>
      </c>
      <c r="O963" s="2">
        <f>Table1[[#This Row],[ttl]]/SUM(Table1[ttl])</f>
        <v>1.1292002303096556E-5</v>
      </c>
      <c r="P963" s="3">
        <f>SUM($O$2:Table1[[#This Row],[pctAllTimeExp]])</f>
        <v>0.99617452129021189</v>
      </c>
      <c r="Q963" t="b">
        <f>Table1[[#This Row],[cumPctAllTimeExp]]&lt;0.95</f>
        <v>0</v>
      </c>
    </row>
    <row r="964" spans="1:17" x14ac:dyDescent="0.25">
      <c r="A964">
        <v>1732</v>
      </c>
      <c r="C964" t="s">
        <v>2508</v>
      </c>
      <c r="E964" t="s">
        <v>1734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2800</v>
      </c>
      <c r="L964" s="4">
        <v>2800</v>
      </c>
      <c r="M964" s="4">
        <v>0</v>
      </c>
      <c r="N964" s="4">
        <f>SUM(Table1[[#This Row],[2025]:[2018]])</f>
        <v>5600</v>
      </c>
      <c r="O964" s="2">
        <f>Table1[[#This Row],[ttl]]/SUM(Table1[ttl])</f>
        <v>1.1292002303096556E-5</v>
      </c>
      <c r="P964" s="3">
        <f>SUM($O$2:Table1[[#This Row],[pctAllTimeExp]])</f>
        <v>0.99618581329251499</v>
      </c>
      <c r="Q964" t="b">
        <f>Table1[[#This Row],[cumPctAllTimeExp]]&lt;0.95</f>
        <v>0</v>
      </c>
    </row>
    <row r="965" spans="1:17" x14ac:dyDescent="0.25">
      <c r="A965">
        <v>2079</v>
      </c>
      <c r="C965" t="s">
        <v>2508</v>
      </c>
      <c r="E965" t="s">
        <v>2081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1100.08</v>
      </c>
      <c r="M965" s="4">
        <v>4487.34</v>
      </c>
      <c r="N965" s="4">
        <f>SUM(Table1[[#This Row],[2025]:[2018]])</f>
        <v>5587.42</v>
      </c>
      <c r="O965" s="2">
        <f>Table1[[#This Row],[ttl]]/SUM(Table1[ttl])</f>
        <v>1.1266635626494242E-5</v>
      </c>
      <c r="P965" s="3">
        <f>SUM($O$2:Table1[[#This Row],[pctAllTimeExp]])</f>
        <v>0.99619707992814144</v>
      </c>
      <c r="Q965" t="b">
        <f>Table1[[#This Row],[cumPctAllTimeExp]]&lt;0.95</f>
        <v>0</v>
      </c>
    </row>
    <row r="966" spans="1:17" x14ac:dyDescent="0.25">
      <c r="A966">
        <v>291</v>
      </c>
      <c r="C966" t="s">
        <v>2508</v>
      </c>
      <c r="E966" t="s">
        <v>293</v>
      </c>
      <c r="F966" s="4">
        <v>5577.4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f>SUM(Table1[[#This Row],[2025]:[2018]])</f>
        <v>5577.4</v>
      </c>
      <c r="O966" s="2">
        <f>Table1[[#This Row],[ttl]]/SUM(Table1[ttl])</f>
        <v>1.1246431008087629E-5</v>
      </c>
      <c r="P966" s="3">
        <f>SUM($O$2:Table1[[#This Row],[pctAllTimeExp]])</f>
        <v>0.99620832635914958</v>
      </c>
      <c r="Q966" t="b">
        <f>Table1[[#This Row],[cumPctAllTimeExp]]&lt;0.95</f>
        <v>0</v>
      </c>
    </row>
    <row r="967" spans="1:17" x14ac:dyDescent="0.25">
      <c r="A967">
        <v>537</v>
      </c>
      <c r="C967" t="s">
        <v>2508</v>
      </c>
      <c r="E967" t="s">
        <v>539</v>
      </c>
      <c r="F967" s="4">
        <v>592.5</v>
      </c>
      <c r="G967" s="4">
        <v>0</v>
      </c>
      <c r="H967" s="4">
        <v>0</v>
      </c>
      <c r="I967" s="4">
        <v>1285.5</v>
      </c>
      <c r="J967" s="4">
        <v>1373</v>
      </c>
      <c r="K967" s="4">
        <v>0</v>
      </c>
      <c r="L967" s="4">
        <v>0</v>
      </c>
      <c r="M967" s="4">
        <v>2310.65</v>
      </c>
      <c r="N967" s="4">
        <f>SUM(Table1[[#This Row],[2025]:[2018]])</f>
        <v>5561.65</v>
      </c>
      <c r="O967" s="2">
        <f>Table1[[#This Row],[ttl]]/SUM(Table1[ttl])</f>
        <v>1.1214672251610171E-5</v>
      </c>
      <c r="P967" s="3">
        <f>SUM($O$2:Table1[[#This Row],[pctAllTimeExp]])</f>
        <v>0.9962195410314012</v>
      </c>
      <c r="Q967" t="b">
        <f>Table1[[#This Row],[cumPctAllTimeExp]]&lt;0.95</f>
        <v>0</v>
      </c>
    </row>
    <row r="968" spans="1:17" x14ac:dyDescent="0.25">
      <c r="A968">
        <v>764</v>
      </c>
      <c r="C968" t="s">
        <v>2508</v>
      </c>
      <c r="E968" t="s">
        <v>766</v>
      </c>
      <c r="F968" s="4">
        <v>0</v>
      </c>
      <c r="G968" s="4">
        <v>5545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f>SUM(Table1[[#This Row],[2025]:[2018]])</f>
        <v>5545</v>
      </c>
      <c r="O968" s="2">
        <f>Table1[[#This Row],[ttl]]/SUM(Table1[ttl])</f>
        <v>1.1181098709048285E-5</v>
      </c>
      <c r="P968" s="3">
        <f>SUM($O$2:Table1[[#This Row],[pctAllTimeExp]])</f>
        <v>0.99623072213011021</v>
      </c>
      <c r="Q968" t="b">
        <f>Table1[[#This Row],[cumPctAllTimeExp]]&lt;0.95</f>
        <v>0</v>
      </c>
    </row>
    <row r="969" spans="1:17" x14ac:dyDescent="0.25">
      <c r="A969">
        <v>547</v>
      </c>
      <c r="C969" t="s">
        <v>2508</v>
      </c>
      <c r="E969" t="s">
        <v>549</v>
      </c>
      <c r="F969" s="4">
        <v>538.79999999999995</v>
      </c>
      <c r="G969" s="4">
        <v>538.79999999999995</v>
      </c>
      <c r="H969" s="4">
        <v>1002.52</v>
      </c>
      <c r="I969" s="4">
        <v>538.79999999999995</v>
      </c>
      <c r="J969" s="4">
        <v>610.66</v>
      </c>
      <c r="K969" s="4">
        <v>1208.3599999999999</v>
      </c>
      <c r="L969" s="4">
        <v>538.79999999999995</v>
      </c>
      <c r="M969" s="4">
        <v>538.79999999999995</v>
      </c>
      <c r="N969" s="4">
        <f>SUM(Table1[[#This Row],[2025]:[2018]])</f>
        <v>5515.54</v>
      </c>
      <c r="O969" s="2">
        <f>Table1[[#This Row],[ttl]]/SUM(Table1[ttl])</f>
        <v>1.1121694711218068E-5</v>
      </c>
      <c r="P969" s="3">
        <f>SUM($O$2:Table1[[#This Row],[pctAllTimeExp]])</f>
        <v>0.99624184382482139</v>
      </c>
      <c r="Q969" t="b">
        <f>Table1[[#This Row],[cumPctAllTimeExp]]&lt;0.95</f>
        <v>0</v>
      </c>
    </row>
    <row r="970" spans="1:17" x14ac:dyDescent="0.25">
      <c r="A970">
        <v>1268</v>
      </c>
      <c r="C970" t="s">
        <v>2508</v>
      </c>
      <c r="E970" t="s">
        <v>1270</v>
      </c>
      <c r="F970" s="4">
        <v>0</v>
      </c>
      <c r="G970" s="4">
        <v>0</v>
      </c>
      <c r="H970" s="4">
        <v>0</v>
      </c>
      <c r="I970" s="4">
        <v>1680</v>
      </c>
      <c r="J970" s="4">
        <v>236.06</v>
      </c>
      <c r="K970" s="4">
        <v>1737</v>
      </c>
      <c r="L970" s="4">
        <v>1341.72</v>
      </c>
      <c r="M970" s="4">
        <v>519.02</v>
      </c>
      <c r="N970" s="4">
        <f>SUM(Table1[[#This Row],[2025]:[2018]])</f>
        <v>5513.7999999999993</v>
      </c>
      <c r="O970" s="2">
        <f>Table1[[#This Row],[ttl]]/SUM(Table1[ttl])</f>
        <v>1.1118186124788175E-5</v>
      </c>
      <c r="P970" s="3">
        <f>SUM($O$2:Table1[[#This Row],[pctAllTimeExp]])</f>
        <v>0.99625296201094615</v>
      </c>
      <c r="Q970" t="b">
        <f>Table1[[#This Row],[cumPctAllTimeExp]]&lt;0.95</f>
        <v>0</v>
      </c>
    </row>
    <row r="971" spans="1:17" x14ac:dyDescent="0.25">
      <c r="A971">
        <v>859</v>
      </c>
      <c r="C971" t="s">
        <v>2508</v>
      </c>
      <c r="E971" t="s">
        <v>861</v>
      </c>
      <c r="F971" s="4">
        <v>0</v>
      </c>
      <c r="G971" s="4">
        <v>635.09</v>
      </c>
      <c r="H971" s="4">
        <v>76.599999999999994</v>
      </c>
      <c r="I971" s="4">
        <v>0</v>
      </c>
      <c r="J971" s="4">
        <v>0</v>
      </c>
      <c r="K971" s="4">
        <v>409.76</v>
      </c>
      <c r="L971" s="4">
        <v>2926.9</v>
      </c>
      <c r="M971" s="4">
        <v>1454.77</v>
      </c>
      <c r="N971" s="4">
        <f>SUM(Table1[[#This Row],[2025]:[2018]])</f>
        <v>5503.1200000000008</v>
      </c>
      <c r="O971" s="2">
        <f>Table1[[#This Row],[ttl]]/SUM(Table1[ttl])</f>
        <v>1.1096650663252986E-5</v>
      </c>
      <c r="P971" s="3">
        <f>SUM($O$2:Table1[[#This Row],[pctAllTimeExp]])</f>
        <v>0.99626405866160939</v>
      </c>
      <c r="Q971" t="b">
        <f>Table1[[#This Row],[cumPctAllTimeExp]]&lt;0.95</f>
        <v>0</v>
      </c>
    </row>
    <row r="972" spans="1:17" x14ac:dyDescent="0.25">
      <c r="A972">
        <v>538</v>
      </c>
      <c r="C972" t="s">
        <v>2508</v>
      </c>
      <c r="E972" t="s">
        <v>540</v>
      </c>
      <c r="F972" s="4">
        <v>581.76</v>
      </c>
      <c r="G972" s="4">
        <v>1345.76</v>
      </c>
      <c r="H972" s="4">
        <v>2405.7600000000002</v>
      </c>
      <c r="I972" s="4">
        <v>1136.76</v>
      </c>
      <c r="J972" s="4">
        <v>0</v>
      </c>
      <c r="K972" s="4">
        <v>0</v>
      </c>
      <c r="L972" s="4">
        <v>0</v>
      </c>
      <c r="M972" s="4">
        <v>0</v>
      </c>
      <c r="N972" s="4">
        <f>SUM(Table1[[#This Row],[2025]:[2018]])</f>
        <v>5470.0400000000009</v>
      </c>
      <c r="O972" s="2">
        <f>Table1[[#This Row],[ttl]]/SUM(Table1[ttl])</f>
        <v>1.1029947192505409E-5</v>
      </c>
      <c r="P972" s="3">
        <f>SUM($O$2:Table1[[#This Row],[pctAllTimeExp]])</f>
        <v>0.99627508860880187</v>
      </c>
      <c r="Q972" t="b">
        <f>Table1[[#This Row],[cumPctAllTimeExp]]&lt;0.95</f>
        <v>0</v>
      </c>
    </row>
    <row r="973" spans="1:17" x14ac:dyDescent="0.25">
      <c r="A973">
        <v>442</v>
      </c>
      <c r="C973" t="s">
        <v>2508</v>
      </c>
      <c r="E973" t="s">
        <v>444</v>
      </c>
      <c r="F973" s="4">
        <v>1285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4171</v>
      </c>
      <c r="M973" s="4">
        <v>0</v>
      </c>
      <c r="N973" s="4">
        <f>SUM(Table1[[#This Row],[2025]:[2018]])</f>
        <v>5456</v>
      </c>
      <c r="O973" s="2">
        <f>Table1[[#This Row],[ttl]]/SUM(Table1[ttl])</f>
        <v>1.1001636529588358E-5</v>
      </c>
      <c r="P973" s="3">
        <f>SUM($O$2:Table1[[#This Row],[pctAllTimeExp]])</f>
        <v>0.99628609024533143</v>
      </c>
      <c r="Q973" t="b">
        <f>Table1[[#This Row],[cumPctAllTimeExp]]&lt;0.95</f>
        <v>0</v>
      </c>
    </row>
    <row r="974" spans="1:17" x14ac:dyDescent="0.25">
      <c r="A974">
        <v>446</v>
      </c>
      <c r="C974" t="s">
        <v>2508</v>
      </c>
      <c r="E974" t="s">
        <v>448</v>
      </c>
      <c r="F974" s="4">
        <v>1250</v>
      </c>
      <c r="G974" s="4">
        <v>850</v>
      </c>
      <c r="H974" s="4">
        <v>1050</v>
      </c>
      <c r="I974" s="4">
        <v>400</v>
      </c>
      <c r="J974" s="4">
        <v>200</v>
      </c>
      <c r="K974" s="4">
        <v>800</v>
      </c>
      <c r="L974" s="4">
        <v>0</v>
      </c>
      <c r="M974" s="4">
        <v>900</v>
      </c>
      <c r="N974" s="4">
        <f>SUM(Table1[[#This Row],[2025]:[2018]])</f>
        <v>5450</v>
      </c>
      <c r="O974" s="2">
        <f>Table1[[#This Row],[ttl]]/SUM(Table1[ttl])</f>
        <v>1.0989537955692184E-5</v>
      </c>
      <c r="P974" s="3">
        <f>SUM($O$2:Table1[[#This Row],[pctAllTimeExp]])</f>
        <v>0.99629707978328708</v>
      </c>
      <c r="Q974" t="b">
        <f>Table1[[#This Row],[cumPctAllTimeExp]]&lt;0.95</f>
        <v>0</v>
      </c>
    </row>
    <row r="975" spans="1:17" x14ac:dyDescent="0.25">
      <c r="A975">
        <v>1713</v>
      </c>
      <c r="C975" t="s">
        <v>2508</v>
      </c>
      <c r="E975" t="s">
        <v>1715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4430</v>
      </c>
      <c r="L975" s="4">
        <v>0</v>
      </c>
      <c r="M975" s="4">
        <v>965</v>
      </c>
      <c r="N975" s="4">
        <f>SUM(Table1[[#This Row],[2025]:[2018]])</f>
        <v>5395</v>
      </c>
      <c r="O975" s="2">
        <f>Table1[[#This Row],[ttl]]/SUM(Table1[ttl])</f>
        <v>1.0878634361643914E-5</v>
      </c>
      <c r="P975" s="3">
        <f>SUM($O$2:Table1[[#This Row],[pctAllTimeExp]])</f>
        <v>0.99630795841764874</v>
      </c>
      <c r="Q975" t="b">
        <f>Table1[[#This Row],[cumPctAllTimeExp]]&lt;0.95</f>
        <v>0</v>
      </c>
    </row>
    <row r="976" spans="1:17" x14ac:dyDescent="0.25">
      <c r="A976">
        <v>645</v>
      </c>
      <c r="C976" t="s">
        <v>2508</v>
      </c>
      <c r="E976" t="s">
        <v>647</v>
      </c>
      <c r="F976" s="4">
        <v>157.36000000000001</v>
      </c>
      <c r="G976" s="4">
        <v>0</v>
      </c>
      <c r="H976" s="4">
        <v>1126.52</v>
      </c>
      <c r="I976" s="4">
        <v>650.79</v>
      </c>
      <c r="J976" s="4">
        <v>894.76</v>
      </c>
      <c r="K976" s="4">
        <v>1044.77</v>
      </c>
      <c r="L976" s="4">
        <v>609.78</v>
      </c>
      <c r="M976" s="4">
        <v>895.96</v>
      </c>
      <c r="N976" s="4">
        <f>SUM(Table1[[#This Row],[2025]:[2018]])</f>
        <v>5379.9400000000005</v>
      </c>
      <c r="O976" s="2">
        <f>Table1[[#This Row],[ttl]]/SUM(Table1[ttl])</f>
        <v>1.0848266941164516E-5</v>
      </c>
      <c r="P976" s="3">
        <f>SUM($O$2:Table1[[#This Row],[pctAllTimeExp]])</f>
        <v>0.99631880668458994</v>
      </c>
      <c r="Q976" t="b">
        <f>Table1[[#This Row],[cumPctAllTimeExp]]&lt;0.95</f>
        <v>0</v>
      </c>
    </row>
    <row r="977" spans="1:17" x14ac:dyDescent="0.25">
      <c r="A977">
        <v>874</v>
      </c>
      <c r="C977" t="s">
        <v>2508</v>
      </c>
      <c r="E977" t="s">
        <v>876</v>
      </c>
      <c r="F977" s="4">
        <v>0</v>
      </c>
      <c r="G977" s="4">
        <v>518.45000000000005</v>
      </c>
      <c r="H977" s="4">
        <v>0</v>
      </c>
      <c r="I977" s="4">
        <v>0</v>
      </c>
      <c r="J977" s="4">
        <v>0</v>
      </c>
      <c r="K977" s="4">
        <v>4815.58</v>
      </c>
      <c r="L977" s="4">
        <v>0</v>
      </c>
      <c r="M977" s="4">
        <v>0</v>
      </c>
      <c r="N977" s="4">
        <f>SUM(Table1[[#This Row],[2025]:[2018]])</f>
        <v>5334.03</v>
      </c>
      <c r="O977" s="2">
        <f>Table1[[#This Row],[ttl]]/SUM(Table1[ttl])</f>
        <v>1.075569268656895E-5</v>
      </c>
      <c r="P977" s="3">
        <f>SUM($O$2:Table1[[#This Row],[pctAllTimeExp]])</f>
        <v>0.99632956237727655</v>
      </c>
      <c r="Q977" t="b">
        <f>Table1[[#This Row],[cumPctAllTimeExp]]&lt;0.95</f>
        <v>0</v>
      </c>
    </row>
    <row r="978" spans="1:17" x14ac:dyDescent="0.25">
      <c r="A978">
        <v>504</v>
      </c>
      <c r="C978" t="s">
        <v>2508</v>
      </c>
      <c r="E978" t="s">
        <v>506</v>
      </c>
      <c r="F978" s="4">
        <v>800</v>
      </c>
      <c r="G978" s="4">
        <v>800</v>
      </c>
      <c r="H978" s="4">
        <v>800</v>
      </c>
      <c r="I978" s="4">
        <v>900</v>
      </c>
      <c r="J978" s="4">
        <v>0</v>
      </c>
      <c r="K978" s="4">
        <v>825</v>
      </c>
      <c r="L978" s="4">
        <v>800</v>
      </c>
      <c r="M978" s="4">
        <v>400</v>
      </c>
      <c r="N978" s="4">
        <f>SUM(Table1[[#This Row],[2025]:[2018]])</f>
        <v>5325</v>
      </c>
      <c r="O978" s="2">
        <f>Table1[[#This Row],[ttl]]/SUM(Table1[ttl])</f>
        <v>1.0737484332855206E-5</v>
      </c>
      <c r="P978" s="3">
        <f>SUM($O$2:Table1[[#This Row],[pctAllTimeExp]])</f>
        <v>0.99634029986160944</v>
      </c>
      <c r="Q978" t="b">
        <f>Table1[[#This Row],[cumPctAllTimeExp]]&lt;0.95</f>
        <v>0</v>
      </c>
    </row>
    <row r="979" spans="1:17" x14ac:dyDescent="0.25">
      <c r="A979">
        <v>782</v>
      </c>
      <c r="C979" t="s">
        <v>2508</v>
      </c>
      <c r="E979" t="s">
        <v>784</v>
      </c>
      <c r="F979" s="4">
        <v>0</v>
      </c>
      <c r="G979" s="4">
        <v>3314</v>
      </c>
      <c r="H979" s="4">
        <v>0</v>
      </c>
      <c r="I979" s="4">
        <v>0</v>
      </c>
      <c r="J979" s="4">
        <v>2010.85</v>
      </c>
      <c r="K979" s="4">
        <v>0</v>
      </c>
      <c r="L979" s="4">
        <v>0</v>
      </c>
      <c r="M979" s="4">
        <v>0</v>
      </c>
      <c r="N979" s="4">
        <f>SUM(Table1[[#This Row],[2025]:[2018]])</f>
        <v>5324.85</v>
      </c>
      <c r="O979" s="2">
        <f>Table1[[#This Row],[ttl]]/SUM(Table1[ttl])</f>
        <v>1.0737181868507803E-5</v>
      </c>
      <c r="P979" s="3">
        <f>SUM($O$2:Table1[[#This Row],[pctAllTimeExp]])</f>
        <v>0.99635103704347794</v>
      </c>
      <c r="Q979" t="b">
        <f>Table1[[#This Row],[cumPctAllTimeExp]]&lt;0.95</f>
        <v>0</v>
      </c>
    </row>
    <row r="980" spans="1:17" x14ac:dyDescent="0.25">
      <c r="A980">
        <v>776</v>
      </c>
      <c r="C980" t="s">
        <v>2508</v>
      </c>
      <c r="E980" t="s">
        <v>778</v>
      </c>
      <c r="F980" s="4">
        <v>0</v>
      </c>
      <c r="G980" s="4">
        <v>4088.86</v>
      </c>
      <c r="H980" s="4">
        <v>0</v>
      </c>
      <c r="I980" s="4">
        <v>588.34</v>
      </c>
      <c r="J980" s="4">
        <v>639.87</v>
      </c>
      <c r="K980" s="4">
        <v>0</v>
      </c>
      <c r="L980" s="4">
        <v>0</v>
      </c>
      <c r="M980" s="4">
        <v>0</v>
      </c>
      <c r="N980" s="4">
        <f>SUM(Table1[[#This Row],[2025]:[2018]])</f>
        <v>5317.07</v>
      </c>
      <c r="O980" s="2">
        <f>Table1[[#This Row],[ttl]]/SUM(Table1[ttl])</f>
        <v>1.0721494051022428E-5</v>
      </c>
      <c r="P980" s="3">
        <f>SUM($O$2:Table1[[#This Row],[pctAllTimeExp]])</f>
        <v>0.99636175853752895</v>
      </c>
      <c r="Q980" t="b">
        <f>Table1[[#This Row],[cumPctAllTimeExp]]&lt;0.95</f>
        <v>0</v>
      </c>
    </row>
    <row r="981" spans="1:17" x14ac:dyDescent="0.25">
      <c r="A981">
        <v>1233</v>
      </c>
      <c r="C981" t="s">
        <v>2508</v>
      </c>
      <c r="E981" t="s">
        <v>1235</v>
      </c>
      <c r="F981" s="4">
        <v>0</v>
      </c>
      <c r="G981" s="4">
        <v>0</v>
      </c>
      <c r="H981" s="4">
        <v>0</v>
      </c>
      <c r="I981" s="4">
        <v>5316.98</v>
      </c>
      <c r="J981" s="4">
        <v>0</v>
      </c>
      <c r="K981" s="4">
        <v>0</v>
      </c>
      <c r="L981" s="4">
        <v>0</v>
      </c>
      <c r="M981" s="4">
        <v>0</v>
      </c>
      <c r="N981" s="4">
        <f>SUM(Table1[[#This Row],[2025]:[2018]])</f>
        <v>5316.98</v>
      </c>
      <c r="O981" s="2">
        <f>Table1[[#This Row],[ttl]]/SUM(Table1[ttl])</f>
        <v>1.0721312572413986E-5</v>
      </c>
      <c r="P981" s="3">
        <f>SUM($O$2:Table1[[#This Row],[pctAllTimeExp]])</f>
        <v>0.99637247985010136</v>
      </c>
      <c r="Q981" t="b">
        <f>Table1[[#This Row],[cumPctAllTimeExp]]&lt;0.95</f>
        <v>0</v>
      </c>
    </row>
    <row r="982" spans="1:17" x14ac:dyDescent="0.25">
      <c r="A982">
        <v>419</v>
      </c>
      <c r="C982" t="s">
        <v>2508</v>
      </c>
      <c r="E982" t="s">
        <v>421</v>
      </c>
      <c r="F982" s="4">
        <v>1618.75</v>
      </c>
      <c r="G982" s="4">
        <v>3676.95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f>SUM(Table1[[#This Row],[2025]:[2018]])</f>
        <v>5295.7</v>
      </c>
      <c r="O982" s="2">
        <f>Table1[[#This Row],[ttl]]/SUM(Table1[ttl])</f>
        <v>1.067840296366222E-5</v>
      </c>
      <c r="P982" s="3">
        <f>SUM($O$2:Table1[[#This Row],[pctAllTimeExp]])</f>
        <v>0.996383158253065</v>
      </c>
      <c r="Q982" t="b">
        <f>Table1[[#This Row],[cumPctAllTimeExp]]&lt;0.95</f>
        <v>0</v>
      </c>
    </row>
    <row r="983" spans="1:17" x14ac:dyDescent="0.25">
      <c r="A983">
        <v>2008</v>
      </c>
      <c r="C983" t="s">
        <v>2508</v>
      </c>
      <c r="E983" t="s">
        <v>2010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5280</v>
      </c>
      <c r="M983" s="4">
        <v>0</v>
      </c>
      <c r="N983" s="4">
        <f>SUM(Table1[[#This Row],[2025]:[2018]])</f>
        <v>5280</v>
      </c>
      <c r="O983" s="2">
        <f>Table1[[#This Row],[ttl]]/SUM(Table1[ttl])</f>
        <v>1.0646745028633895E-5</v>
      </c>
      <c r="P983" s="3">
        <f>SUM($O$2:Table1[[#This Row],[pctAllTimeExp]])</f>
        <v>0.9963938049980936</v>
      </c>
      <c r="Q983" t="b">
        <f>Table1[[#This Row],[cumPctAllTimeExp]]&lt;0.95</f>
        <v>0</v>
      </c>
    </row>
    <row r="984" spans="1:17" x14ac:dyDescent="0.25">
      <c r="A984">
        <v>2009</v>
      </c>
      <c r="C984" t="s">
        <v>2508</v>
      </c>
      <c r="E984" t="s">
        <v>2011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5264.1</v>
      </c>
      <c r="M984" s="4">
        <v>0</v>
      </c>
      <c r="N984" s="4">
        <f>SUM(Table1[[#This Row],[2025]:[2018]])</f>
        <v>5264.1</v>
      </c>
      <c r="O984" s="2">
        <f>Table1[[#This Row],[ttl]]/SUM(Table1[ttl])</f>
        <v>1.0614683807809032E-5</v>
      </c>
      <c r="P984" s="3">
        <f>SUM($O$2:Table1[[#This Row],[pctAllTimeExp]])</f>
        <v>0.99640441968190141</v>
      </c>
      <c r="Q984" t="b">
        <f>Table1[[#This Row],[cumPctAllTimeExp]]&lt;0.95</f>
        <v>0</v>
      </c>
    </row>
    <row r="985" spans="1:17" x14ac:dyDescent="0.25">
      <c r="A985">
        <v>487</v>
      </c>
      <c r="C985" t="s">
        <v>2508</v>
      </c>
      <c r="E985" t="s">
        <v>489</v>
      </c>
      <c r="F985" s="4">
        <v>900</v>
      </c>
      <c r="G985" s="4">
        <v>900</v>
      </c>
      <c r="H985" s="4">
        <v>900</v>
      </c>
      <c r="I985" s="4">
        <v>900</v>
      </c>
      <c r="J985" s="4">
        <v>0</v>
      </c>
      <c r="K985" s="4">
        <v>900</v>
      </c>
      <c r="L985" s="4">
        <v>0</v>
      </c>
      <c r="M985" s="4">
        <v>750</v>
      </c>
      <c r="N985" s="4">
        <f>SUM(Table1[[#This Row],[2025]:[2018]])</f>
        <v>5250</v>
      </c>
      <c r="O985" s="2">
        <f>Table1[[#This Row],[ttl]]/SUM(Table1[ttl])</f>
        <v>1.0586252159153021E-5</v>
      </c>
      <c r="P985" s="3">
        <f>SUM($O$2:Table1[[#This Row],[pctAllTimeExp]])</f>
        <v>0.99641500593406052</v>
      </c>
      <c r="Q985" t="b">
        <f>Table1[[#This Row],[cumPctAllTimeExp]]&lt;0.95</f>
        <v>0</v>
      </c>
    </row>
    <row r="986" spans="1:17" x14ac:dyDescent="0.25">
      <c r="A986">
        <v>2279</v>
      </c>
      <c r="C986" t="s">
        <v>2508</v>
      </c>
      <c r="E986" t="s">
        <v>2281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5184.3599999999997</v>
      </c>
      <c r="N986" s="4">
        <f>SUM(Table1[[#This Row],[2025]:[2018]])</f>
        <v>5184.3599999999997</v>
      </c>
      <c r="O986" s="2">
        <f>Table1[[#This Row],[ttl]]/SUM(Table1[ttl])</f>
        <v>1.0453893760728866E-5</v>
      </c>
      <c r="P986" s="3">
        <f>SUM($O$2:Table1[[#This Row],[pctAllTimeExp]])</f>
        <v>0.99642545982782127</v>
      </c>
      <c r="Q986" t="b">
        <f>Table1[[#This Row],[cumPctAllTimeExp]]&lt;0.95</f>
        <v>0</v>
      </c>
    </row>
    <row r="987" spans="1:17" x14ac:dyDescent="0.25">
      <c r="A987">
        <v>1275</v>
      </c>
      <c r="C987" t="s">
        <v>2508</v>
      </c>
      <c r="E987" t="s">
        <v>1277</v>
      </c>
      <c r="F987" s="4">
        <v>0</v>
      </c>
      <c r="G987" s="4">
        <v>0</v>
      </c>
      <c r="H987" s="4">
        <v>0</v>
      </c>
      <c r="I987" s="4">
        <v>1250</v>
      </c>
      <c r="J987" s="4">
        <v>3900</v>
      </c>
      <c r="K987" s="4">
        <v>0</v>
      </c>
      <c r="L987" s="4">
        <v>0</v>
      </c>
      <c r="M987" s="4">
        <v>0</v>
      </c>
      <c r="N987" s="4">
        <f>SUM(Table1[[#This Row],[2025]:[2018]])</f>
        <v>5150</v>
      </c>
      <c r="O987" s="2">
        <f>Table1[[#This Row],[ttl]]/SUM(Table1[ttl])</f>
        <v>1.0384609260883439E-5</v>
      </c>
      <c r="P987" s="3">
        <f>SUM($O$2:Table1[[#This Row],[pctAllTimeExp]])</f>
        <v>0.99643584443708211</v>
      </c>
      <c r="Q987" t="b">
        <f>Table1[[#This Row],[cumPctAllTimeExp]]&lt;0.95</f>
        <v>0</v>
      </c>
    </row>
    <row r="988" spans="1:17" x14ac:dyDescent="0.25">
      <c r="A988">
        <v>1463</v>
      </c>
      <c r="C988" t="s">
        <v>2508</v>
      </c>
      <c r="E988" t="s">
        <v>1465</v>
      </c>
      <c r="F988" s="4">
        <v>0</v>
      </c>
      <c r="G988" s="4">
        <v>0</v>
      </c>
      <c r="H988" s="4">
        <v>0</v>
      </c>
      <c r="I988" s="4">
        <v>0</v>
      </c>
      <c r="J988" s="4">
        <v>1845</v>
      </c>
      <c r="K988" s="4">
        <v>3280</v>
      </c>
      <c r="L988" s="4">
        <v>0</v>
      </c>
      <c r="M988" s="4">
        <v>0</v>
      </c>
      <c r="N988" s="4">
        <f>SUM(Table1[[#This Row],[2025]:[2018]])</f>
        <v>5125</v>
      </c>
      <c r="O988" s="2">
        <f>Table1[[#This Row],[ttl]]/SUM(Table1[ttl])</f>
        <v>1.0334198536316044E-5</v>
      </c>
      <c r="P988" s="3">
        <f>SUM($O$2:Table1[[#This Row],[pctAllTimeExp]])</f>
        <v>0.99644617863561846</v>
      </c>
      <c r="Q988" t="b">
        <f>Table1[[#This Row],[cumPctAllTimeExp]]&lt;0.95</f>
        <v>0</v>
      </c>
    </row>
    <row r="989" spans="1:17" x14ac:dyDescent="0.25">
      <c r="A989">
        <v>2280</v>
      </c>
      <c r="C989" t="s">
        <v>2508</v>
      </c>
      <c r="E989" t="s">
        <v>2282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5105.99</v>
      </c>
      <c r="N989" s="4">
        <f>SUM(Table1[[#This Row],[2025]:[2018]])</f>
        <v>5105.99</v>
      </c>
      <c r="O989" s="2">
        <f>Table1[[#This Row],[ttl]]/SUM(Table1[ttl])</f>
        <v>1.0295866221354996E-5</v>
      </c>
      <c r="P989" s="3">
        <f>SUM($O$2:Table1[[#This Row],[pctAllTimeExp]])</f>
        <v>0.99645647450183983</v>
      </c>
      <c r="Q989" t="b">
        <f>Table1[[#This Row],[cumPctAllTimeExp]]&lt;0.95</f>
        <v>0</v>
      </c>
    </row>
    <row r="990" spans="1:17" x14ac:dyDescent="0.25">
      <c r="A990">
        <v>427</v>
      </c>
      <c r="C990" t="s">
        <v>2508</v>
      </c>
      <c r="E990" t="s">
        <v>429</v>
      </c>
      <c r="F990" s="4">
        <v>1500</v>
      </c>
      <c r="G990" s="4">
        <v>1120</v>
      </c>
      <c r="H990" s="4">
        <v>1140</v>
      </c>
      <c r="I990" s="4">
        <v>600</v>
      </c>
      <c r="J990" s="4">
        <v>0</v>
      </c>
      <c r="K990" s="4">
        <v>720</v>
      </c>
      <c r="L990" s="4">
        <v>0</v>
      </c>
      <c r="M990" s="4">
        <v>0</v>
      </c>
      <c r="N990" s="4">
        <f>SUM(Table1[[#This Row],[2025]:[2018]])</f>
        <v>5080</v>
      </c>
      <c r="O990" s="2">
        <f>Table1[[#This Row],[ttl]]/SUM(Table1[ttl])</f>
        <v>1.0243459232094733E-5</v>
      </c>
      <c r="P990" s="3">
        <f>SUM($O$2:Table1[[#This Row],[pctAllTimeExp]])</f>
        <v>0.99646671796107189</v>
      </c>
      <c r="Q990" t="b">
        <f>Table1[[#This Row],[cumPctAllTimeExp]]&lt;0.95</f>
        <v>0</v>
      </c>
    </row>
    <row r="991" spans="1:17" x14ac:dyDescent="0.25">
      <c r="A991">
        <v>806</v>
      </c>
      <c r="C991" t="s">
        <v>2508</v>
      </c>
      <c r="E991" t="s">
        <v>808</v>
      </c>
      <c r="F991" s="4">
        <v>0</v>
      </c>
      <c r="G991" s="4">
        <v>1856.2</v>
      </c>
      <c r="H991" s="4">
        <v>0</v>
      </c>
      <c r="I991" s="4">
        <v>0</v>
      </c>
      <c r="J991" s="4">
        <v>0</v>
      </c>
      <c r="K991" s="4">
        <v>3207.38</v>
      </c>
      <c r="L991" s="4">
        <v>0</v>
      </c>
      <c r="M991" s="4">
        <v>0</v>
      </c>
      <c r="N991" s="4">
        <f>SUM(Table1[[#This Row],[2025]:[2018]])</f>
        <v>5063.58</v>
      </c>
      <c r="O991" s="2">
        <f>Table1[[#This Row],[ttl]]/SUM(Table1[ttl])</f>
        <v>1.0210349468198868E-5</v>
      </c>
      <c r="P991" s="3">
        <f>SUM($O$2:Table1[[#This Row],[pctAllTimeExp]])</f>
        <v>0.99647692831054013</v>
      </c>
      <c r="Q991" t="b">
        <f>Table1[[#This Row],[cumPctAllTimeExp]]&lt;0.95</f>
        <v>0</v>
      </c>
    </row>
    <row r="992" spans="1:17" x14ac:dyDescent="0.25">
      <c r="A992">
        <v>1459</v>
      </c>
      <c r="C992" t="s">
        <v>2508</v>
      </c>
      <c r="E992" t="s">
        <v>1461</v>
      </c>
      <c r="F992" s="4">
        <v>0</v>
      </c>
      <c r="G992" s="4">
        <v>0</v>
      </c>
      <c r="H992" s="4">
        <v>0</v>
      </c>
      <c r="I992" s="4">
        <v>0</v>
      </c>
      <c r="J992" s="4">
        <v>2500</v>
      </c>
      <c r="K992" s="4">
        <v>2560</v>
      </c>
      <c r="L992" s="4">
        <v>0</v>
      </c>
      <c r="M992" s="4">
        <v>0</v>
      </c>
      <c r="N992" s="4">
        <f>SUM(Table1[[#This Row],[2025]:[2018]])</f>
        <v>5060</v>
      </c>
      <c r="O992" s="2">
        <f>Table1[[#This Row],[ttl]]/SUM(Table1[ttl])</f>
        <v>1.0203130652440817E-5</v>
      </c>
      <c r="P992" s="3">
        <f>SUM($O$2:Table1[[#This Row],[pctAllTimeExp]])</f>
        <v>0.99648713144119261</v>
      </c>
      <c r="Q992" t="b">
        <f>Table1[[#This Row],[cumPctAllTimeExp]]&lt;0.95</f>
        <v>0</v>
      </c>
    </row>
    <row r="993" spans="1:17" x14ac:dyDescent="0.25">
      <c r="A993">
        <v>802</v>
      </c>
      <c r="C993" t="s">
        <v>2508</v>
      </c>
      <c r="E993" t="s">
        <v>804</v>
      </c>
      <c r="F993" s="4">
        <v>0</v>
      </c>
      <c r="G993" s="4">
        <v>1978.77</v>
      </c>
      <c r="H993" s="4">
        <v>0</v>
      </c>
      <c r="I993" s="4">
        <v>0</v>
      </c>
      <c r="J993" s="4">
        <v>3033</v>
      </c>
      <c r="K993" s="4">
        <v>0</v>
      </c>
      <c r="L993" s="4">
        <v>0</v>
      </c>
      <c r="M993" s="4">
        <v>0</v>
      </c>
      <c r="N993" s="4">
        <f>SUM(Table1[[#This Row],[2025]:[2018]])</f>
        <v>5011.7700000000004</v>
      </c>
      <c r="O993" s="2">
        <f>Table1[[#This Row],[ttl]]/SUM(Table1[ttl])</f>
        <v>1.0105878282605398E-5</v>
      </c>
      <c r="P993" s="3">
        <f>SUM($O$2:Table1[[#This Row],[pctAllTimeExp]])</f>
        <v>0.99649723731947526</v>
      </c>
      <c r="Q993" t="b">
        <f>Table1[[#This Row],[cumPctAllTimeExp]]&lt;0.95</f>
        <v>0</v>
      </c>
    </row>
    <row r="994" spans="1:17" x14ac:dyDescent="0.25">
      <c r="A994">
        <v>784</v>
      </c>
      <c r="C994" t="s">
        <v>2508</v>
      </c>
      <c r="E994" t="s">
        <v>786</v>
      </c>
      <c r="F994" s="4">
        <v>0</v>
      </c>
      <c r="G994" s="4">
        <v>3169.75</v>
      </c>
      <c r="H994" s="4">
        <v>1841.64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f>SUM(Table1[[#This Row],[2025]:[2018]])</f>
        <v>5011.3900000000003</v>
      </c>
      <c r="O994" s="2">
        <f>Table1[[#This Row],[ttl]]/SUM(Table1[ttl])</f>
        <v>1.0105112039591974E-5</v>
      </c>
      <c r="P994" s="3">
        <f>SUM($O$2:Table1[[#This Row],[pctAllTimeExp]])</f>
        <v>0.99650734243151484</v>
      </c>
      <c r="Q994" t="b">
        <f>Table1[[#This Row],[cumPctAllTimeExp]]&lt;0.95</f>
        <v>0</v>
      </c>
    </row>
    <row r="995" spans="1:17" x14ac:dyDescent="0.25">
      <c r="A995">
        <v>648</v>
      </c>
      <c r="C995" t="s">
        <v>2508</v>
      </c>
      <c r="E995" t="s">
        <v>650</v>
      </c>
      <c r="F995" s="4">
        <v>153.05000000000001</v>
      </c>
      <c r="G995" s="4">
        <v>2788.15</v>
      </c>
      <c r="H995" s="4">
        <v>661.27</v>
      </c>
      <c r="I995" s="4">
        <v>277.81</v>
      </c>
      <c r="J995" s="4">
        <v>210</v>
      </c>
      <c r="K995" s="4">
        <v>479.16</v>
      </c>
      <c r="L995" s="4">
        <v>0</v>
      </c>
      <c r="M995" s="4">
        <v>435.6</v>
      </c>
      <c r="N995" s="4">
        <f>SUM(Table1[[#This Row],[2025]:[2018]])</f>
        <v>5005.0400000000009</v>
      </c>
      <c r="O995" s="2">
        <f>Table1[[#This Row],[ttl]]/SUM(Table1[ttl])</f>
        <v>1.0092307715551856E-5</v>
      </c>
      <c r="P995" s="3">
        <f>SUM($O$2:Table1[[#This Row],[pctAllTimeExp]])</f>
        <v>0.99651743473923038</v>
      </c>
      <c r="Q995" t="b">
        <f>Table1[[#This Row],[cumPctAllTimeExp]]&lt;0.95</f>
        <v>0</v>
      </c>
    </row>
    <row r="996" spans="1:17" x14ac:dyDescent="0.25">
      <c r="A996">
        <v>303</v>
      </c>
      <c r="C996" t="s">
        <v>2508</v>
      </c>
      <c r="E996" t="s">
        <v>305</v>
      </c>
      <c r="F996" s="4">
        <v>5000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f>SUM(Table1[[#This Row],[2025]:[2018]])</f>
        <v>5000</v>
      </c>
      <c r="O996" s="2">
        <f>Table1[[#This Row],[ttl]]/SUM(Table1[ttl])</f>
        <v>1.0082144913479067E-5</v>
      </c>
      <c r="P996" s="3">
        <f>SUM($O$2:Table1[[#This Row],[pctAllTimeExp]])</f>
        <v>0.99652751688414387</v>
      </c>
      <c r="Q996" t="b">
        <f>Table1[[#This Row],[cumPctAllTimeExp]]&lt;0.95</f>
        <v>0</v>
      </c>
    </row>
    <row r="997" spans="1:17" x14ac:dyDescent="0.25">
      <c r="A997">
        <v>2010</v>
      </c>
      <c r="C997" t="s">
        <v>2508</v>
      </c>
      <c r="E997" t="s">
        <v>2012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5000</v>
      </c>
      <c r="M997" s="4">
        <v>0</v>
      </c>
      <c r="N997" s="4">
        <f>SUM(Table1[[#This Row],[2025]:[2018]])</f>
        <v>5000</v>
      </c>
      <c r="O997" s="2">
        <f>Table1[[#This Row],[ttl]]/SUM(Table1[ttl])</f>
        <v>1.0082144913479067E-5</v>
      </c>
      <c r="P997" s="3">
        <f>SUM($O$2:Table1[[#This Row],[pctAllTimeExp]])</f>
        <v>0.99653759902905736</v>
      </c>
      <c r="Q997" t="b">
        <f>Table1[[#This Row],[cumPctAllTimeExp]]&lt;0.95</f>
        <v>0</v>
      </c>
    </row>
    <row r="998" spans="1:17" x14ac:dyDescent="0.25">
      <c r="A998">
        <v>2281</v>
      </c>
      <c r="C998" t="s">
        <v>2508</v>
      </c>
      <c r="E998" t="s">
        <v>2283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5000</v>
      </c>
      <c r="N998" s="4">
        <f>SUM(Table1[[#This Row],[2025]:[2018]])</f>
        <v>5000</v>
      </c>
      <c r="O998" s="2">
        <f>Table1[[#This Row],[ttl]]/SUM(Table1[ttl])</f>
        <v>1.0082144913479067E-5</v>
      </c>
      <c r="P998" s="3">
        <f>SUM($O$2:Table1[[#This Row],[pctAllTimeExp]])</f>
        <v>0.99654768117397086</v>
      </c>
      <c r="Q998" t="b">
        <f>Table1[[#This Row],[cumPctAllTimeExp]]&lt;0.95</f>
        <v>0</v>
      </c>
    </row>
    <row r="999" spans="1:17" x14ac:dyDescent="0.25">
      <c r="A999">
        <v>2282</v>
      </c>
      <c r="C999" t="s">
        <v>2508</v>
      </c>
      <c r="E999" t="s">
        <v>2284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4995</v>
      </c>
      <c r="N999" s="4">
        <f>SUM(Table1[[#This Row],[2025]:[2018]])</f>
        <v>4995</v>
      </c>
      <c r="O999" s="2">
        <f>Table1[[#This Row],[ttl]]/SUM(Table1[ttl])</f>
        <v>1.0072062768565588E-5</v>
      </c>
      <c r="P999" s="3">
        <f>SUM($O$2:Table1[[#This Row],[pctAllTimeExp]])</f>
        <v>0.99655775323673945</v>
      </c>
      <c r="Q999" t="b">
        <f>Table1[[#This Row],[cumPctAllTimeExp]]&lt;0.95</f>
        <v>0</v>
      </c>
    </row>
    <row r="1000" spans="1:17" x14ac:dyDescent="0.25">
      <c r="A1000">
        <v>1706</v>
      </c>
      <c r="C1000" t="s">
        <v>2508</v>
      </c>
      <c r="E1000" t="s">
        <v>1708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4990</v>
      </c>
      <c r="L1000" s="4">
        <v>0</v>
      </c>
      <c r="M1000" s="4">
        <v>0</v>
      </c>
      <c r="N1000" s="4">
        <f>SUM(Table1[[#This Row],[2025]:[2018]])</f>
        <v>4990</v>
      </c>
      <c r="O1000" s="2">
        <f>Table1[[#This Row],[ttl]]/SUM(Table1[ttl])</f>
        <v>1.0061980623652109E-5</v>
      </c>
      <c r="P1000" s="3">
        <f>SUM($O$2:Table1[[#This Row],[pctAllTimeExp]])</f>
        <v>0.99656781521736315</v>
      </c>
      <c r="Q1000" t="b">
        <f>Table1[[#This Row],[cumPctAllTimeExp]]&lt;0.95</f>
        <v>0</v>
      </c>
    </row>
    <row r="1001" spans="1:17" x14ac:dyDescent="0.25">
      <c r="A1001">
        <v>2283</v>
      </c>
      <c r="C1001" t="s">
        <v>2508</v>
      </c>
      <c r="E1001" t="s">
        <v>2285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4990</v>
      </c>
      <c r="N1001" s="4">
        <f>SUM(Table1[[#This Row],[2025]:[2018]])</f>
        <v>4990</v>
      </c>
      <c r="O1001" s="2">
        <f>Table1[[#This Row],[ttl]]/SUM(Table1[ttl])</f>
        <v>1.0061980623652109E-5</v>
      </c>
      <c r="P1001" s="3">
        <f>SUM($O$2:Table1[[#This Row],[pctAllTimeExp]])</f>
        <v>0.99657787719798685</v>
      </c>
      <c r="Q1001" t="b">
        <f>Table1[[#This Row],[cumPctAllTimeExp]]&lt;0.95</f>
        <v>0</v>
      </c>
    </row>
    <row r="1002" spans="1:17" x14ac:dyDescent="0.25">
      <c r="A1002">
        <v>2284</v>
      </c>
      <c r="C1002" t="s">
        <v>2508</v>
      </c>
      <c r="E1002" t="s">
        <v>2286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4990</v>
      </c>
      <c r="N1002" s="4">
        <f>SUM(Table1[[#This Row],[2025]:[2018]])</f>
        <v>4990</v>
      </c>
      <c r="O1002" s="2">
        <f>Table1[[#This Row],[ttl]]/SUM(Table1[ttl])</f>
        <v>1.0061980623652109E-5</v>
      </c>
      <c r="P1002" s="3">
        <f>SUM($O$2:Table1[[#This Row],[pctAllTimeExp]])</f>
        <v>0.99658793917861055</v>
      </c>
      <c r="Q1002" t="b">
        <f>Table1[[#This Row],[cumPctAllTimeExp]]&lt;0.95</f>
        <v>0</v>
      </c>
    </row>
    <row r="1003" spans="1:17" x14ac:dyDescent="0.25">
      <c r="A1003">
        <v>1274</v>
      </c>
      <c r="C1003" t="s">
        <v>2508</v>
      </c>
      <c r="E1003" t="s">
        <v>1276</v>
      </c>
      <c r="F1003" s="4">
        <v>0</v>
      </c>
      <c r="G1003" s="4">
        <v>0</v>
      </c>
      <c r="H1003" s="4">
        <v>0</v>
      </c>
      <c r="I1003" s="4">
        <v>1347</v>
      </c>
      <c r="J1003" s="4">
        <v>3642.36</v>
      </c>
      <c r="K1003" s="4">
        <v>0</v>
      </c>
      <c r="L1003" s="4">
        <v>0</v>
      </c>
      <c r="M1003" s="4">
        <v>0</v>
      </c>
      <c r="N1003" s="4">
        <f>SUM(Table1[[#This Row],[2025]:[2018]])</f>
        <v>4989.3600000000006</v>
      </c>
      <c r="O1003" s="2">
        <f>Table1[[#This Row],[ttl]]/SUM(Table1[ttl])</f>
        <v>1.0060690109103184E-5</v>
      </c>
      <c r="P1003" s="3">
        <f>SUM($O$2:Table1[[#This Row],[pctAllTimeExp]])</f>
        <v>0.99659799986871966</v>
      </c>
      <c r="Q1003" t="b">
        <f>Table1[[#This Row],[cumPctAllTimeExp]]&lt;0.95</f>
        <v>0</v>
      </c>
    </row>
    <row r="1004" spans="1:17" x14ac:dyDescent="0.25">
      <c r="A1004">
        <v>2011</v>
      </c>
      <c r="C1004" t="s">
        <v>2508</v>
      </c>
      <c r="E1004" t="s">
        <v>2013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4988</v>
      </c>
      <c r="M1004" s="4">
        <v>0</v>
      </c>
      <c r="N1004" s="4">
        <f>SUM(Table1[[#This Row],[2025]:[2018]])</f>
        <v>4988</v>
      </c>
      <c r="O1004" s="2">
        <f>Table1[[#This Row],[ttl]]/SUM(Table1[ttl])</f>
        <v>1.0057947765686718E-5</v>
      </c>
      <c r="P1004" s="3">
        <f>SUM($O$2:Table1[[#This Row],[pctAllTimeExp]])</f>
        <v>0.99660805781648532</v>
      </c>
      <c r="Q1004" t="b">
        <f>Table1[[#This Row],[cumPctAllTimeExp]]&lt;0.95</f>
        <v>0</v>
      </c>
    </row>
    <row r="1005" spans="1:17" x14ac:dyDescent="0.25">
      <c r="A1005">
        <v>458</v>
      </c>
      <c r="C1005" t="s">
        <v>2508</v>
      </c>
      <c r="E1005" t="s">
        <v>460</v>
      </c>
      <c r="F1005" s="4">
        <v>1170</v>
      </c>
      <c r="G1005" s="4">
        <v>1170</v>
      </c>
      <c r="H1005" s="4">
        <v>1170</v>
      </c>
      <c r="I1005" s="4">
        <v>0</v>
      </c>
      <c r="J1005" s="4">
        <v>0</v>
      </c>
      <c r="K1005" s="4">
        <v>0</v>
      </c>
      <c r="L1005" s="4">
        <v>736</v>
      </c>
      <c r="M1005" s="4">
        <v>736</v>
      </c>
      <c r="N1005" s="4">
        <f>SUM(Table1[[#This Row],[2025]:[2018]])</f>
        <v>4982</v>
      </c>
      <c r="O1005" s="2">
        <f>Table1[[#This Row],[ttl]]/SUM(Table1[ttl])</f>
        <v>1.0045849191790543E-5</v>
      </c>
      <c r="P1005" s="3">
        <f>SUM($O$2:Table1[[#This Row],[pctAllTimeExp]])</f>
        <v>0.99661810366567716</v>
      </c>
      <c r="Q1005" t="b">
        <f>Table1[[#This Row],[cumPctAllTimeExp]]&lt;0.95</f>
        <v>0</v>
      </c>
    </row>
    <row r="1006" spans="1:17" x14ac:dyDescent="0.25">
      <c r="A1006">
        <v>1707</v>
      </c>
      <c r="C1006" t="s">
        <v>2508</v>
      </c>
      <c r="E1006" t="s">
        <v>1709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>
        <v>4980</v>
      </c>
      <c r="L1006" s="4">
        <v>0</v>
      </c>
      <c r="M1006" s="4">
        <v>0</v>
      </c>
      <c r="N1006" s="4">
        <f>SUM(Table1[[#This Row],[2025]:[2018]])</f>
        <v>4980</v>
      </c>
      <c r="O1006" s="2">
        <f>Table1[[#This Row],[ttl]]/SUM(Table1[ttl])</f>
        <v>1.0041816333825151E-5</v>
      </c>
      <c r="P1006" s="3">
        <f>SUM($O$2:Table1[[#This Row],[pctAllTimeExp]])</f>
        <v>0.99662814548201095</v>
      </c>
      <c r="Q1006" t="b">
        <f>Table1[[#This Row],[cumPctAllTimeExp]]&lt;0.95</f>
        <v>0</v>
      </c>
    </row>
    <row r="1007" spans="1:17" x14ac:dyDescent="0.25">
      <c r="A1007">
        <v>2285</v>
      </c>
      <c r="C1007" t="s">
        <v>2508</v>
      </c>
      <c r="E1007" t="s">
        <v>2287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4968</v>
      </c>
      <c r="N1007" s="4">
        <f>SUM(Table1[[#This Row],[2025]:[2018]])</f>
        <v>4968</v>
      </c>
      <c r="O1007" s="2">
        <f>Table1[[#This Row],[ttl]]/SUM(Table1[ttl])</f>
        <v>1.0017619186032802E-5</v>
      </c>
      <c r="P1007" s="3">
        <f>SUM($O$2:Table1[[#This Row],[pctAllTimeExp]])</f>
        <v>0.99663816310119702</v>
      </c>
      <c r="Q1007" t="b">
        <f>Table1[[#This Row],[cumPctAllTimeExp]]&lt;0.95</f>
        <v>0</v>
      </c>
    </row>
    <row r="1008" spans="1:17" x14ac:dyDescent="0.25">
      <c r="A1008">
        <v>502</v>
      </c>
      <c r="C1008" t="s">
        <v>2508</v>
      </c>
      <c r="E1008" t="s">
        <v>504</v>
      </c>
      <c r="F1008" s="4">
        <v>800</v>
      </c>
      <c r="G1008" s="4">
        <v>800</v>
      </c>
      <c r="H1008" s="4">
        <v>870</v>
      </c>
      <c r="I1008" s="4">
        <v>0</v>
      </c>
      <c r="J1008" s="4">
        <v>0</v>
      </c>
      <c r="K1008" s="4">
        <v>800</v>
      </c>
      <c r="L1008" s="4">
        <v>890</v>
      </c>
      <c r="M1008" s="4">
        <v>800</v>
      </c>
      <c r="N1008" s="4">
        <f>SUM(Table1[[#This Row],[2025]:[2018]])</f>
        <v>4960</v>
      </c>
      <c r="O1008" s="2">
        <f>Table1[[#This Row],[ttl]]/SUM(Table1[ttl])</f>
        <v>1.0001487754171235E-5</v>
      </c>
      <c r="P1008" s="3">
        <f>SUM($O$2:Table1[[#This Row],[pctAllTimeExp]])</f>
        <v>0.99664816458895122</v>
      </c>
      <c r="Q1008" t="b">
        <f>Table1[[#This Row],[cumPctAllTimeExp]]&lt;0.95</f>
        <v>0</v>
      </c>
    </row>
    <row r="1009" spans="1:17" x14ac:dyDescent="0.25">
      <c r="A1009">
        <v>1250</v>
      </c>
      <c r="C1009" t="s">
        <v>2508</v>
      </c>
      <c r="E1009" t="s">
        <v>1252</v>
      </c>
      <c r="F1009" s="4">
        <v>0</v>
      </c>
      <c r="G1009" s="4">
        <v>0</v>
      </c>
      <c r="H1009" s="4">
        <v>0</v>
      </c>
      <c r="I1009" s="4">
        <v>2849.5</v>
      </c>
      <c r="J1009" s="4">
        <v>2100</v>
      </c>
      <c r="K1009" s="4">
        <v>0</v>
      </c>
      <c r="L1009" s="4">
        <v>0</v>
      </c>
      <c r="M1009" s="4">
        <v>0</v>
      </c>
      <c r="N1009" s="4">
        <f>SUM(Table1[[#This Row],[2025]:[2018]])</f>
        <v>4949.5</v>
      </c>
      <c r="O1009" s="2">
        <f>Table1[[#This Row],[ttl]]/SUM(Table1[ttl])</f>
        <v>9.9803152498529297E-6</v>
      </c>
      <c r="P1009" s="3">
        <f>SUM($O$2:Table1[[#This Row],[pctAllTimeExp]])</f>
        <v>0.99665814490420113</v>
      </c>
      <c r="Q1009" t="b">
        <f>Table1[[#This Row],[cumPctAllTimeExp]]&lt;0.95</f>
        <v>0</v>
      </c>
    </row>
    <row r="1010" spans="1:17" x14ac:dyDescent="0.25">
      <c r="A1010">
        <v>1371</v>
      </c>
      <c r="C1010" t="s">
        <v>2508</v>
      </c>
      <c r="E1010" t="s">
        <v>1373</v>
      </c>
      <c r="F1010" s="4">
        <v>0</v>
      </c>
      <c r="G1010" s="4">
        <v>0</v>
      </c>
      <c r="H1010" s="4">
        <v>0</v>
      </c>
      <c r="I1010" s="4">
        <v>141.93</v>
      </c>
      <c r="J1010" s="4">
        <v>0</v>
      </c>
      <c r="K1010" s="4">
        <v>233.89</v>
      </c>
      <c r="L1010" s="4">
        <v>188.02</v>
      </c>
      <c r="M1010" s="4">
        <v>4384.18</v>
      </c>
      <c r="N1010" s="4">
        <f>SUM(Table1[[#This Row],[2025]:[2018]])</f>
        <v>4948.0200000000004</v>
      </c>
      <c r="O1010" s="2">
        <f>Table1[[#This Row],[ttl]]/SUM(Table1[ttl])</f>
        <v>9.9773309349585405E-6</v>
      </c>
      <c r="P1010" s="3">
        <f>SUM($O$2:Table1[[#This Row],[pctAllTimeExp]])</f>
        <v>0.99666812223513612</v>
      </c>
      <c r="Q1010" t="b">
        <f>Table1[[#This Row],[cumPctAllTimeExp]]&lt;0.95</f>
        <v>0</v>
      </c>
    </row>
    <row r="1011" spans="1:17" x14ac:dyDescent="0.25">
      <c r="A1011">
        <v>1790</v>
      </c>
      <c r="C1011" t="s">
        <v>2508</v>
      </c>
      <c r="E1011" t="s">
        <v>1792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740</v>
      </c>
      <c r="L1011" s="4">
        <v>4190</v>
      </c>
      <c r="M1011" s="4">
        <v>0</v>
      </c>
      <c r="N1011" s="4">
        <f>SUM(Table1[[#This Row],[2025]:[2018]])</f>
        <v>4930</v>
      </c>
      <c r="O1011" s="2">
        <f>Table1[[#This Row],[ttl]]/SUM(Table1[ttl])</f>
        <v>9.9409948846903605E-6</v>
      </c>
      <c r="P1011" s="3">
        <f>SUM($O$2:Table1[[#This Row],[pctAllTimeExp]])</f>
        <v>0.99667806323002084</v>
      </c>
      <c r="Q1011" t="b">
        <f>Table1[[#This Row],[cumPctAllTimeExp]]&lt;0.95</f>
        <v>0</v>
      </c>
    </row>
    <row r="1012" spans="1:17" x14ac:dyDescent="0.25">
      <c r="A1012">
        <v>2286</v>
      </c>
      <c r="C1012" t="s">
        <v>2508</v>
      </c>
      <c r="E1012" t="s">
        <v>2288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4888.3</v>
      </c>
      <c r="N1012" s="4">
        <f>SUM(Table1[[#This Row],[2025]:[2018]])</f>
        <v>4888.3</v>
      </c>
      <c r="O1012" s="2">
        <f>Table1[[#This Row],[ttl]]/SUM(Table1[ttl])</f>
        <v>9.8569097961119455E-6</v>
      </c>
      <c r="P1012" s="3">
        <f>SUM($O$2:Table1[[#This Row],[pctAllTimeExp]])</f>
        <v>0.996687920139817</v>
      </c>
      <c r="Q1012" t="b">
        <f>Table1[[#This Row],[cumPctAllTimeExp]]&lt;0.95</f>
        <v>0</v>
      </c>
    </row>
    <row r="1013" spans="1:17" x14ac:dyDescent="0.25">
      <c r="A1013">
        <v>506</v>
      </c>
      <c r="C1013" t="s">
        <v>2508</v>
      </c>
      <c r="E1013" t="s">
        <v>508</v>
      </c>
      <c r="F1013" s="4">
        <v>778.11</v>
      </c>
      <c r="G1013" s="4">
        <v>448</v>
      </c>
      <c r="H1013" s="4">
        <v>1571.5</v>
      </c>
      <c r="I1013" s="4">
        <v>403</v>
      </c>
      <c r="J1013" s="4">
        <v>335</v>
      </c>
      <c r="K1013" s="4">
        <v>966</v>
      </c>
      <c r="L1013" s="4">
        <v>385.5</v>
      </c>
      <c r="M1013" s="4">
        <v>0</v>
      </c>
      <c r="N1013" s="4">
        <f>SUM(Table1[[#This Row],[2025]:[2018]])</f>
        <v>4887.1100000000006</v>
      </c>
      <c r="O1013" s="2">
        <f>Table1[[#This Row],[ttl]]/SUM(Table1[ttl])</f>
        <v>9.8545102456225388E-6</v>
      </c>
      <c r="P1013" s="3">
        <f>SUM($O$2:Table1[[#This Row],[pctAllTimeExp]])</f>
        <v>0.9966977746500626</v>
      </c>
      <c r="Q1013" t="b">
        <f>Table1[[#This Row],[cumPctAllTimeExp]]&lt;0.95</f>
        <v>0</v>
      </c>
    </row>
    <row r="1014" spans="1:17" x14ac:dyDescent="0.25">
      <c r="A1014">
        <v>1442</v>
      </c>
      <c r="C1014" t="s">
        <v>2508</v>
      </c>
      <c r="E1014" t="s">
        <v>1444</v>
      </c>
      <c r="F1014" s="4">
        <v>0</v>
      </c>
      <c r="G1014" s="4">
        <v>0</v>
      </c>
      <c r="H1014" s="4">
        <v>0</v>
      </c>
      <c r="I1014" s="4">
        <v>0</v>
      </c>
      <c r="J1014" s="4">
        <v>4872.34</v>
      </c>
      <c r="K1014" s="4">
        <v>0</v>
      </c>
      <c r="L1014" s="4">
        <v>0</v>
      </c>
      <c r="M1014" s="4">
        <v>0</v>
      </c>
      <c r="N1014" s="4">
        <f>SUM(Table1[[#This Row],[2025]:[2018]])</f>
        <v>4872.34</v>
      </c>
      <c r="O1014" s="2">
        <f>Table1[[#This Row],[ttl]]/SUM(Table1[ttl])</f>
        <v>9.8247275895481194E-6</v>
      </c>
      <c r="P1014" s="3">
        <f>SUM($O$2:Table1[[#This Row],[pctAllTimeExp]])</f>
        <v>0.99670759937765219</v>
      </c>
      <c r="Q1014" t="b">
        <f>Table1[[#This Row],[cumPctAllTimeExp]]&lt;0.95</f>
        <v>0</v>
      </c>
    </row>
    <row r="1015" spans="1:17" x14ac:dyDescent="0.25">
      <c r="A1015">
        <v>408</v>
      </c>
      <c r="C1015" t="s">
        <v>2508</v>
      </c>
      <c r="E1015" t="s">
        <v>410</v>
      </c>
      <c r="F1015" s="4">
        <v>1775</v>
      </c>
      <c r="G1015" s="4">
        <v>0</v>
      </c>
      <c r="H1015" s="4">
        <v>0</v>
      </c>
      <c r="I1015" s="4">
        <v>0</v>
      </c>
      <c r="J1015" s="4">
        <v>30</v>
      </c>
      <c r="K1015" s="4">
        <v>1730</v>
      </c>
      <c r="L1015" s="4">
        <v>0</v>
      </c>
      <c r="M1015" s="4">
        <v>1320</v>
      </c>
      <c r="N1015" s="4">
        <f>SUM(Table1[[#This Row],[2025]:[2018]])</f>
        <v>4855</v>
      </c>
      <c r="O1015" s="2">
        <f>Table1[[#This Row],[ttl]]/SUM(Table1[ttl])</f>
        <v>9.7897627109881752E-6</v>
      </c>
      <c r="P1015" s="3">
        <f>SUM($O$2:Table1[[#This Row],[pctAllTimeExp]])</f>
        <v>0.99671738914036323</v>
      </c>
      <c r="Q1015" t="b">
        <f>Table1[[#This Row],[cumPctAllTimeExp]]&lt;0.95</f>
        <v>0</v>
      </c>
    </row>
    <row r="1016" spans="1:17" x14ac:dyDescent="0.25">
      <c r="A1016">
        <v>539</v>
      </c>
      <c r="C1016" t="s">
        <v>2508</v>
      </c>
      <c r="E1016" t="s">
        <v>541</v>
      </c>
      <c r="F1016" s="4">
        <v>580</v>
      </c>
      <c r="G1016" s="4">
        <v>2160</v>
      </c>
      <c r="H1016" s="4">
        <v>505</v>
      </c>
      <c r="I1016" s="4">
        <v>320</v>
      </c>
      <c r="J1016" s="4">
        <v>1268.6400000000001</v>
      </c>
      <c r="K1016" s="4">
        <v>0</v>
      </c>
      <c r="L1016" s="4">
        <v>0</v>
      </c>
      <c r="M1016" s="4">
        <v>0</v>
      </c>
      <c r="N1016" s="4">
        <f>SUM(Table1[[#This Row],[2025]:[2018]])</f>
        <v>4833.6400000000003</v>
      </c>
      <c r="O1016" s="2">
        <f>Table1[[#This Row],[ttl]]/SUM(Table1[ttl])</f>
        <v>9.7466917879177926E-6</v>
      </c>
      <c r="P1016" s="3">
        <f>SUM($O$2:Table1[[#This Row],[pctAllTimeExp]])</f>
        <v>0.99672713583215111</v>
      </c>
      <c r="Q1016" t="b">
        <f>Table1[[#This Row],[cumPctAllTimeExp]]&lt;0.95</f>
        <v>0</v>
      </c>
    </row>
    <row r="1017" spans="1:17" x14ac:dyDescent="0.25">
      <c r="A1017">
        <v>1466</v>
      </c>
      <c r="C1017" t="s">
        <v>2508</v>
      </c>
      <c r="E1017" t="s">
        <v>1468</v>
      </c>
      <c r="F1017" s="4">
        <v>0</v>
      </c>
      <c r="G1017" s="4">
        <v>0</v>
      </c>
      <c r="H1017" s="4">
        <v>0</v>
      </c>
      <c r="I1017" s="4">
        <v>0</v>
      </c>
      <c r="J1017" s="4">
        <v>1578</v>
      </c>
      <c r="K1017" s="4">
        <v>3250</v>
      </c>
      <c r="L1017" s="4">
        <v>0</v>
      </c>
      <c r="M1017" s="4">
        <v>0</v>
      </c>
      <c r="N1017" s="4">
        <f>SUM(Table1[[#This Row],[2025]:[2018]])</f>
        <v>4828</v>
      </c>
      <c r="O1017" s="2">
        <f>Table1[[#This Row],[ttl]]/SUM(Table1[ttl])</f>
        <v>9.7353191284553875E-6</v>
      </c>
      <c r="P1017" s="3">
        <f>SUM($O$2:Table1[[#This Row],[pctAllTimeExp]])</f>
        <v>0.99673687115127951</v>
      </c>
      <c r="Q1017" t="b">
        <f>Table1[[#This Row],[cumPctAllTimeExp]]&lt;0.95</f>
        <v>0</v>
      </c>
    </row>
    <row r="1018" spans="1:17" x14ac:dyDescent="0.25">
      <c r="A1018">
        <v>377</v>
      </c>
      <c r="C1018" t="s">
        <v>2508</v>
      </c>
      <c r="E1018" t="s">
        <v>379</v>
      </c>
      <c r="F1018" s="4">
        <v>2340.08</v>
      </c>
      <c r="G1018" s="4">
        <v>2486.31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f>SUM(Table1[[#This Row],[2025]:[2018]])</f>
        <v>4826.3899999999994</v>
      </c>
      <c r="O1018" s="2">
        <f>Table1[[#This Row],[ttl]]/SUM(Table1[ttl])</f>
        <v>9.7320726777932466E-6</v>
      </c>
      <c r="P1018" s="3">
        <f>SUM($O$2:Table1[[#This Row],[pctAllTimeExp]])</f>
        <v>0.99674660322395736</v>
      </c>
      <c r="Q1018" t="b">
        <f>Table1[[#This Row],[cumPctAllTimeExp]]&lt;0.95</f>
        <v>0</v>
      </c>
    </row>
    <row r="1019" spans="1:17" x14ac:dyDescent="0.25">
      <c r="A1019">
        <v>586</v>
      </c>
      <c r="C1019" t="s">
        <v>2508</v>
      </c>
      <c r="E1019" t="s">
        <v>588</v>
      </c>
      <c r="F1019" s="4">
        <v>407.94</v>
      </c>
      <c r="G1019" s="4">
        <v>4400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f>SUM(Table1[[#This Row],[2025]:[2018]])</f>
        <v>4807.9399999999996</v>
      </c>
      <c r="O1019" s="2">
        <f>Table1[[#This Row],[ttl]]/SUM(Table1[ttl])</f>
        <v>9.6948695630625084E-6</v>
      </c>
      <c r="P1019" s="3">
        <f>SUM($O$2:Table1[[#This Row],[pctAllTimeExp]])</f>
        <v>0.9967562980935204</v>
      </c>
      <c r="Q1019" t="b">
        <f>Table1[[#This Row],[cumPctAllTimeExp]]&lt;0.95</f>
        <v>0</v>
      </c>
    </row>
    <row r="1020" spans="1:17" x14ac:dyDescent="0.25">
      <c r="A1020">
        <v>307</v>
      </c>
      <c r="C1020" t="s">
        <v>2508</v>
      </c>
      <c r="E1020" t="s">
        <v>309</v>
      </c>
      <c r="F1020" s="4">
        <v>4780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f>SUM(Table1[[#This Row],[2025]:[2018]])</f>
        <v>4780</v>
      </c>
      <c r="O1020" s="2">
        <f>Table1[[#This Row],[ttl]]/SUM(Table1[ttl])</f>
        <v>9.6385305372859882E-6</v>
      </c>
      <c r="P1020" s="3">
        <f>SUM($O$2:Table1[[#This Row],[pctAllTimeExp]])</f>
        <v>0.99676593662405766</v>
      </c>
      <c r="Q1020" t="b">
        <f>Table1[[#This Row],[cumPctAllTimeExp]]&lt;0.95</f>
        <v>0</v>
      </c>
    </row>
    <row r="1021" spans="1:17" x14ac:dyDescent="0.25">
      <c r="A1021">
        <v>1766</v>
      </c>
      <c r="C1021" t="s">
        <v>2508</v>
      </c>
      <c r="E1021" t="s">
        <v>1768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1080</v>
      </c>
      <c r="L1021" s="4">
        <v>0</v>
      </c>
      <c r="M1021" s="4">
        <v>3674.85</v>
      </c>
      <c r="N1021" s="4">
        <f>SUM(Table1[[#This Row],[2025]:[2018]])</f>
        <v>4754.8500000000004</v>
      </c>
      <c r="O1021" s="2">
        <f>Table1[[#This Row],[ttl]]/SUM(Table1[ttl])</f>
        <v>9.5878173483711899E-6</v>
      </c>
      <c r="P1021" s="3">
        <f>SUM($O$2:Table1[[#This Row],[pctAllTimeExp]])</f>
        <v>0.99677552444140605</v>
      </c>
      <c r="Q1021" t="b">
        <f>Table1[[#This Row],[cumPctAllTimeExp]]&lt;0.95</f>
        <v>0</v>
      </c>
    </row>
    <row r="1022" spans="1:17" x14ac:dyDescent="0.25">
      <c r="A1022">
        <v>541</v>
      </c>
      <c r="C1022" t="s">
        <v>2508</v>
      </c>
      <c r="E1022" t="s">
        <v>543</v>
      </c>
      <c r="F1022" s="4">
        <v>578</v>
      </c>
      <c r="G1022" s="4">
        <v>920</v>
      </c>
      <c r="H1022" s="4">
        <v>0</v>
      </c>
      <c r="I1022" s="4">
        <v>0</v>
      </c>
      <c r="J1022" s="4">
        <v>0</v>
      </c>
      <c r="K1022" s="4">
        <v>0</v>
      </c>
      <c r="L1022" s="4">
        <v>2092.75</v>
      </c>
      <c r="M1022" s="4">
        <v>1145.5</v>
      </c>
      <c r="N1022" s="4">
        <f>SUM(Table1[[#This Row],[2025]:[2018]])</f>
        <v>4736.25</v>
      </c>
      <c r="O1022" s="2">
        <f>Table1[[#This Row],[ttl]]/SUM(Table1[ttl])</f>
        <v>9.5503117692930468E-6</v>
      </c>
      <c r="P1022" s="3">
        <f>SUM($O$2:Table1[[#This Row],[pctAllTimeExp]])</f>
        <v>0.99678507475317535</v>
      </c>
      <c r="Q1022" t="b">
        <f>Table1[[#This Row],[cumPctAllTimeExp]]&lt;0.95</f>
        <v>0</v>
      </c>
    </row>
    <row r="1023" spans="1:17" x14ac:dyDescent="0.25">
      <c r="A1023">
        <v>532</v>
      </c>
      <c r="C1023" t="s">
        <v>2508</v>
      </c>
      <c r="E1023" t="s">
        <v>534</v>
      </c>
      <c r="F1023" s="4">
        <v>600</v>
      </c>
      <c r="G1023" s="4">
        <v>735</v>
      </c>
      <c r="H1023" s="4">
        <v>0</v>
      </c>
      <c r="I1023" s="4">
        <v>0</v>
      </c>
      <c r="J1023" s="4">
        <v>3400</v>
      </c>
      <c r="K1023" s="4">
        <v>0</v>
      </c>
      <c r="L1023" s="4">
        <v>0</v>
      </c>
      <c r="M1023" s="4">
        <v>0</v>
      </c>
      <c r="N1023" s="4">
        <f>SUM(Table1[[#This Row],[2025]:[2018]])</f>
        <v>4735</v>
      </c>
      <c r="O1023" s="2">
        <f>Table1[[#This Row],[ttl]]/SUM(Table1[ttl])</f>
        <v>9.5477912330646771E-6</v>
      </c>
      <c r="P1023" s="3">
        <f>SUM($O$2:Table1[[#This Row],[pctAllTimeExp]])</f>
        <v>0.99679462254440843</v>
      </c>
      <c r="Q1023" t="b">
        <f>Table1[[#This Row],[cumPctAllTimeExp]]&lt;0.95</f>
        <v>0</v>
      </c>
    </row>
    <row r="1024" spans="1:17" x14ac:dyDescent="0.25">
      <c r="A1024">
        <v>2013</v>
      </c>
      <c r="C1024" t="s">
        <v>2508</v>
      </c>
      <c r="E1024" t="s">
        <v>2015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4695</v>
      </c>
      <c r="M1024" s="4">
        <v>0</v>
      </c>
      <c r="N1024" s="4">
        <f>SUM(Table1[[#This Row],[2025]:[2018]])</f>
        <v>4695</v>
      </c>
      <c r="O1024" s="2">
        <f>Table1[[#This Row],[ttl]]/SUM(Table1[ttl])</f>
        <v>9.4671340737568449E-6</v>
      </c>
      <c r="P1024" s="3">
        <f>SUM($O$2:Table1[[#This Row],[pctAllTimeExp]])</f>
        <v>0.99680408967848222</v>
      </c>
      <c r="Q1024" t="b">
        <f>Table1[[#This Row],[cumPctAllTimeExp]]&lt;0.95</f>
        <v>0</v>
      </c>
    </row>
    <row r="1025" spans="1:17" x14ac:dyDescent="0.25">
      <c r="A1025">
        <v>1235</v>
      </c>
      <c r="C1025" t="s">
        <v>2508</v>
      </c>
      <c r="E1025" t="s">
        <v>1237</v>
      </c>
      <c r="F1025" s="4">
        <v>0</v>
      </c>
      <c r="G1025" s="4">
        <v>0</v>
      </c>
      <c r="H1025" s="4">
        <v>0</v>
      </c>
      <c r="I1025" s="4">
        <v>4665</v>
      </c>
      <c r="J1025" s="4">
        <v>0</v>
      </c>
      <c r="K1025" s="4">
        <v>0</v>
      </c>
      <c r="L1025" s="4">
        <v>0</v>
      </c>
      <c r="M1025" s="4">
        <v>0</v>
      </c>
      <c r="N1025" s="4">
        <f>SUM(Table1[[#This Row],[2025]:[2018]])</f>
        <v>4665</v>
      </c>
      <c r="O1025" s="2">
        <f>Table1[[#This Row],[ttl]]/SUM(Table1[ttl])</f>
        <v>9.4066412042759691E-6</v>
      </c>
      <c r="P1025" s="3">
        <f>SUM($O$2:Table1[[#This Row],[pctAllTimeExp]])</f>
        <v>0.99681349631968652</v>
      </c>
      <c r="Q1025" t="b">
        <f>Table1[[#This Row],[cumPctAllTimeExp]]&lt;0.95</f>
        <v>0</v>
      </c>
    </row>
    <row r="1026" spans="1:17" x14ac:dyDescent="0.25">
      <c r="A1026">
        <v>1102</v>
      </c>
      <c r="C1026" t="s">
        <v>2508</v>
      </c>
      <c r="E1026" t="s">
        <v>1104</v>
      </c>
      <c r="F1026" s="4">
        <v>0</v>
      </c>
      <c r="G1026" s="4">
        <v>0</v>
      </c>
      <c r="H1026" s="4">
        <v>788.3</v>
      </c>
      <c r="I1026" s="4">
        <v>1128</v>
      </c>
      <c r="J1026" s="4">
        <v>1499.8</v>
      </c>
      <c r="K1026" s="4">
        <v>0</v>
      </c>
      <c r="L1026" s="4">
        <v>0</v>
      </c>
      <c r="M1026" s="4">
        <v>1238.5999999999999</v>
      </c>
      <c r="N1026" s="4">
        <f>SUM(Table1[[#This Row],[2025]:[2018]])</f>
        <v>4654.7</v>
      </c>
      <c r="O1026" s="2">
        <f>Table1[[#This Row],[ttl]]/SUM(Table1[ttl])</f>
        <v>9.3858719857542029E-6</v>
      </c>
      <c r="P1026" s="3">
        <f>SUM($O$2:Table1[[#This Row],[pctAllTimeExp]])</f>
        <v>0.99682288219167225</v>
      </c>
      <c r="Q1026" t="b">
        <f>Table1[[#This Row],[cumPctAllTimeExp]]&lt;0.95</f>
        <v>0</v>
      </c>
    </row>
    <row r="1027" spans="1:17" x14ac:dyDescent="0.25">
      <c r="A1027">
        <v>1709</v>
      </c>
      <c r="C1027" t="s">
        <v>2508</v>
      </c>
      <c r="E1027" t="s">
        <v>1711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4650</v>
      </c>
      <c r="L1027" s="4">
        <v>0</v>
      </c>
      <c r="M1027" s="4">
        <v>0</v>
      </c>
      <c r="N1027" s="4">
        <f>SUM(Table1[[#This Row],[2025]:[2018]])</f>
        <v>4650</v>
      </c>
      <c r="O1027" s="2">
        <f>Table1[[#This Row],[ttl]]/SUM(Table1[ttl])</f>
        <v>9.376394769535532E-6</v>
      </c>
      <c r="P1027" s="3">
        <f>SUM($O$2:Table1[[#This Row],[pctAllTimeExp]])</f>
        <v>0.99683225858644176</v>
      </c>
      <c r="Q1027" t="b">
        <f>Table1[[#This Row],[cumPctAllTimeExp]]&lt;0.95</f>
        <v>0</v>
      </c>
    </row>
    <row r="1028" spans="1:17" x14ac:dyDescent="0.25">
      <c r="A1028">
        <v>1710</v>
      </c>
      <c r="C1028" t="s">
        <v>2508</v>
      </c>
      <c r="E1028" t="s">
        <v>1712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4622.7</v>
      </c>
      <c r="L1028" s="4">
        <v>0</v>
      </c>
      <c r="M1028" s="4">
        <v>0</v>
      </c>
      <c r="N1028" s="4">
        <f>SUM(Table1[[#This Row],[2025]:[2018]])</f>
        <v>4622.7</v>
      </c>
      <c r="O1028" s="2">
        <f>Table1[[#This Row],[ttl]]/SUM(Table1[ttl])</f>
        <v>9.3213462583079362E-6</v>
      </c>
      <c r="P1028" s="3">
        <f>SUM($O$2:Table1[[#This Row],[pctAllTimeExp]])</f>
        <v>0.99684157993270006</v>
      </c>
      <c r="Q1028" t="b">
        <f>Table1[[#This Row],[cumPctAllTimeExp]]&lt;0.95</f>
        <v>0</v>
      </c>
    </row>
    <row r="1029" spans="1:17" x14ac:dyDescent="0.25">
      <c r="A1029">
        <v>1060</v>
      </c>
      <c r="C1029" t="s">
        <v>2508</v>
      </c>
      <c r="E1029" t="s">
        <v>1062</v>
      </c>
      <c r="F1029" s="4">
        <v>0</v>
      </c>
      <c r="G1029" s="4">
        <v>0</v>
      </c>
      <c r="H1029" s="4">
        <v>2538.17</v>
      </c>
      <c r="I1029" s="4">
        <v>2076.09</v>
      </c>
      <c r="J1029" s="4">
        <v>0</v>
      </c>
      <c r="K1029" s="4">
        <v>0</v>
      </c>
      <c r="L1029" s="4">
        <v>0</v>
      </c>
      <c r="M1029" s="4">
        <v>0</v>
      </c>
      <c r="N1029" s="4">
        <f>SUM(Table1[[#This Row],[2025]:[2018]])</f>
        <v>4614.26</v>
      </c>
      <c r="O1029" s="2">
        <f>Table1[[#This Row],[ttl]]/SUM(Table1[ttl])</f>
        <v>9.3043275976939852E-6</v>
      </c>
      <c r="P1029" s="3">
        <f>SUM($O$2:Table1[[#This Row],[pctAllTimeExp]])</f>
        <v>0.99685088426029778</v>
      </c>
      <c r="Q1029" t="b">
        <f>Table1[[#This Row],[cumPctAllTimeExp]]&lt;0.95</f>
        <v>0</v>
      </c>
    </row>
    <row r="1030" spans="1:17" x14ac:dyDescent="0.25">
      <c r="A1030">
        <v>528</v>
      </c>
      <c r="C1030" t="s">
        <v>2508</v>
      </c>
      <c r="E1030" t="s">
        <v>530</v>
      </c>
      <c r="F1030" s="4">
        <v>600</v>
      </c>
      <c r="G1030" s="4">
        <v>600</v>
      </c>
      <c r="H1030" s="4">
        <v>600</v>
      </c>
      <c r="I1030" s="4">
        <v>600</v>
      </c>
      <c r="J1030" s="4">
        <v>0</v>
      </c>
      <c r="K1030" s="4">
        <v>600</v>
      </c>
      <c r="L1030" s="4">
        <v>800</v>
      </c>
      <c r="M1030" s="4">
        <v>800</v>
      </c>
      <c r="N1030" s="4">
        <f>SUM(Table1[[#This Row],[2025]:[2018]])</f>
        <v>4600</v>
      </c>
      <c r="O1030" s="2">
        <f>Table1[[#This Row],[ttl]]/SUM(Table1[ttl])</f>
        <v>9.2755733204007418E-6</v>
      </c>
      <c r="P1030" s="3">
        <f>SUM($O$2:Table1[[#This Row],[pctAllTimeExp]])</f>
        <v>0.9968601598336182</v>
      </c>
      <c r="Q1030" t="b">
        <f>Table1[[#This Row],[cumPctAllTimeExp]]&lt;0.95</f>
        <v>0</v>
      </c>
    </row>
    <row r="1031" spans="1:17" x14ac:dyDescent="0.25">
      <c r="A1031">
        <v>1073</v>
      </c>
      <c r="C1031" t="s">
        <v>2508</v>
      </c>
      <c r="E1031" t="s">
        <v>1075</v>
      </c>
      <c r="F1031" s="4">
        <v>0</v>
      </c>
      <c r="G1031" s="4">
        <v>0</v>
      </c>
      <c r="H1031" s="4">
        <v>1700</v>
      </c>
      <c r="I1031" s="4">
        <v>2900</v>
      </c>
      <c r="J1031" s="4">
        <v>0</v>
      </c>
      <c r="K1031" s="4">
        <v>0</v>
      </c>
      <c r="L1031" s="4">
        <v>0</v>
      </c>
      <c r="M1031" s="4">
        <v>0</v>
      </c>
      <c r="N1031" s="4">
        <f>SUM(Table1[[#This Row],[2025]:[2018]])</f>
        <v>4600</v>
      </c>
      <c r="O1031" s="2">
        <f>Table1[[#This Row],[ttl]]/SUM(Table1[ttl])</f>
        <v>9.2755733204007418E-6</v>
      </c>
      <c r="P1031" s="3">
        <f>SUM($O$2:Table1[[#This Row],[pctAllTimeExp]])</f>
        <v>0.99686943540693862</v>
      </c>
      <c r="Q1031" t="b">
        <f>Table1[[#This Row],[cumPctAllTimeExp]]&lt;0.95</f>
        <v>0</v>
      </c>
    </row>
    <row r="1032" spans="1:17" x14ac:dyDescent="0.25">
      <c r="A1032">
        <v>1731</v>
      </c>
      <c r="C1032" t="s">
        <v>2508</v>
      </c>
      <c r="E1032" t="s">
        <v>1733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2867.26</v>
      </c>
      <c r="L1032" s="4">
        <v>1710.86</v>
      </c>
      <c r="M1032" s="4">
        <v>0</v>
      </c>
      <c r="N1032" s="4">
        <f>SUM(Table1[[#This Row],[2025]:[2018]])</f>
        <v>4578.12</v>
      </c>
      <c r="O1032" s="2">
        <f>Table1[[#This Row],[ttl]]/SUM(Table1[ttl])</f>
        <v>9.2314538542593574E-6</v>
      </c>
      <c r="P1032" s="3">
        <f>SUM($O$2:Table1[[#This Row],[pctAllTimeExp]])</f>
        <v>0.99687866686079285</v>
      </c>
      <c r="Q1032" t="b">
        <f>Table1[[#This Row],[cumPctAllTimeExp]]&lt;0.95</f>
        <v>0</v>
      </c>
    </row>
    <row r="1033" spans="1:17" x14ac:dyDescent="0.25">
      <c r="A1033">
        <v>1236</v>
      </c>
      <c r="C1033" t="s">
        <v>2508</v>
      </c>
      <c r="E1033" t="s">
        <v>1238</v>
      </c>
      <c r="F1033" s="4">
        <v>0</v>
      </c>
      <c r="G1033" s="4">
        <v>0</v>
      </c>
      <c r="H1033" s="4">
        <v>0</v>
      </c>
      <c r="I1033" s="4">
        <v>4572</v>
      </c>
      <c r="J1033" s="4">
        <v>0</v>
      </c>
      <c r="K1033" s="4">
        <v>0</v>
      </c>
      <c r="L1033" s="4">
        <v>0</v>
      </c>
      <c r="M1033" s="4">
        <v>0</v>
      </c>
      <c r="N1033" s="4">
        <f>SUM(Table1[[#This Row],[2025]:[2018]])</f>
        <v>4572</v>
      </c>
      <c r="O1033" s="2">
        <f>Table1[[#This Row],[ttl]]/SUM(Table1[ttl])</f>
        <v>9.2191133088852587E-6</v>
      </c>
      <c r="P1033" s="3">
        <f>SUM($O$2:Table1[[#This Row],[pctAllTimeExp]])</f>
        <v>0.99688788597410172</v>
      </c>
      <c r="Q1033" t="b">
        <f>Table1[[#This Row],[cumPctAllTimeExp]]&lt;0.95</f>
        <v>0</v>
      </c>
    </row>
    <row r="1034" spans="1:17" x14ac:dyDescent="0.25">
      <c r="A1034">
        <v>612</v>
      </c>
      <c r="C1034" t="s">
        <v>2508</v>
      </c>
      <c r="E1034" t="s">
        <v>614</v>
      </c>
      <c r="F1034" s="4">
        <v>280</v>
      </c>
      <c r="G1034" s="4">
        <v>840</v>
      </c>
      <c r="H1034" s="4">
        <v>0</v>
      </c>
      <c r="I1034" s="4">
        <v>0</v>
      </c>
      <c r="J1034" s="4">
        <v>0</v>
      </c>
      <c r="K1034" s="4">
        <v>2942</v>
      </c>
      <c r="L1034" s="4">
        <v>448</v>
      </c>
      <c r="M1034" s="4">
        <v>50</v>
      </c>
      <c r="N1034" s="4">
        <f>SUM(Table1[[#This Row],[2025]:[2018]])</f>
        <v>4560</v>
      </c>
      <c r="O1034" s="2">
        <f>Table1[[#This Row],[ttl]]/SUM(Table1[ttl])</f>
        <v>9.1949161610929097E-6</v>
      </c>
      <c r="P1034" s="3">
        <f>SUM($O$2:Table1[[#This Row],[pctAllTimeExp]])</f>
        <v>0.99689708089026285</v>
      </c>
      <c r="Q1034" t="b">
        <f>Table1[[#This Row],[cumPctAllTimeExp]]&lt;0.95</f>
        <v>0</v>
      </c>
    </row>
    <row r="1035" spans="1:17" x14ac:dyDescent="0.25">
      <c r="A1035">
        <v>465</v>
      </c>
      <c r="C1035" t="s">
        <v>2508</v>
      </c>
      <c r="E1035" t="s">
        <v>467</v>
      </c>
      <c r="F1035" s="4">
        <v>1057.2</v>
      </c>
      <c r="G1035" s="4">
        <v>0</v>
      </c>
      <c r="H1035" s="4">
        <v>0</v>
      </c>
      <c r="I1035" s="4">
        <v>0</v>
      </c>
      <c r="J1035" s="4">
        <v>0</v>
      </c>
      <c r="K1035" s="4">
        <v>3495</v>
      </c>
      <c r="L1035" s="4">
        <v>0</v>
      </c>
      <c r="M1035" s="4">
        <v>0</v>
      </c>
      <c r="N1035" s="4">
        <f>SUM(Table1[[#This Row],[2025]:[2018]])</f>
        <v>4552.2</v>
      </c>
      <c r="O1035" s="2">
        <f>Table1[[#This Row],[ttl]]/SUM(Table1[ttl])</f>
        <v>9.1791880150278813E-6</v>
      </c>
      <c r="P1035" s="3">
        <f>SUM($O$2:Table1[[#This Row],[pctAllTimeExp]])</f>
        <v>0.99690626007827787</v>
      </c>
      <c r="Q1035" t="b">
        <f>Table1[[#This Row],[cumPctAllTimeExp]]&lt;0.95</f>
        <v>0</v>
      </c>
    </row>
    <row r="1036" spans="1:17" x14ac:dyDescent="0.25">
      <c r="A1036">
        <v>608</v>
      </c>
      <c r="C1036" t="s">
        <v>2508</v>
      </c>
      <c r="E1036" t="s">
        <v>610</v>
      </c>
      <c r="F1036" s="4">
        <v>300</v>
      </c>
      <c r="G1036" s="4">
        <v>250</v>
      </c>
      <c r="H1036" s="4">
        <v>1000</v>
      </c>
      <c r="I1036" s="4">
        <v>500</v>
      </c>
      <c r="J1036" s="4">
        <v>0</v>
      </c>
      <c r="K1036" s="4">
        <v>500</v>
      </c>
      <c r="L1036" s="4">
        <v>1000</v>
      </c>
      <c r="M1036" s="4">
        <v>1000</v>
      </c>
      <c r="N1036" s="4">
        <f>SUM(Table1[[#This Row],[2025]:[2018]])</f>
        <v>4550</v>
      </c>
      <c r="O1036" s="2">
        <f>Table1[[#This Row],[ttl]]/SUM(Table1[ttl])</f>
        <v>9.1747518712659516E-6</v>
      </c>
      <c r="P1036" s="3">
        <f>SUM($O$2:Table1[[#This Row],[pctAllTimeExp]])</f>
        <v>0.99691543483014911</v>
      </c>
      <c r="Q1036" t="b">
        <f>Table1[[#This Row],[cumPctAllTimeExp]]&lt;0.95</f>
        <v>0</v>
      </c>
    </row>
    <row r="1037" spans="1:17" x14ac:dyDescent="0.25">
      <c r="A1037">
        <v>821</v>
      </c>
      <c r="C1037" t="s">
        <v>2508</v>
      </c>
      <c r="E1037" t="s">
        <v>823</v>
      </c>
      <c r="F1037" s="4">
        <v>0</v>
      </c>
      <c r="G1037" s="4">
        <v>1398.96</v>
      </c>
      <c r="H1037" s="4">
        <v>0</v>
      </c>
      <c r="I1037" s="4">
        <v>0</v>
      </c>
      <c r="J1037" s="4">
        <v>0</v>
      </c>
      <c r="K1037" s="4">
        <v>350.33</v>
      </c>
      <c r="L1037" s="4">
        <v>2503.2800000000002</v>
      </c>
      <c r="M1037" s="4">
        <v>296.7</v>
      </c>
      <c r="N1037" s="4">
        <f>SUM(Table1[[#This Row],[2025]:[2018]])</f>
        <v>4549.2699999999995</v>
      </c>
      <c r="O1037" s="2">
        <f>Table1[[#This Row],[ttl]]/SUM(Table1[ttl])</f>
        <v>9.173279878108582E-6</v>
      </c>
      <c r="P1037" s="3">
        <f>SUM($O$2:Table1[[#This Row],[pctAllTimeExp]])</f>
        <v>0.99692460811002725</v>
      </c>
      <c r="Q1037" t="b">
        <f>Table1[[#This Row],[cumPctAllTimeExp]]&lt;0.95</f>
        <v>0</v>
      </c>
    </row>
    <row r="1038" spans="1:17" x14ac:dyDescent="0.25">
      <c r="A1038">
        <v>320</v>
      </c>
      <c r="C1038" t="s">
        <v>2508</v>
      </c>
      <c r="E1038" t="s">
        <v>322</v>
      </c>
      <c r="F1038" s="4">
        <v>4100</v>
      </c>
      <c r="G1038" s="4">
        <v>0</v>
      </c>
      <c r="H1038" s="4">
        <v>0</v>
      </c>
      <c r="I1038" s="4">
        <v>425</v>
      </c>
      <c r="J1038" s="4">
        <v>0</v>
      </c>
      <c r="K1038" s="4">
        <v>0</v>
      </c>
      <c r="L1038" s="4">
        <v>0</v>
      </c>
      <c r="M1038" s="4">
        <v>0</v>
      </c>
      <c r="N1038" s="4">
        <f>SUM(Table1[[#This Row],[2025]:[2018]])</f>
        <v>4525</v>
      </c>
      <c r="O1038" s="2">
        <f>Table1[[#This Row],[ttl]]/SUM(Table1[ttl])</f>
        <v>9.1243411466985565E-6</v>
      </c>
      <c r="P1038" s="3">
        <f>SUM($O$2:Table1[[#This Row],[pctAllTimeExp]])</f>
        <v>0.996933732451174</v>
      </c>
      <c r="Q1038" t="b">
        <f>Table1[[#This Row],[cumPctAllTimeExp]]&lt;0.95</f>
        <v>0</v>
      </c>
    </row>
    <row r="1039" spans="1:17" x14ac:dyDescent="0.25">
      <c r="A1039">
        <v>1237</v>
      </c>
      <c r="C1039" t="s">
        <v>2508</v>
      </c>
      <c r="E1039" t="s">
        <v>1239</v>
      </c>
      <c r="F1039" s="4">
        <v>0</v>
      </c>
      <c r="G1039" s="4">
        <v>0</v>
      </c>
      <c r="H1039" s="4">
        <v>0</v>
      </c>
      <c r="I1039" s="4">
        <v>4516</v>
      </c>
      <c r="J1039" s="4">
        <v>0</v>
      </c>
      <c r="K1039" s="4">
        <v>0</v>
      </c>
      <c r="L1039" s="4">
        <v>0</v>
      </c>
      <c r="M1039" s="4">
        <v>0</v>
      </c>
      <c r="N1039" s="4">
        <f>SUM(Table1[[#This Row],[2025]:[2018]])</f>
        <v>4516</v>
      </c>
      <c r="O1039" s="2">
        <f>Table1[[#This Row],[ttl]]/SUM(Table1[ttl])</f>
        <v>9.106193285854294E-6</v>
      </c>
      <c r="P1039" s="3">
        <f>SUM($O$2:Table1[[#This Row],[pctAllTimeExp]])</f>
        <v>0.99694283864445987</v>
      </c>
      <c r="Q1039" t="b">
        <f>Table1[[#This Row],[cumPctAllTimeExp]]&lt;0.95</f>
        <v>0</v>
      </c>
    </row>
    <row r="1040" spans="1:17" x14ac:dyDescent="0.25">
      <c r="A1040">
        <v>1238</v>
      </c>
      <c r="C1040" t="s">
        <v>2508</v>
      </c>
      <c r="E1040" t="s">
        <v>1240</v>
      </c>
      <c r="F1040" s="4">
        <v>0</v>
      </c>
      <c r="G1040" s="4">
        <v>0</v>
      </c>
      <c r="H1040" s="4">
        <v>0</v>
      </c>
      <c r="I1040" s="4">
        <v>4509.6000000000004</v>
      </c>
      <c r="J1040" s="4">
        <v>0</v>
      </c>
      <c r="K1040" s="4">
        <v>0</v>
      </c>
      <c r="L1040" s="4">
        <v>0</v>
      </c>
      <c r="M1040" s="4">
        <v>0</v>
      </c>
      <c r="N1040" s="4">
        <f>SUM(Table1[[#This Row],[2025]:[2018]])</f>
        <v>4509.6000000000004</v>
      </c>
      <c r="O1040" s="2">
        <f>Table1[[#This Row],[ttl]]/SUM(Table1[ttl])</f>
        <v>9.093288140365042E-6</v>
      </c>
      <c r="P1040" s="3">
        <f>SUM($O$2:Table1[[#This Row],[pctAllTimeExp]])</f>
        <v>0.99695193193260023</v>
      </c>
      <c r="Q1040" t="b">
        <f>Table1[[#This Row],[cumPctAllTimeExp]]&lt;0.95</f>
        <v>0</v>
      </c>
    </row>
    <row r="1041" spans="1:17" x14ac:dyDescent="0.25">
      <c r="A1041">
        <v>342</v>
      </c>
      <c r="C1041" t="s">
        <v>2508</v>
      </c>
      <c r="E1041" t="s">
        <v>344</v>
      </c>
      <c r="F1041" s="4">
        <v>3351</v>
      </c>
      <c r="G1041" s="4">
        <v>0</v>
      </c>
      <c r="H1041" s="4">
        <v>1155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f>SUM(Table1[[#This Row],[2025]:[2018]])</f>
        <v>4506</v>
      </c>
      <c r="O1041" s="2">
        <f>Table1[[#This Row],[ttl]]/SUM(Table1[ttl])</f>
        <v>9.0860289960273359E-6</v>
      </c>
      <c r="P1041" s="3">
        <f>SUM($O$2:Table1[[#This Row],[pctAllTimeExp]])</f>
        <v>0.99696101796159631</v>
      </c>
      <c r="Q1041" t="b">
        <f>Table1[[#This Row],[cumPctAllTimeExp]]&lt;0.95</f>
        <v>0</v>
      </c>
    </row>
    <row r="1042" spans="1:17" x14ac:dyDescent="0.25">
      <c r="A1042">
        <v>2014</v>
      </c>
      <c r="C1042" t="s">
        <v>2508</v>
      </c>
      <c r="E1042" t="s">
        <v>2016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4500</v>
      </c>
      <c r="M1042" s="4">
        <v>0</v>
      </c>
      <c r="N1042" s="4">
        <f>SUM(Table1[[#This Row],[2025]:[2018]])</f>
        <v>4500</v>
      </c>
      <c r="O1042" s="2">
        <f>Table1[[#This Row],[ttl]]/SUM(Table1[ttl])</f>
        <v>9.0739304221311614E-6</v>
      </c>
      <c r="P1042" s="3">
        <f>SUM($O$2:Table1[[#This Row],[pctAllTimeExp]])</f>
        <v>0.99697009189201846</v>
      </c>
      <c r="Q1042" t="b">
        <f>Table1[[#This Row],[cumPctAllTimeExp]]&lt;0.95</f>
        <v>0</v>
      </c>
    </row>
    <row r="1043" spans="1:17" x14ac:dyDescent="0.25">
      <c r="A1043">
        <v>2042</v>
      </c>
      <c r="C1043" t="s">
        <v>2508</v>
      </c>
      <c r="E1043" t="s">
        <v>2044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2250</v>
      </c>
      <c r="M1043" s="4">
        <v>2250</v>
      </c>
      <c r="N1043" s="4">
        <f>SUM(Table1[[#This Row],[2025]:[2018]])</f>
        <v>4500</v>
      </c>
      <c r="O1043" s="2">
        <f>Table1[[#This Row],[ttl]]/SUM(Table1[ttl])</f>
        <v>9.0739304221311614E-6</v>
      </c>
      <c r="P1043" s="3">
        <f>SUM($O$2:Table1[[#This Row],[pctAllTimeExp]])</f>
        <v>0.99697916582244062</v>
      </c>
      <c r="Q1043" t="b">
        <f>Table1[[#This Row],[cumPctAllTimeExp]]&lt;0.95</f>
        <v>0</v>
      </c>
    </row>
    <row r="1044" spans="1:17" x14ac:dyDescent="0.25">
      <c r="A1044">
        <v>2015</v>
      </c>
      <c r="C1044" t="s">
        <v>2508</v>
      </c>
      <c r="E1044" t="s">
        <v>2017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4493.71</v>
      </c>
      <c r="M1044" s="4">
        <v>0</v>
      </c>
      <c r="N1044" s="4">
        <f>SUM(Table1[[#This Row],[2025]:[2018]])</f>
        <v>4493.71</v>
      </c>
      <c r="O1044" s="2">
        <f>Table1[[#This Row],[ttl]]/SUM(Table1[ttl])</f>
        <v>9.0612470838300046E-6</v>
      </c>
      <c r="P1044" s="3">
        <f>SUM($O$2:Table1[[#This Row],[pctAllTimeExp]])</f>
        <v>0.99698822706952439</v>
      </c>
      <c r="Q1044" t="b">
        <f>Table1[[#This Row],[cumPctAllTimeExp]]&lt;0.95</f>
        <v>0</v>
      </c>
    </row>
    <row r="1045" spans="1:17" x14ac:dyDescent="0.25">
      <c r="A1045">
        <v>561</v>
      </c>
      <c r="C1045" t="s">
        <v>2508</v>
      </c>
      <c r="E1045" t="s">
        <v>563</v>
      </c>
      <c r="F1045" s="4">
        <v>496.92</v>
      </c>
      <c r="G1045" s="4">
        <v>606.74</v>
      </c>
      <c r="H1045" s="4">
        <v>3384.85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f>SUM(Table1[[#This Row],[2025]:[2018]])</f>
        <v>4488.51</v>
      </c>
      <c r="O1045" s="2">
        <f>Table1[[#This Row],[ttl]]/SUM(Table1[ttl])</f>
        <v>9.0507616531199868E-6</v>
      </c>
      <c r="P1045" s="3">
        <f>SUM($O$2:Table1[[#This Row],[pctAllTimeExp]])</f>
        <v>0.99699727783117753</v>
      </c>
      <c r="Q1045" t="b">
        <f>Table1[[#This Row],[cumPctAllTimeExp]]&lt;0.95</f>
        <v>0</v>
      </c>
    </row>
    <row r="1046" spans="1:17" x14ac:dyDescent="0.25">
      <c r="A1046">
        <v>1712</v>
      </c>
      <c r="C1046" t="s">
        <v>2508</v>
      </c>
      <c r="E1046" t="s">
        <v>1714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4450</v>
      </c>
      <c r="L1046" s="4">
        <v>0</v>
      </c>
      <c r="M1046" s="4">
        <v>0</v>
      </c>
      <c r="N1046" s="4">
        <f>SUM(Table1[[#This Row],[2025]:[2018]])</f>
        <v>4450</v>
      </c>
      <c r="O1046" s="2">
        <f>Table1[[#This Row],[ttl]]/SUM(Table1[ttl])</f>
        <v>8.9731089729963696E-6</v>
      </c>
      <c r="P1046" s="3">
        <f>SUM($O$2:Table1[[#This Row],[pctAllTimeExp]])</f>
        <v>0.9970062509401505</v>
      </c>
      <c r="Q1046" t="b">
        <f>Table1[[#This Row],[cumPctAllTimeExp]]&lt;0.95</f>
        <v>0</v>
      </c>
    </row>
    <row r="1047" spans="1:17" x14ac:dyDescent="0.25">
      <c r="A1047">
        <v>1714</v>
      </c>
      <c r="C1047" t="s">
        <v>2508</v>
      </c>
      <c r="E1047" t="s">
        <v>1716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4423</v>
      </c>
      <c r="L1047" s="4">
        <v>0</v>
      </c>
      <c r="M1047" s="4">
        <v>0</v>
      </c>
      <c r="N1047" s="4">
        <f>SUM(Table1[[#This Row],[2025]:[2018]])</f>
        <v>4423</v>
      </c>
      <c r="O1047" s="2">
        <f>Table1[[#This Row],[ttl]]/SUM(Table1[ttl])</f>
        <v>8.9186653904635835E-6</v>
      </c>
      <c r="P1047" s="3">
        <f>SUM($O$2:Table1[[#This Row],[pctAllTimeExp]])</f>
        <v>0.99701516960554093</v>
      </c>
      <c r="Q1047" t="b">
        <f>Table1[[#This Row],[cumPctAllTimeExp]]&lt;0.95</f>
        <v>0</v>
      </c>
    </row>
    <row r="1048" spans="1:17" x14ac:dyDescent="0.25">
      <c r="A1048">
        <v>2287</v>
      </c>
      <c r="C1048" t="s">
        <v>2508</v>
      </c>
      <c r="E1048" t="s">
        <v>2289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4420.71</v>
      </c>
      <c r="N1048" s="4">
        <f>SUM(Table1[[#This Row],[2025]:[2018]])</f>
        <v>4420.71</v>
      </c>
      <c r="O1048" s="2">
        <f>Table1[[#This Row],[ttl]]/SUM(Table1[ttl])</f>
        <v>8.9140477680932102E-6</v>
      </c>
      <c r="P1048" s="3">
        <f>SUM($O$2:Table1[[#This Row],[pctAllTimeExp]])</f>
        <v>0.99702408365330897</v>
      </c>
      <c r="Q1048" t="b">
        <f>Table1[[#This Row],[cumPctAllTimeExp]]&lt;0.95</f>
        <v>0</v>
      </c>
    </row>
    <row r="1049" spans="1:17" x14ac:dyDescent="0.25">
      <c r="A1049">
        <v>451</v>
      </c>
      <c r="C1049" t="s">
        <v>2508</v>
      </c>
      <c r="E1049" t="s">
        <v>453</v>
      </c>
      <c r="F1049" s="4">
        <v>1200</v>
      </c>
      <c r="G1049" s="4">
        <v>1200</v>
      </c>
      <c r="H1049" s="4">
        <v>1000</v>
      </c>
      <c r="I1049" s="4">
        <v>0</v>
      </c>
      <c r="J1049" s="4">
        <v>0</v>
      </c>
      <c r="K1049" s="4">
        <v>1000</v>
      </c>
      <c r="L1049" s="4">
        <v>0</v>
      </c>
      <c r="M1049" s="4">
        <v>0</v>
      </c>
      <c r="N1049" s="4">
        <f>SUM(Table1[[#This Row],[2025]:[2018]])</f>
        <v>4400</v>
      </c>
      <c r="O1049" s="2">
        <f>Table1[[#This Row],[ttl]]/SUM(Table1[ttl])</f>
        <v>8.8722875238615794E-6</v>
      </c>
      <c r="P1049" s="3">
        <f>SUM($O$2:Table1[[#This Row],[pctAllTimeExp]])</f>
        <v>0.99703295594083285</v>
      </c>
      <c r="Q1049" t="b">
        <f>Table1[[#This Row],[cumPctAllTimeExp]]&lt;0.95</f>
        <v>0</v>
      </c>
    </row>
    <row r="1050" spans="1:17" x14ac:dyDescent="0.25">
      <c r="A1050">
        <v>1445</v>
      </c>
      <c r="C1050" t="s">
        <v>2508</v>
      </c>
      <c r="E1050" t="s">
        <v>1447</v>
      </c>
      <c r="F1050" s="4">
        <v>0</v>
      </c>
      <c r="G1050" s="4">
        <v>0</v>
      </c>
      <c r="H1050" s="4">
        <v>0</v>
      </c>
      <c r="I1050" s="4">
        <v>0</v>
      </c>
      <c r="J1050" s="4">
        <v>4395</v>
      </c>
      <c r="K1050" s="4">
        <v>0</v>
      </c>
      <c r="L1050" s="4">
        <v>0</v>
      </c>
      <c r="M1050" s="4">
        <v>0</v>
      </c>
      <c r="N1050" s="4">
        <f>SUM(Table1[[#This Row],[2025]:[2018]])</f>
        <v>4395</v>
      </c>
      <c r="O1050" s="2">
        <f>Table1[[#This Row],[ttl]]/SUM(Table1[ttl])</f>
        <v>8.8622053789481003E-6</v>
      </c>
      <c r="P1050" s="3">
        <f>SUM($O$2:Table1[[#This Row],[pctAllTimeExp]])</f>
        <v>0.99704181814621184</v>
      </c>
      <c r="Q1050" t="b">
        <f>Table1[[#This Row],[cumPctAllTimeExp]]&lt;0.95</f>
        <v>0</v>
      </c>
    </row>
    <row r="1051" spans="1:17" x14ac:dyDescent="0.25">
      <c r="A1051">
        <v>387</v>
      </c>
      <c r="C1051" t="s">
        <v>2508</v>
      </c>
      <c r="E1051" t="s">
        <v>389</v>
      </c>
      <c r="F1051" s="4">
        <v>2142</v>
      </c>
      <c r="G1051" s="4">
        <v>0</v>
      </c>
      <c r="H1051" s="4">
        <v>108</v>
      </c>
      <c r="I1051" s="4">
        <v>1738</v>
      </c>
      <c r="J1051" s="4">
        <v>390</v>
      </c>
      <c r="K1051" s="4">
        <v>0</v>
      </c>
      <c r="L1051" s="4">
        <v>0</v>
      </c>
      <c r="M1051" s="4">
        <v>0</v>
      </c>
      <c r="N1051" s="4">
        <f>SUM(Table1[[#This Row],[2025]:[2018]])</f>
        <v>4378</v>
      </c>
      <c r="O1051" s="2">
        <f>Table1[[#This Row],[ttl]]/SUM(Table1[ttl])</f>
        <v>8.8279260862422707E-6</v>
      </c>
      <c r="P1051" s="3">
        <f>SUM($O$2:Table1[[#This Row],[pctAllTimeExp]])</f>
        <v>0.9970506460722981</v>
      </c>
      <c r="Q1051" t="b">
        <f>Table1[[#This Row],[cumPctAllTimeExp]]&lt;0.95</f>
        <v>0</v>
      </c>
    </row>
    <row r="1052" spans="1:17" x14ac:dyDescent="0.25">
      <c r="A1052">
        <v>2016</v>
      </c>
      <c r="C1052" t="s">
        <v>2508</v>
      </c>
      <c r="E1052" t="s">
        <v>2018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4370</v>
      </c>
      <c r="M1052" s="4">
        <v>0</v>
      </c>
      <c r="N1052" s="4">
        <f>SUM(Table1[[#This Row],[2025]:[2018]])</f>
        <v>4370</v>
      </c>
      <c r="O1052" s="2">
        <f>Table1[[#This Row],[ttl]]/SUM(Table1[ttl])</f>
        <v>8.8117946543807053E-6</v>
      </c>
      <c r="P1052" s="3">
        <f>SUM($O$2:Table1[[#This Row],[pctAllTimeExp]])</f>
        <v>0.99705945786695249</v>
      </c>
      <c r="Q1052" t="b">
        <f>Table1[[#This Row],[cumPctAllTimeExp]]&lt;0.95</f>
        <v>0</v>
      </c>
    </row>
    <row r="1053" spans="1:17" x14ac:dyDescent="0.25">
      <c r="A1053">
        <v>601</v>
      </c>
      <c r="C1053" t="s">
        <v>2508</v>
      </c>
      <c r="E1053" t="s">
        <v>603</v>
      </c>
      <c r="F1053" s="4">
        <v>360</v>
      </c>
      <c r="G1053" s="4">
        <v>525</v>
      </c>
      <c r="H1053" s="4">
        <v>556.79999999999995</v>
      </c>
      <c r="I1053" s="4">
        <v>657.09</v>
      </c>
      <c r="J1053" s="4">
        <v>480</v>
      </c>
      <c r="K1053" s="4">
        <v>480</v>
      </c>
      <c r="L1053" s="4">
        <v>707.8</v>
      </c>
      <c r="M1053" s="4">
        <v>595.26</v>
      </c>
      <c r="N1053" s="4">
        <f>SUM(Table1[[#This Row],[2025]:[2018]])</f>
        <v>4361.95</v>
      </c>
      <c r="O1053" s="2">
        <f>Table1[[#This Row],[ttl]]/SUM(Table1[ttl])</f>
        <v>8.7955624010700026E-6</v>
      </c>
      <c r="P1053" s="3">
        <f>SUM($O$2:Table1[[#This Row],[pctAllTimeExp]])</f>
        <v>0.99706825342935357</v>
      </c>
      <c r="Q1053" t="b">
        <f>Table1[[#This Row],[cumPctAllTimeExp]]&lt;0.95</f>
        <v>0</v>
      </c>
    </row>
    <row r="1054" spans="1:17" x14ac:dyDescent="0.25">
      <c r="A1054">
        <v>602</v>
      </c>
      <c r="C1054" t="s">
        <v>2508</v>
      </c>
      <c r="E1054" t="s">
        <v>604</v>
      </c>
      <c r="F1054" s="4">
        <v>350</v>
      </c>
      <c r="G1054" s="4">
        <v>700</v>
      </c>
      <c r="H1054" s="4">
        <v>300</v>
      </c>
      <c r="I1054" s="4">
        <v>500</v>
      </c>
      <c r="J1054" s="4">
        <v>300</v>
      </c>
      <c r="K1054" s="4">
        <v>700</v>
      </c>
      <c r="L1054" s="4">
        <v>900</v>
      </c>
      <c r="M1054" s="4">
        <v>600</v>
      </c>
      <c r="N1054" s="4">
        <f>SUM(Table1[[#This Row],[2025]:[2018]])</f>
        <v>4350</v>
      </c>
      <c r="O1054" s="2">
        <f>Table1[[#This Row],[ttl]]/SUM(Table1[ttl])</f>
        <v>8.7714660747267892E-6</v>
      </c>
      <c r="P1054" s="3">
        <f>SUM($O$2:Table1[[#This Row],[pctAllTimeExp]])</f>
        <v>0.99707702489542827</v>
      </c>
      <c r="Q1054" t="b">
        <f>Table1[[#This Row],[cumPctAllTimeExp]]&lt;0.95</f>
        <v>0</v>
      </c>
    </row>
    <row r="1055" spans="1:17" x14ac:dyDescent="0.25">
      <c r="A1055">
        <v>1239</v>
      </c>
      <c r="C1055" t="s">
        <v>2508</v>
      </c>
      <c r="E1055" t="s">
        <v>1241</v>
      </c>
      <c r="F1055" s="4">
        <v>0</v>
      </c>
      <c r="G1055" s="4">
        <v>0</v>
      </c>
      <c r="H1055" s="4">
        <v>0</v>
      </c>
      <c r="I1055" s="4">
        <v>4350</v>
      </c>
      <c r="J1055" s="4">
        <v>0</v>
      </c>
      <c r="K1055" s="4">
        <v>0</v>
      </c>
      <c r="L1055" s="4">
        <v>0</v>
      </c>
      <c r="M1055" s="4">
        <v>0</v>
      </c>
      <c r="N1055" s="4">
        <f>SUM(Table1[[#This Row],[2025]:[2018]])</f>
        <v>4350</v>
      </c>
      <c r="O1055" s="2">
        <f>Table1[[#This Row],[ttl]]/SUM(Table1[ttl])</f>
        <v>8.7714660747267892E-6</v>
      </c>
      <c r="P1055" s="3">
        <f>SUM($O$2:Table1[[#This Row],[pctAllTimeExp]])</f>
        <v>0.99708579636150296</v>
      </c>
      <c r="Q1055" t="b">
        <f>Table1[[#This Row],[cumPctAllTimeExp]]&lt;0.95</f>
        <v>0</v>
      </c>
    </row>
    <row r="1056" spans="1:17" x14ac:dyDescent="0.25">
      <c r="A1056">
        <v>2036</v>
      </c>
      <c r="C1056" t="s">
        <v>2508</v>
      </c>
      <c r="E1056" t="s">
        <v>2038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2520</v>
      </c>
      <c r="M1056" s="4">
        <v>1810</v>
      </c>
      <c r="N1056" s="4">
        <f>SUM(Table1[[#This Row],[2025]:[2018]])</f>
        <v>4330</v>
      </c>
      <c r="O1056" s="2">
        <f>Table1[[#This Row],[ttl]]/SUM(Table1[ttl])</f>
        <v>8.7311374950728731E-6</v>
      </c>
      <c r="P1056" s="3">
        <f>SUM($O$2:Table1[[#This Row],[pctAllTimeExp]])</f>
        <v>0.99709452749899807</v>
      </c>
      <c r="Q1056" t="b">
        <f>Table1[[#This Row],[cumPctAllTimeExp]]&lt;0.95</f>
        <v>0</v>
      </c>
    </row>
    <row r="1057" spans="1:17" x14ac:dyDescent="0.25">
      <c r="A1057">
        <v>2017</v>
      </c>
      <c r="C1057" t="s">
        <v>2508</v>
      </c>
      <c r="E1057" t="s">
        <v>2019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4300</v>
      </c>
      <c r="M1057" s="4">
        <v>0</v>
      </c>
      <c r="N1057" s="4">
        <f>SUM(Table1[[#This Row],[2025]:[2018]])</f>
        <v>4300</v>
      </c>
      <c r="O1057" s="2">
        <f>Table1[[#This Row],[ttl]]/SUM(Table1[ttl])</f>
        <v>8.6706446255919973E-6</v>
      </c>
      <c r="P1057" s="3">
        <f>SUM($O$2:Table1[[#This Row],[pctAllTimeExp]])</f>
        <v>0.99710319814362369</v>
      </c>
      <c r="Q1057" t="b">
        <f>Table1[[#This Row],[cumPctAllTimeExp]]&lt;0.95</f>
        <v>0</v>
      </c>
    </row>
    <row r="1058" spans="1:17" x14ac:dyDescent="0.25">
      <c r="A1058">
        <v>422</v>
      </c>
      <c r="C1058" t="s">
        <v>2508</v>
      </c>
      <c r="E1058" t="s">
        <v>424</v>
      </c>
      <c r="F1058" s="4">
        <v>1530</v>
      </c>
      <c r="G1058" s="4">
        <v>1327</v>
      </c>
      <c r="H1058" s="4">
        <v>1437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f>SUM(Table1[[#This Row],[2025]:[2018]])</f>
        <v>4294</v>
      </c>
      <c r="O1058" s="2">
        <f>Table1[[#This Row],[ttl]]/SUM(Table1[ttl])</f>
        <v>8.6585460516958228E-6</v>
      </c>
      <c r="P1058" s="3">
        <f>SUM($O$2:Table1[[#This Row],[pctAllTimeExp]])</f>
        <v>0.99711185668967539</v>
      </c>
      <c r="Q1058" t="b">
        <f>Table1[[#This Row],[cumPctAllTimeExp]]&lt;0.95</f>
        <v>0</v>
      </c>
    </row>
    <row r="1059" spans="1:17" x14ac:dyDescent="0.25">
      <c r="A1059">
        <v>317</v>
      </c>
      <c r="C1059" t="s">
        <v>2508</v>
      </c>
      <c r="E1059" t="s">
        <v>319</v>
      </c>
      <c r="F1059" s="4">
        <v>4283.88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f>SUM(Table1[[#This Row],[2025]:[2018]])</f>
        <v>4283.88</v>
      </c>
      <c r="O1059" s="2">
        <f>Table1[[#This Row],[ttl]]/SUM(Table1[ttl])</f>
        <v>8.6381397903909422E-6</v>
      </c>
      <c r="P1059" s="3">
        <f>SUM($O$2:Table1[[#This Row],[pctAllTimeExp]])</f>
        <v>0.99712049482946574</v>
      </c>
      <c r="Q1059" t="b">
        <f>Table1[[#This Row],[cumPctAllTimeExp]]&lt;0.95</f>
        <v>0</v>
      </c>
    </row>
    <row r="1060" spans="1:17" x14ac:dyDescent="0.25">
      <c r="A1060">
        <v>2067</v>
      </c>
      <c r="C1060" t="s">
        <v>2508</v>
      </c>
      <c r="E1060" t="s">
        <v>2069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1324.36</v>
      </c>
      <c r="M1060" s="4">
        <v>2957.04</v>
      </c>
      <c r="N1060" s="4">
        <f>SUM(Table1[[#This Row],[2025]:[2018]])</f>
        <v>4281.3999999999996</v>
      </c>
      <c r="O1060" s="2">
        <f>Table1[[#This Row],[ttl]]/SUM(Table1[ttl])</f>
        <v>8.6331390465138559E-6</v>
      </c>
      <c r="P1060" s="3">
        <f>SUM($O$2:Table1[[#This Row],[pctAllTimeExp]])</f>
        <v>0.99712912796851227</v>
      </c>
      <c r="Q1060" t="b">
        <f>Table1[[#This Row],[cumPctAllTimeExp]]&lt;0.95</f>
        <v>0</v>
      </c>
    </row>
    <row r="1061" spans="1:17" x14ac:dyDescent="0.25">
      <c r="A1061">
        <v>1717</v>
      </c>
      <c r="C1061" t="s">
        <v>2508</v>
      </c>
      <c r="E1061" t="s">
        <v>1719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4250.7299999999996</v>
      </c>
      <c r="L1061" s="4">
        <v>0</v>
      </c>
      <c r="M1061" s="4">
        <v>0</v>
      </c>
      <c r="N1061" s="4">
        <f>SUM(Table1[[#This Row],[2025]:[2018]])</f>
        <v>4250.7299999999996</v>
      </c>
      <c r="O1061" s="2">
        <f>Table1[[#This Row],[ttl]]/SUM(Table1[ttl])</f>
        <v>8.5712951696145751E-6</v>
      </c>
      <c r="P1061" s="3">
        <f>SUM($O$2:Table1[[#This Row],[pctAllTimeExp]])</f>
        <v>0.9971376992636819</v>
      </c>
      <c r="Q1061" t="b">
        <f>Table1[[#This Row],[cumPctAllTimeExp]]&lt;0.95</f>
        <v>0</v>
      </c>
    </row>
    <row r="1062" spans="1:17" x14ac:dyDescent="0.25">
      <c r="A1062">
        <v>773</v>
      </c>
      <c r="C1062" t="s">
        <v>2508</v>
      </c>
      <c r="E1062" t="s">
        <v>775</v>
      </c>
      <c r="F1062" s="4">
        <v>0</v>
      </c>
      <c r="G1062" s="4">
        <v>4250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f>SUM(Table1[[#This Row],[2025]:[2018]])</f>
        <v>4250</v>
      </c>
      <c r="O1062" s="2">
        <f>Table1[[#This Row],[ttl]]/SUM(Table1[ttl])</f>
        <v>8.5698231764572071E-6</v>
      </c>
      <c r="P1062" s="3">
        <f>SUM($O$2:Table1[[#This Row],[pctAllTimeExp]])</f>
        <v>0.99714626908685833</v>
      </c>
      <c r="Q1062" t="b">
        <f>Table1[[#This Row],[cumPctAllTimeExp]]&lt;0.95</f>
        <v>0</v>
      </c>
    </row>
    <row r="1063" spans="1:17" x14ac:dyDescent="0.25">
      <c r="A1063">
        <v>2073</v>
      </c>
      <c r="C1063" t="s">
        <v>2508</v>
      </c>
      <c r="E1063" t="s">
        <v>2075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1211.4000000000001</v>
      </c>
      <c r="M1063" s="4">
        <v>3036.43</v>
      </c>
      <c r="N1063" s="4">
        <f>SUM(Table1[[#This Row],[2025]:[2018]])</f>
        <v>4247.83</v>
      </c>
      <c r="O1063" s="2">
        <f>Table1[[#This Row],[ttl]]/SUM(Table1[ttl])</f>
        <v>8.5654475255647581E-6</v>
      </c>
      <c r="P1063" s="3">
        <f>SUM($O$2:Table1[[#This Row],[pctAllTimeExp]])</f>
        <v>0.99715483453438392</v>
      </c>
      <c r="Q1063" t="b">
        <f>Table1[[#This Row],[cumPctAllTimeExp]]&lt;0.95</f>
        <v>0</v>
      </c>
    </row>
    <row r="1064" spans="1:17" x14ac:dyDescent="0.25">
      <c r="A1064">
        <v>797</v>
      </c>
      <c r="C1064" t="s">
        <v>2508</v>
      </c>
      <c r="E1064" t="s">
        <v>799</v>
      </c>
      <c r="F1064" s="4">
        <v>0</v>
      </c>
      <c r="G1064" s="4">
        <v>2375</v>
      </c>
      <c r="H1064" s="4">
        <v>0</v>
      </c>
      <c r="I1064" s="4">
        <v>0</v>
      </c>
      <c r="J1064" s="4">
        <v>115</v>
      </c>
      <c r="K1064" s="4">
        <v>1200</v>
      </c>
      <c r="L1064" s="4">
        <v>550</v>
      </c>
      <c r="M1064" s="4">
        <v>0</v>
      </c>
      <c r="N1064" s="4">
        <f>SUM(Table1[[#This Row],[2025]:[2018]])</f>
        <v>4240</v>
      </c>
      <c r="O1064" s="2">
        <f>Table1[[#This Row],[ttl]]/SUM(Table1[ttl])</f>
        <v>8.5496588866302491E-6</v>
      </c>
      <c r="P1064" s="3">
        <f>SUM($O$2:Table1[[#This Row],[pctAllTimeExp]])</f>
        <v>0.99716338419327055</v>
      </c>
      <c r="Q1064" t="b">
        <f>Table1[[#This Row],[cumPctAllTimeExp]]&lt;0.95</f>
        <v>0</v>
      </c>
    </row>
    <row r="1065" spans="1:17" x14ac:dyDescent="0.25">
      <c r="A1065">
        <v>516</v>
      </c>
      <c r="C1065" t="s">
        <v>2508</v>
      </c>
      <c r="E1065" t="s">
        <v>518</v>
      </c>
      <c r="F1065" s="4">
        <v>667.28</v>
      </c>
      <c r="G1065" s="4">
        <v>0</v>
      </c>
      <c r="H1065" s="4">
        <v>0</v>
      </c>
      <c r="I1065" s="4">
        <v>1047</v>
      </c>
      <c r="J1065" s="4">
        <v>2500</v>
      </c>
      <c r="K1065" s="4">
        <v>0</v>
      </c>
      <c r="L1065" s="4">
        <v>0</v>
      </c>
      <c r="M1065" s="4">
        <v>0</v>
      </c>
      <c r="N1065" s="4">
        <f>SUM(Table1[[#This Row],[2025]:[2018]])</f>
        <v>4214.28</v>
      </c>
      <c r="O1065" s="2">
        <f>Table1[[#This Row],[ttl]]/SUM(Table1[ttl])</f>
        <v>8.4977963331953117E-6</v>
      </c>
      <c r="P1065" s="3">
        <f>SUM($O$2:Table1[[#This Row],[pctAllTimeExp]])</f>
        <v>0.99717188198960371</v>
      </c>
      <c r="Q1065" t="b">
        <f>Table1[[#This Row],[cumPctAllTimeExp]]&lt;0.95</f>
        <v>0</v>
      </c>
    </row>
    <row r="1066" spans="1:17" x14ac:dyDescent="0.25">
      <c r="A1066">
        <v>1735</v>
      </c>
      <c r="C1066" t="s">
        <v>2508</v>
      </c>
      <c r="E1066" t="s">
        <v>1737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2400</v>
      </c>
      <c r="L1066" s="4">
        <v>0</v>
      </c>
      <c r="M1066" s="4">
        <v>1800</v>
      </c>
      <c r="N1066" s="4">
        <f>SUM(Table1[[#This Row],[2025]:[2018]])</f>
        <v>4200</v>
      </c>
      <c r="O1066" s="2">
        <f>Table1[[#This Row],[ttl]]/SUM(Table1[ttl])</f>
        <v>8.4690017273224169E-6</v>
      </c>
      <c r="P1066" s="3">
        <f>SUM($O$2:Table1[[#This Row],[pctAllTimeExp]])</f>
        <v>0.99718035099133107</v>
      </c>
      <c r="Q1066" t="b">
        <f>Table1[[#This Row],[cumPctAllTimeExp]]&lt;0.95</f>
        <v>0</v>
      </c>
    </row>
    <row r="1067" spans="1:17" x14ac:dyDescent="0.25">
      <c r="A1067">
        <v>1280</v>
      </c>
      <c r="C1067" t="s">
        <v>2508</v>
      </c>
      <c r="E1067" t="s">
        <v>1282</v>
      </c>
      <c r="F1067" s="4">
        <v>0</v>
      </c>
      <c r="G1067" s="4">
        <v>0</v>
      </c>
      <c r="H1067" s="4">
        <v>0</v>
      </c>
      <c r="I1067" s="4">
        <v>1050</v>
      </c>
      <c r="J1067" s="4">
        <v>1017</v>
      </c>
      <c r="K1067" s="4">
        <v>0</v>
      </c>
      <c r="L1067" s="4">
        <v>1260</v>
      </c>
      <c r="M1067" s="4">
        <v>868</v>
      </c>
      <c r="N1067" s="4">
        <f>SUM(Table1[[#This Row],[2025]:[2018]])</f>
        <v>4195</v>
      </c>
      <c r="O1067" s="2">
        <f>Table1[[#This Row],[ttl]]/SUM(Table1[ttl])</f>
        <v>8.4589195824089379E-6</v>
      </c>
      <c r="P1067" s="3">
        <f>SUM($O$2:Table1[[#This Row],[pctAllTimeExp]])</f>
        <v>0.99718880991091352</v>
      </c>
      <c r="Q1067" t="b">
        <f>Table1[[#This Row],[cumPctAllTimeExp]]&lt;0.95</f>
        <v>0</v>
      </c>
    </row>
    <row r="1068" spans="1:17" x14ac:dyDescent="0.25">
      <c r="A1068">
        <v>353</v>
      </c>
      <c r="C1068" t="s">
        <v>2508</v>
      </c>
      <c r="E1068" t="s">
        <v>355</v>
      </c>
      <c r="F1068" s="4">
        <v>3061.48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1107</v>
      </c>
      <c r="N1068" s="4">
        <f>SUM(Table1[[#This Row],[2025]:[2018]])</f>
        <v>4168.4799999999996</v>
      </c>
      <c r="O1068" s="2">
        <f>Table1[[#This Row],[ttl]]/SUM(Table1[ttl])</f>
        <v>8.4054438857878438E-6</v>
      </c>
      <c r="P1068" s="3">
        <f>SUM($O$2:Table1[[#This Row],[pctAllTimeExp]])</f>
        <v>0.99719721535479933</v>
      </c>
      <c r="Q1068" t="b">
        <f>Table1[[#This Row],[cumPctAllTimeExp]]&lt;0.95</f>
        <v>0</v>
      </c>
    </row>
    <row r="1069" spans="1:17" x14ac:dyDescent="0.25">
      <c r="A1069">
        <v>1751</v>
      </c>
      <c r="C1069" t="s">
        <v>2508</v>
      </c>
      <c r="E1069" t="s">
        <v>1753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1619.22</v>
      </c>
      <c r="L1069" s="4">
        <v>2355.71</v>
      </c>
      <c r="M1069" s="4">
        <v>184</v>
      </c>
      <c r="N1069" s="4">
        <f>SUM(Table1[[#This Row],[2025]:[2018]])</f>
        <v>4158.93</v>
      </c>
      <c r="O1069" s="2">
        <f>Table1[[#This Row],[ttl]]/SUM(Table1[ttl])</f>
        <v>8.3861869890031005E-6</v>
      </c>
      <c r="P1069" s="3">
        <f>SUM($O$2:Table1[[#This Row],[pctAllTimeExp]])</f>
        <v>0.99720560154178828</v>
      </c>
      <c r="Q1069" t="b">
        <f>Table1[[#This Row],[cumPctAllTimeExp]]&lt;0.95</f>
        <v>0</v>
      </c>
    </row>
    <row r="1070" spans="1:17" x14ac:dyDescent="0.25">
      <c r="A1070">
        <v>1447</v>
      </c>
      <c r="C1070" t="s">
        <v>2508</v>
      </c>
      <c r="E1070" t="s">
        <v>1449</v>
      </c>
      <c r="F1070" s="4">
        <v>0</v>
      </c>
      <c r="G1070" s="4">
        <v>0</v>
      </c>
      <c r="H1070" s="4">
        <v>0</v>
      </c>
      <c r="I1070" s="4">
        <v>0</v>
      </c>
      <c r="J1070" s="4">
        <v>4147.97</v>
      </c>
      <c r="K1070" s="4">
        <v>0</v>
      </c>
      <c r="L1070" s="4">
        <v>0</v>
      </c>
      <c r="M1070" s="4">
        <v>0</v>
      </c>
      <c r="N1070" s="4">
        <f>SUM(Table1[[#This Row],[2025]:[2018]])</f>
        <v>4147.97</v>
      </c>
      <c r="O1070" s="2">
        <f>Table1[[#This Row],[ttl]]/SUM(Table1[ttl])</f>
        <v>8.3640869273527534E-6</v>
      </c>
      <c r="P1070" s="3">
        <f>SUM($O$2:Table1[[#This Row],[pctAllTimeExp]])</f>
        <v>0.99721396562871567</v>
      </c>
      <c r="Q1070" t="b">
        <f>Table1[[#This Row],[cumPctAllTimeExp]]&lt;0.95</f>
        <v>0</v>
      </c>
    </row>
    <row r="1071" spans="1:17" x14ac:dyDescent="0.25">
      <c r="A1071">
        <v>832</v>
      </c>
      <c r="C1071" t="s">
        <v>2508</v>
      </c>
      <c r="E1071" t="s">
        <v>834</v>
      </c>
      <c r="F1071" s="4">
        <v>0</v>
      </c>
      <c r="G1071" s="4">
        <v>1048.95</v>
      </c>
      <c r="H1071" s="4">
        <v>2157.84</v>
      </c>
      <c r="I1071" s="4">
        <v>923.52</v>
      </c>
      <c r="J1071" s="4">
        <v>0</v>
      </c>
      <c r="K1071" s="4">
        <v>0</v>
      </c>
      <c r="L1071" s="4">
        <v>0</v>
      </c>
      <c r="M1071" s="4">
        <v>0</v>
      </c>
      <c r="N1071" s="4">
        <f>SUM(Table1[[#This Row],[2025]:[2018]])</f>
        <v>4130.3099999999995</v>
      </c>
      <c r="O1071" s="2">
        <f>Table1[[#This Row],[ttl]]/SUM(Table1[ttl])</f>
        <v>8.3284767915183445E-6</v>
      </c>
      <c r="P1071" s="3">
        <f>SUM($O$2:Table1[[#This Row],[pctAllTimeExp]])</f>
        <v>0.99722229410550722</v>
      </c>
      <c r="Q1071" t="b">
        <f>Table1[[#This Row],[cumPctAllTimeExp]]&lt;0.95</f>
        <v>0</v>
      </c>
    </row>
    <row r="1072" spans="1:17" x14ac:dyDescent="0.25">
      <c r="A1072">
        <v>2288</v>
      </c>
      <c r="C1072" t="s">
        <v>2508</v>
      </c>
      <c r="E1072" t="s">
        <v>2290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4125</v>
      </c>
      <c r="N1072" s="4">
        <f>SUM(Table1[[#This Row],[2025]:[2018]])</f>
        <v>4125</v>
      </c>
      <c r="O1072" s="2">
        <f>Table1[[#This Row],[ttl]]/SUM(Table1[ttl])</f>
        <v>8.3177695536202299E-6</v>
      </c>
      <c r="P1072" s="3">
        <f>SUM($O$2:Table1[[#This Row],[pctAllTimeExp]])</f>
        <v>0.99723061187506079</v>
      </c>
      <c r="Q1072" t="b">
        <f>Table1[[#This Row],[cumPctAllTimeExp]]&lt;0.95</f>
        <v>0</v>
      </c>
    </row>
    <row r="1073" spans="1:17" x14ac:dyDescent="0.25">
      <c r="A1073">
        <v>2289</v>
      </c>
      <c r="C1073" t="s">
        <v>2508</v>
      </c>
      <c r="E1073" t="s">
        <v>2291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4115.82</v>
      </c>
      <c r="N1073" s="4">
        <f>SUM(Table1[[#This Row],[2025]:[2018]])</f>
        <v>4115.82</v>
      </c>
      <c r="O1073" s="2">
        <f>Table1[[#This Row],[ttl]]/SUM(Table1[ttl])</f>
        <v>8.2992587355590818E-6</v>
      </c>
      <c r="P1073" s="3">
        <f>SUM($O$2:Table1[[#This Row],[pctAllTimeExp]])</f>
        <v>0.99723891113379637</v>
      </c>
      <c r="Q1073" t="b">
        <f>Table1[[#This Row],[cumPctAllTimeExp]]&lt;0.95</f>
        <v>0</v>
      </c>
    </row>
    <row r="1074" spans="1:17" x14ac:dyDescent="0.25">
      <c r="A1074">
        <v>775</v>
      </c>
      <c r="C1074" t="s">
        <v>2508</v>
      </c>
      <c r="E1074" t="s">
        <v>777</v>
      </c>
      <c r="F1074" s="4">
        <v>0</v>
      </c>
      <c r="G1074" s="4">
        <v>4110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f>SUM(Table1[[#This Row],[2025]:[2018]])</f>
        <v>4110</v>
      </c>
      <c r="O1074" s="2">
        <f>Table1[[#This Row],[ttl]]/SUM(Table1[ttl])</f>
        <v>8.2875231188797929E-6</v>
      </c>
      <c r="P1074" s="3">
        <f>SUM($O$2:Table1[[#This Row],[pctAllTimeExp]])</f>
        <v>0.99724719865691525</v>
      </c>
      <c r="Q1074" t="b">
        <f>Table1[[#This Row],[cumPctAllTimeExp]]&lt;0.95</f>
        <v>0</v>
      </c>
    </row>
    <row r="1075" spans="1:17" x14ac:dyDescent="0.25">
      <c r="A1075">
        <v>491</v>
      </c>
      <c r="C1075" t="s">
        <v>2508</v>
      </c>
      <c r="E1075" t="s">
        <v>493</v>
      </c>
      <c r="F1075" s="4">
        <v>855.68</v>
      </c>
      <c r="G1075" s="4">
        <v>0</v>
      </c>
      <c r="H1075" s="4">
        <v>2397.38</v>
      </c>
      <c r="I1075" s="4">
        <v>522.11</v>
      </c>
      <c r="J1075" s="4">
        <v>312.72000000000003</v>
      </c>
      <c r="K1075" s="4">
        <v>0</v>
      </c>
      <c r="L1075" s="4">
        <v>0</v>
      </c>
      <c r="M1075" s="4">
        <v>0</v>
      </c>
      <c r="N1075" s="4">
        <f>SUM(Table1[[#This Row],[2025]:[2018]])</f>
        <v>4087.8900000000003</v>
      </c>
      <c r="O1075" s="2">
        <f>Table1[[#This Row],[ttl]]/SUM(Table1[ttl])</f>
        <v>8.242939874072389E-6</v>
      </c>
      <c r="P1075" s="3">
        <f>SUM($O$2:Table1[[#This Row],[pctAllTimeExp]])</f>
        <v>0.99725544159678936</v>
      </c>
      <c r="Q1075" t="b">
        <f>Table1[[#This Row],[cumPctAllTimeExp]]&lt;0.95</f>
        <v>0</v>
      </c>
    </row>
    <row r="1076" spans="1:17" x14ac:dyDescent="0.25">
      <c r="A1076">
        <v>1043</v>
      </c>
      <c r="C1076" t="s">
        <v>2508</v>
      </c>
      <c r="E1076" t="s">
        <v>1045</v>
      </c>
      <c r="F1076" s="4">
        <v>0</v>
      </c>
      <c r="G1076" s="4">
        <v>0</v>
      </c>
      <c r="H1076" s="4">
        <v>4077.87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f>SUM(Table1[[#This Row],[2025]:[2018]])</f>
        <v>4077.87</v>
      </c>
      <c r="O1076" s="2">
        <f>Table1[[#This Row],[ttl]]/SUM(Table1[ttl])</f>
        <v>8.2227352556657761E-6</v>
      </c>
      <c r="P1076" s="3">
        <f>SUM($O$2:Table1[[#This Row],[pctAllTimeExp]])</f>
        <v>0.99726366433204505</v>
      </c>
      <c r="Q1076" t="b">
        <f>Table1[[#This Row],[cumPctAllTimeExp]]&lt;0.95</f>
        <v>0</v>
      </c>
    </row>
    <row r="1077" spans="1:17" x14ac:dyDescent="0.25">
      <c r="A1077">
        <v>2290</v>
      </c>
      <c r="C1077" t="s">
        <v>2508</v>
      </c>
      <c r="E1077" t="s">
        <v>2292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4055</v>
      </c>
      <c r="N1077" s="4">
        <f>SUM(Table1[[#This Row],[2025]:[2018]])</f>
        <v>4055</v>
      </c>
      <c r="O1077" s="2">
        <f>Table1[[#This Row],[ttl]]/SUM(Table1[ttl])</f>
        <v>8.1766195248315236E-6</v>
      </c>
      <c r="P1077" s="3">
        <f>SUM($O$2:Table1[[#This Row],[pctAllTimeExp]])</f>
        <v>0.99727184095156984</v>
      </c>
      <c r="Q1077" t="b">
        <f>Table1[[#This Row],[cumPctAllTimeExp]]&lt;0.95</f>
        <v>0</v>
      </c>
    </row>
    <row r="1078" spans="1:17" x14ac:dyDescent="0.25">
      <c r="A1078">
        <v>567</v>
      </c>
      <c r="C1078" t="s">
        <v>2508</v>
      </c>
      <c r="E1078" t="s">
        <v>569</v>
      </c>
      <c r="F1078" s="4">
        <v>480</v>
      </c>
      <c r="G1078" s="4">
        <v>480</v>
      </c>
      <c r="H1078" s="4">
        <v>1687.2</v>
      </c>
      <c r="I1078" s="4">
        <v>480</v>
      </c>
      <c r="J1078" s="4">
        <v>480</v>
      </c>
      <c r="K1078" s="4">
        <v>406.76</v>
      </c>
      <c r="L1078" s="4">
        <v>0</v>
      </c>
      <c r="M1078" s="4">
        <v>0</v>
      </c>
      <c r="N1078" s="4">
        <f>SUM(Table1[[#This Row],[2025]:[2018]])</f>
        <v>4013.96</v>
      </c>
      <c r="O1078" s="2">
        <f>Table1[[#This Row],[ttl]]/SUM(Table1[ttl])</f>
        <v>8.0938652793816879E-6</v>
      </c>
      <c r="P1078" s="3">
        <f>SUM($O$2:Table1[[#This Row],[pctAllTimeExp]])</f>
        <v>0.99727993481684918</v>
      </c>
      <c r="Q1078" t="b">
        <f>Table1[[#This Row],[cumPctAllTimeExp]]&lt;0.95</f>
        <v>0</v>
      </c>
    </row>
    <row r="1079" spans="1:17" x14ac:dyDescent="0.25">
      <c r="A1079">
        <v>777</v>
      </c>
      <c r="C1079" t="s">
        <v>2508</v>
      </c>
      <c r="E1079" t="s">
        <v>779</v>
      </c>
      <c r="F1079" s="4">
        <v>0</v>
      </c>
      <c r="G1079" s="4">
        <v>3908.42</v>
      </c>
      <c r="H1079" s="4">
        <v>0</v>
      </c>
      <c r="I1079" s="4">
        <v>0</v>
      </c>
      <c r="J1079" s="4">
        <v>92.69</v>
      </c>
      <c r="K1079" s="4">
        <v>0</v>
      </c>
      <c r="L1079" s="4">
        <v>12.38</v>
      </c>
      <c r="M1079" s="4">
        <v>0</v>
      </c>
      <c r="N1079" s="4">
        <f>SUM(Table1[[#This Row],[2025]:[2018]])</f>
        <v>4013.4900000000002</v>
      </c>
      <c r="O1079" s="2">
        <f>Table1[[#This Row],[ttl]]/SUM(Table1[ttl])</f>
        <v>8.0929175577598217E-6</v>
      </c>
      <c r="P1079" s="3">
        <f>SUM($O$2:Table1[[#This Row],[pctAllTimeExp]])</f>
        <v>0.99728802773440695</v>
      </c>
      <c r="Q1079" t="b">
        <f>Table1[[#This Row],[cumPctAllTimeExp]]&lt;0.95</f>
        <v>0</v>
      </c>
    </row>
    <row r="1080" spans="1:17" x14ac:dyDescent="0.25">
      <c r="A1080">
        <v>1724</v>
      </c>
      <c r="C1080" t="s">
        <v>2508</v>
      </c>
      <c r="E1080" t="s">
        <v>1726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3441</v>
      </c>
      <c r="L1080" s="4">
        <v>571.44000000000005</v>
      </c>
      <c r="M1080" s="4">
        <v>0</v>
      </c>
      <c r="N1080" s="4">
        <f>SUM(Table1[[#This Row],[2025]:[2018]])</f>
        <v>4012.44</v>
      </c>
      <c r="O1080" s="2">
        <f>Table1[[#This Row],[ttl]]/SUM(Table1[ttl])</f>
        <v>8.0908003073279907E-6</v>
      </c>
      <c r="P1080" s="3">
        <f>SUM($O$2:Table1[[#This Row],[pctAllTimeExp]])</f>
        <v>0.99729611853471423</v>
      </c>
      <c r="Q1080" t="b">
        <f>Table1[[#This Row],[cumPctAllTimeExp]]&lt;0.95</f>
        <v>0</v>
      </c>
    </row>
    <row r="1081" spans="1:17" x14ac:dyDescent="0.25">
      <c r="A1081">
        <v>322</v>
      </c>
      <c r="C1081" t="s">
        <v>2508</v>
      </c>
      <c r="E1081" t="s">
        <v>324</v>
      </c>
      <c r="F1081" s="4">
        <v>4000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f>SUM(Table1[[#This Row],[2025]:[2018]])</f>
        <v>4000</v>
      </c>
      <c r="O1081" s="2">
        <f>Table1[[#This Row],[ttl]]/SUM(Table1[ttl])</f>
        <v>8.0657159307832544E-6</v>
      </c>
      <c r="P1081" s="3">
        <f>SUM($O$2:Table1[[#This Row],[pctAllTimeExp]])</f>
        <v>0.99730418425064504</v>
      </c>
      <c r="Q1081" t="b">
        <f>Table1[[#This Row],[cumPctAllTimeExp]]&lt;0.95</f>
        <v>0</v>
      </c>
    </row>
    <row r="1082" spans="1:17" x14ac:dyDescent="0.25">
      <c r="A1082">
        <v>501</v>
      </c>
      <c r="C1082" t="s">
        <v>2508</v>
      </c>
      <c r="E1082" t="s">
        <v>503</v>
      </c>
      <c r="F1082" s="4">
        <v>800</v>
      </c>
      <c r="G1082" s="4">
        <v>800</v>
      </c>
      <c r="H1082" s="4">
        <v>800</v>
      </c>
      <c r="I1082" s="4">
        <v>0</v>
      </c>
      <c r="J1082" s="4">
        <v>0</v>
      </c>
      <c r="K1082" s="4">
        <v>800</v>
      </c>
      <c r="L1082" s="4">
        <v>800</v>
      </c>
      <c r="M1082" s="4">
        <v>0</v>
      </c>
      <c r="N1082" s="4">
        <f>SUM(Table1[[#This Row],[2025]:[2018]])</f>
        <v>4000</v>
      </c>
      <c r="O1082" s="2">
        <f>Table1[[#This Row],[ttl]]/SUM(Table1[ttl])</f>
        <v>8.0657159307832544E-6</v>
      </c>
      <c r="P1082" s="3">
        <f>SUM($O$2:Table1[[#This Row],[pctAllTimeExp]])</f>
        <v>0.99731224996657586</v>
      </c>
      <c r="Q1082" t="b">
        <f>Table1[[#This Row],[cumPctAllTimeExp]]&lt;0.95</f>
        <v>0</v>
      </c>
    </row>
    <row r="1083" spans="1:17" x14ac:dyDescent="0.25">
      <c r="A1083">
        <v>799</v>
      </c>
      <c r="C1083" t="s">
        <v>2508</v>
      </c>
      <c r="E1083" t="s">
        <v>801</v>
      </c>
      <c r="F1083" s="4">
        <v>0</v>
      </c>
      <c r="G1083" s="4">
        <v>2150</v>
      </c>
      <c r="H1083" s="4">
        <v>0</v>
      </c>
      <c r="I1083" s="4">
        <v>0</v>
      </c>
      <c r="J1083" s="4">
        <v>0</v>
      </c>
      <c r="K1083" s="4">
        <v>0</v>
      </c>
      <c r="L1083" s="4">
        <v>1850</v>
      </c>
      <c r="M1083" s="4">
        <v>0</v>
      </c>
      <c r="N1083" s="4">
        <f>SUM(Table1[[#This Row],[2025]:[2018]])</f>
        <v>4000</v>
      </c>
      <c r="O1083" s="2">
        <f>Table1[[#This Row],[ttl]]/SUM(Table1[ttl])</f>
        <v>8.0657159307832544E-6</v>
      </c>
      <c r="P1083" s="3">
        <f>SUM($O$2:Table1[[#This Row],[pctAllTimeExp]])</f>
        <v>0.99732031568250668</v>
      </c>
      <c r="Q1083" t="b">
        <f>Table1[[#This Row],[cumPctAllTimeExp]]&lt;0.95</f>
        <v>0</v>
      </c>
    </row>
    <row r="1084" spans="1:17" x14ac:dyDescent="0.25">
      <c r="A1084">
        <v>1242</v>
      </c>
      <c r="C1084" t="s">
        <v>2508</v>
      </c>
      <c r="E1084" t="s">
        <v>1244</v>
      </c>
      <c r="F1084" s="4">
        <v>0</v>
      </c>
      <c r="G1084" s="4">
        <v>0</v>
      </c>
      <c r="H1084" s="4">
        <v>0</v>
      </c>
      <c r="I1084" s="4">
        <v>4000</v>
      </c>
      <c r="J1084" s="4">
        <v>0</v>
      </c>
      <c r="K1084" s="4">
        <v>0</v>
      </c>
      <c r="L1084" s="4">
        <v>0</v>
      </c>
      <c r="M1084" s="4">
        <v>0</v>
      </c>
      <c r="N1084" s="4">
        <f>SUM(Table1[[#This Row],[2025]:[2018]])</f>
        <v>4000</v>
      </c>
      <c r="O1084" s="2">
        <f>Table1[[#This Row],[ttl]]/SUM(Table1[ttl])</f>
        <v>8.0657159307832544E-6</v>
      </c>
      <c r="P1084" s="3">
        <f>SUM($O$2:Table1[[#This Row],[pctAllTimeExp]])</f>
        <v>0.99732838139843749</v>
      </c>
      <c r="Q1084" t="b">
        <f>Table1[[#This Row],[cumPctAllTimeExp]]&lt;0.95</f>
        <v>0</v>
      </c>
    </row>
    <row r="1085" spans="1:17" x14ac:dyDescent="0.25">
      <c r="A1085">
        <v>1243</v>
      </c>
      <c r="C1085" t="s">
        <v>2508</v>
      </c>
      <c r="E1085" t="s">
        <v>1245</v>
      </c>
      <c r="F1085" s="4">
        <v>0</v>
      </c>
      <c r="G1085" s="4">
        <v>0</v>
      </c>
      <c r="H1085" s="4">
        <v>0</v>
      </c>
      <c r="I1085" s="4">
        <v>4000</v>
      </c>
      <c r="J1085" s="4">
        <v>0</v>
      </c>
      <c r="K1085" s="4">
        <v>0</v>
      </c>
      <c r="L1085" s="4">
        <v>0</v>
      </c>
      <c r="M1085" s="4">
        <v>0</v>
      </c>
      <c r="N1085" s="4">
        <f>SUM(Table1[[#This Row],[2025]:[2018]])</f>
        <v>4000</v>
      </c>
      <c r="O1085" s="2">
        <f>Table1[[#This Row],[ttl]]/SUM(Table1[ttl])</f>
        <v>8.0657159307832544E-6</v>
      </c>
      <c r="P1085" s="3">
        <f>SUM($O$2:Table1[[#This Row],[pctAllTimeExp]])</f>
        <v>0.99733644711436831</v>
      </c>
      <c r="Q1085" t="b">
        <f>Table1[[#This Row],[cumPctAllTimeExp]]&lt;0.95</f>
        <v>0</v>
      </c>
    </row>
    <row r="1086" spans="1:17" x14ac:dyDescent="0.25">
      <c r="A1086">
        <v>1244</v>
      </c>
      <c r="C1086" t="s">
        <v>2508</v>
      </c>
      <c r="E1086" t="s">
        <v>1246</v>
      </c>
      <c r="F1086" s="4">
        <v>0</v>
      </c>
      <c r="G1086" s="4">
        <v>0</v>
      </c>
      <c r="H1086" s="4">
        <v>0</v>
      </c>
      <c r="I1086" s="4">
        <v>4000</v>
      </c>
      <c r="J1086" s="4">
        <v>0</v>
      </c>
      <c r="K1086" s="4">
        <v>0</v>
      </c>
      <c r="L1086" s="4">
        <v>0</v>
      </c>
      <c r="M1086" s="4">
        <v>0</v>
      </c>
      <c r="N1086" s="4">
        <f>SUM(Table1[[#This Row],[2025]:[2018]])</f>
        <v>4000</v>
      </c>
      <c r="O1086" s="2">
        <f>Table1[[#This Row],[ttl]]/SUM(Table1[ttl])</f>
        <v>8.0657159307832544E-6</v>
      </c>
      <c r="P1086" s="3">
        <f>SUM($O$2:Table1[[#This Row],[pctAllTimeExp]])</f>
        <v>0.99734451283029912</v>
      </c>
      <c r="Q1086" t="b">
        <f>Table1[[#This Row],[cumPctAllTimeExp]]&lt;0.95</f>
        <v>0</v>
      </c>
    </row>
    <row r="1087" spans="1:17" x14ac:dyDescent="0.25">
      <c r="A1087">
        <v>1448</v>
      </c>
      <c r="C1087" t="s">
        <v>2508</v>
      </c>
      <c r="E1087" t="s">
        <v>1450</v>
      </c>
      <c r="F1087" s="4">
        <v>0</v>
      </c>
      <c r="G1087" s="4">
        <v>0</v>
      </c>
      <c r="H1087" s="4">
        <v>0</v>
      </c>
      <c r="I1087" s="4">
        <v>0</v>
      </c>
      <c r="J1087" s="4">
        <v>4000</v>
      </c>
      <c r="K1087" s="4">
        <v>0</v>
      </c>
      <c r="L1087" s="4">
        <v>0</v>
      </c>
      <c r="M1087" s="4">
        <v>0</v>
      </c>
      <c r="N1087" s="4">
        <f>SUM(Table1[[#This Row],[2025]:[2018]])</f>
        <v>4000</v>
      </c>
      <c r="O1087" s="2">
        <f>Table1[[#This Row],[ttl]]/SUM(Table1[ttl])</f>
        <v>8.0657159307832544E-6</v>
      </c>
      <c r="P1087" s="3">
        <f>SUM($O$2:Table1[[#This Row],[pctAllTimeExp]])</f>
        <v>0.99735257854622994</v>
      </c>
      <c r="Q1087" t="b">
        <f>Table1[[#This Row],[cumPctAllTimeExp]]&lt;0.95</f>
        <v>0</v>
      </c>
    </row>
    <row r="1088" spans="1:17" x14ac:dyDescent="0.25">
      <c r="A1088">
        <v>1721</v>
      </c>
      <c r="C1088" t="s">
        <v>2508</v>
      </c>
      <c r="E1088" t="s">
        <v>1723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4000</v>
      </c>
      <c r="L1088" s="4">
        <v>0</v>
      </c>
      <c r="M1088" s="4">
        <v>0</v>
      </c>
      <c r="N1088" s="4">
        <f>SUM(Table1[[#This Row],[2025]:[2018]])</f>
        <v>4000</v>
      </c>
      <c r="O1088" s="2">
        <f>Table1[[#This Row],[ttl]]/SUM(Table1[ttl])</f>
        <v>8.0657159307832544E-6</v>
      </c>
      <c r="P1088" s="3">
        <f>SUM($O$2:Table1[[#This Row],[pctAllTimeExp]])</f>
        <v>0.99736064426216076</v>
      </c>
      <c r="Q1088" t="b">
        <f>Table1[[#This Row],[cumPctAllTimeExp]]&lt;0.95</f>
        <v>0</v>
      </c>
    </row>
    <row r="1089" spans="1:17" x14ac:dyDescent="0.25">
      <c r="A1089">
        <v>2019</v>
      </c>
      <c r="C1089" t="s">
        <v>2508</v>
      </c>
      <c r="E1089" t="s">
        <v>2021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4000</v>
      </c>
      <c r="M1089" s="4">
        <v>0</v>
      </c>
      <c r="N1089" s="4">
        <f>SUM(Table1[[#This Row],[2025]:[2018]])</f>
        <v>4000</v>
      </c>
      <c r="O1089" s="2">
        <f>Table1[[#This Row],[ttl]]/SUM(Table1[ttl])</f>
        <v>8.0657159307832544E-6</v>
      </c>
      <c r="P1089" s="3">
        <f>SUM($O$2:Table1[[#This Row],[pctAllTimeExp]])</f>
        <v>0.99736870997809157</v>
      </c>
      <c r="Q1089" t="b">
        <f>Table1[[#This Row],[cumPctAllTimeExp]]&lt;0.95</f>
        <v>0</v>
      </c>
    </row>
    <row r="1090" spans="1:17" x14ac:dyDescent="0.25">
      <c r="A1090">
        <v>2050</v>
      </c>
      <c r="C1090" t="s">
        <v>2508</v>
      </c>
      <c r="E1090" t="s">
        <v>2052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2000</v>
      </c>
      <c r="M1090" s="4">
        <v>2000</v>
      </c>
      <c r="N1090" s="4">
        <f>SUM(Table1[[#This Row],[2025]:[2018]])</f>
        <v>4000</v>
      </c>
      <c r="O1090" s="2">
        <f>Table1[[#This Row],[ttl]]/SUM(Table1[ttl])</f>
        <v>8.0657159307832544E-6</v>
      </c>
      <c r="P1090" s="3">
        <f>SUM($O$2:Table1[[#This Row],[pctAllTimeExp]])</f>
        <v>0.99737677569402239</v>
      </c>
      <c r="Q1090" t="b">
        <f>Table1[[#This Row],[cumPctAllTimeExp]]&lt;0.95</f>
        <v>0</v>
      </c>
    </row>
    <row r="1091" spans="1:17" x14ac:dyDescent="0.25">
      <c r="A1091">
        <v>1461</v>
      </c>
      <c r="C1091" t="s">
        <v>2508</v>
      </c>
      <c r="E1091" t="s">
        <v>1463</v>
      </c>
      <c r="F1091" s="4">
        <v>0</v>
      </c>
      <c r="G1091" s="4">
        <v>0</v>
      </c>
      <c r="H1091" s="4">
        <v>0</v>
      </c>
      <c r="I1091" s="4">
        <v>0</v>
      </c>
      <c r="J1091" s="4">
        <v>2142.46</v>
      </c>
      <c r="K1091" s="4">
        <v>0</v>
      </c>
      <c r="L1091" s="4">
        <v>1839.06</v>
      </c>
      <c r="M1091" s="4">
        <v>0</v>
      </c>
      <c r="N1091" s="4">
        <f>SUM(Table1[[#This Row],[2025]:[2018]])</f>
        <v>3981.52</v>
      </c>
      <c r="O1091" s="2">
        <f>Table1[[#This Row],[ttl]]/SUM(Table1[ttl])</f>
        <v>8.0284523231830356E-6</v>
      </c>
      <c r="P1091" s="3">
        <f>SUM($O$2:Table1[[#This Row],[pctAllTimeExp]])</f>
        <v>0.99738480414634556</v>
      </c>
      <c r="Q1091" t="b">
        <f>Table1[[#This Row],[cumPctAllTimeExp]]&lt;0.95</f>
        <v>0</v>
      </c>
    </row>
    <row r="1092" spans="1:17" x14ac:dyDescent="0.25">
      <c r="A1092">
        <v>1746</v>
      </c>
      <c r="C1092" t="s">
        <v>2508</v>
      </c>
      <c r="E1092" t="s">
        <v>1748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1770</v>
      </c>
      <c r="L1092" s="4">
        <v>1700</v>
      </c>
      <c r="M1092" s="4">
        <v>505</v>
      </c>
      <c r="N1092" s="4">
        <f>SUM(Table1[[#This Row],[2025]:[2018]])</f>
        <v>3975</v>
      </c>
      <c r="O1092" s="2">
        <f>Table1[[#This Row],[ttl]]/SUM(Table1[ttl])</f>
        <v>8.0153052062158593E-6</v>
      </c>
      <c r="P1092" s="3">
        <f>SUM($O$2:Table1[[#This Row],[pctAllTimeExp]])</f>
        <v>0.99739281945155178</v>
      </c>
      <c r="Q1092" t="b">
        <f>Table1[[#This Row],[cumPctAllTimeExp]]&lt;0.95</f>
        <v>0</v>
      </c>
    </row>
    <row r="1093" spans="1:17" x14ac:dyDescent="0.25">
      <c r="A1093">
        <v>2032</v>
      </c>
      <c r="C1093" t="s">
        <v>2508</v>
      </c>
      <c r="E1093" t="s">
        <v>2034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2942.5</v>
      </c>
      <c r="M1093" s="4">
        <v>1030</v>
      </c>
      <c r="N1093" s="4">
        <f>SUM(Table1[[#This Row],[2025]:[2018]])</f>
        <v>3972.5</v>
      </c>
      <c r="O1093" s="2">
        <f>Table1[[#This Row],[ttl]]/SUM(Table1[ttl])</f>
        <v>8.0102641337591198E-6</v>
      </c>
      <c r="P1093" s="3">
        <f>SUM($O$2:Table1[[#This Row],[pctAllTimeExp]])</f>
        <v>0.99740082971568556</v>
      </c>
      <c r="Q1093" t="b">
        <f>Table1[[#This Row],[cumPctAllTimeExp]]&lt;0.95</f>
        <v>0</v>
      </c>
    </row>
    <row r="1094" spans="1:17" x14ac:dyDescent="0.25">
      <c r="A1094">
        <v>1559</v>
      </c>
      <c r="C1094" t="s">
        <v>2508</v>
      </c>
      <c r="E1094" t="s">
        <v>1561</v>
      </c>
      <c r="F1094" s="4">
        <v>0</v>
      </c>
      <c r="G1094" s="4">
        <v>0</v>
      </c>
      <c r="H1094" s="4">
        <v>0</v>
      </c>
      <c r="I1094" s="4">
        <v>0</v>
      </c>
      <c r="J1094" s="4">
        <v>240</v>
      </c>
      <c r="K1094" s="4">
        <v>1580</v>
      </c>
      <c r="L1094" s="4">
        <v>970</v>
      </c>
      <c r="M1094" s="4">
        <v>1180</v>
      </c>
      <c r="N1094" s="4">
        <f>SUM(Table1[[#This Row],[2025]:[2018]])</f>
        <v>3970</v>
      </c>
      <c r="O1094" s="2">
        <f>Table1[[#This Row],[ttl]]/SUM(Table1[ttl])</f>
        <v>8.0052230613023803E-6</v>
      </c>
      <c r="P1094" s="3">
        <f>SUM($O$2:Table1[[#This Row],[pctAllTimeExp]])</f>
        <v>0.99740883493874688</v>
      </c>
      <c r="Q1094" t="b">
        <f>Table1[[#This Row],[cumPctAllTimeExp]]&lt;0.95</f>
        <v>0</v>
      </c>
    </row>
    <row r="1095" spans="1:17" x14ac:dyDescent="0.25">
      <c r="A1095">
        <v>851</v>
      </c>
      <c r="C1095" t="s">
        <v>2508</v>
      </c>
      <c r="E1095" t="s">
        <v>853</v>
      </c>
      <c r="F1095" s="4">
        <v>0</v>
      </c>
      <c r="G1095" s="4">
        <v>720</v>
      </c>
      <c r="H1095" s="4">
        <v>1125</v>
      </c>
      <c r="I1095" s="4">
        <v>0</v>
      </c>
      <c r="J1095" s="4">
        <v>0</v>
      </c>
      <c r="K1095" s="4">
        <v>910</v>
      </c>
      <c r="L1095" s="4">
        <v>1197</v>
      </c>
      <c r="M1095" s="4">
        <v>0</v>
      </c>
      <c r="N1095" s="4">
        <f>SUM(Table1[[#This Row],[2025]:[2018]])</f>
        <v>3952</v>
      </c>
      <c r="O1095" s="2">
        <f>Table1[[#This Row],[ttl]]/SUM(Table1[ttl])</f>
        <v>7.9689273396138552E-6</v>
      </c>
      <c r="P1095" s="3">
        <f>SUM($O$2:Table1[[#This Row],[pctAllTimeExp]])</f>
        <v>0.99741680386608644</v>
      </c>
      <c r="Q1095" t="b">
        <f>Table1[[#This Row],[cumPctAllTimeExp]]&lt;0.95</f>
        <v>0</v>
      </c>
    </row>
    <row r="1096" spans="1:17" x14ac:dyDescent="0.25">
      <c r="A1096">
        <v>881</v>
      </c>
      <c r="C1096" t="s">
        <v>2508</v>
      </c>
      <c r="E1096" t="s">
        <v>883</v>
      </c>
      <c r="F1096" s="4">
        <v>0</v>
      </c>
      <c r="G1096" s="4">
        <v>450</v>
      </c>
      <c r="H1096" s="4">
        <v>450</v>
      </c>
      <c r="I1096" s="4">
        <v>150</v>
      </c>
      <c r="J1096" s="4">
        <v>0</v>
      </c>
      <c r="K1096" s="4">
        <v>1200</v>
      </c>
      <c r="L1096" s="4">
        <v>800</v>
      </c>
      <c r="M1096" s="4">
        <v>900</v>
      </c>
      <c r="N1096" s="4">
        <f>SUM(Table1[[#This Row],[2025]:[2018]])</f>
        <v>3950</v>
      </c>
      <c r="O1096" s="2">
        <f>Table1[[#This Row],[ttl]]/SUM(Table1[ttl])</f>
        <v>7.9648944816484625E-6</v>
      </c>
      <c r="P1096" s="3">
        <f>SUM($O$2:Table1[[#This Row],[pctAllTimeExp]])</f>
        <v>0.99742476876056807</v>
      </c>
      <c r="Q1096" t="b">
        <f>Table1[[#This Row],[cumPctAllTimeExp]]&lt;0.95</f>
        <v>0</v>
      </c>
    </row>
    <row r="1097" spans="1:17" x14ac:dyDescent="0.25">
      <c r="A1097">
        <v>1245</v>
      </c>
      <c r="C1097" t="s">
        <v>2508</v>
      </c>
      <c r="E1097" t="s">
        <v>1247</v>
      </c>
      <c r="F1097" s="4">
        <v>0</v>
      </c>
      <c r="G1097" s="4">
        <v>0</v>
      </c>
      <c r="H1097" s="4">
        <v>0</v>
      </c>
      <c r="I1097" s="4">
        <v>3935</v>
      </c>
      <c r="J1097" s="4">
        <v>0</v>
      </c>
      <c r="K1097" s="4">
        <v>0</v>
      </c>
      <c r="L1097" s="4">
        <v>0</v>
      </c>
      <c r="M1097" s="4">
        <v>0</v>
      </c>
      <c r="N1097" s="4">
        <f>SUM(Table1[[#This Row],[2025]:[2018]])</f>
        <v>3935</v>
      </c>
      <c r="O1097" s="2">
        <f>Table1[[#This Row],[ttl]]/SUM(Table1[ttl])</f>
        <v>7.9346480469080255E-6</v>
      </c>
      <c r="P1097" s="3">
        <f>SUM($O$2:Table1[[#This Row],[pctAllTimeExp]])</f>
        <v>0.99743270340861501</v>
      </c>
      <c r="Q1097" t="b">
        <f>Table1[[#This Row],[cumPctAllTimeExp]]&lt;0.95</f>
        <v>0</v>
      </c>
    </row>
    <row r="1098" spans="1:17" x14ac:dyDescent="0.25">
      <c r="A1098">
        <v>2291</v>
      </c>
      <c r="C1098" t="s">
        <v>2508</v>
      </c>
      <c r="E1098" t="s">
        <v>2293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3912</v>
      </c>
      <c r="N1098" s="4">
        <f>SUM(Table1[[#This Row],[2025]:[2018]])</f>
        <v>3912</v>
      </c>
      <c r="O1098" s="2">
        <f>Table1[[#This Row],[ttl]]/SUM(Table1[ttl])</f>
        <v>7.888270180306023E-6</v>
      </c>
      <c r="P1098" s="3">
        <f>SUM($O$2:Table1[[#This Row],[pctAllTimeExp]])</f>
        <v>0.99744059167879529</v>
      </c>
      <c r="Q1098" t="b">
        <f>Table1[[#This Row],[cumPctAllTimeExp]]&lt;0.95</f>
        <v>0</v>
      </c>
    </row>
    <row r="1099" spans="1:17" x14ac:dyDescent="0.25">
      <c r="A1099">
        <v>2020</v>
      </c>
      <c r="C1099" t="s">
        <v>2508</v>
      </c>
      <c r="E1099" t="s">
        <v>2022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3908.57</v>
      </c>
      <c r="M1099" s="4">
        <v>0</v>
      </c>
      <c r="N1099" s="4">
        <f>SUM(Table1[[#This Row],[2025]:[2018]])</f>
        <v>3908.57</v>
      </c>
      <c r="O1099" s="2">
        <f>Table1[[#This Row],[ttl]]/SUM(Table1[ttl])</f>
        <v>7.8813538288953768E-6</v>
      </c>
      <c r="P1099" s="3">
        <f>SUM($O$2:Table1[[#This Row],[pctAllTimeExp]])</f>
        <v>0.99744847303262418</v>
      </c>
      <c r="Q1099" t="b">
        <f>Table1[[#This Row],[cumPctAllTimeExp]]&lt;0.95</f>
        <v>0</v>
      </c>
    </row>
    <row r="1100" spans="1:17" x14ac:dyDescent="0.25">
      <c r="A1100">
        <v>778</v>
      </c>
      <c r="C1100" t="s">
        <v>2508</v>
      </c>
      <c r="E1100" t="s">
        <v>780</v>
      </c>
      <c r="F1100" s="4">
        <v>0</v>
      </c>
      <c r="G1100" s="4">
        <v>3900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f>SUM(Table1[[#This Row],[2025]:[2018]])</f>
        <v>3900</v>
      </c>
      <c r="O1100" s="2">
        <f>Table1[[#This Row],[ttl]]/SUM(Table1[ttl])</f>
        <v>7.8640730325136724E-6</v>
      </c>
      <c r="P1100" s="3">
        <f>SUM($O$2:Table1[[#This Row],[pctAllTimeExp]])</f>
        <v>0.99745633710565673</v>
      </c>
      <c r="Q1100" t="b">
        <f>Table1[[#This Row],[cumPctAllTimeExp]]&lt;0.95</f>
        <v>0</v>
      </c>
    </row>
    <row r="1101" spans="1:17" x14ac:dyDescent="0.25">
      <c r="A1101">
        <v>878</v>
      </c>
      <c r="C1101" t="s">
        <v>2508</v>
      </c>
      <c r="E1101" t="s">
        <v>880</v>
      </c>
      <c r="F1101" s="4">
        <v>0</v>
      </c>
      <c r="G1101" s="4">
        <v>477.45</v>
      </c>
      <c r="H1101" s="4">
        <v>0</v>
      </c>
      <c r="I1101" s="4">
        <v>0</v>
      </c>
      <c r="J1101" s="4">
        <v>0</v>
      </c>
      <c r="K1101" s="4">
        <v>0</v>
      </c>
      <c r="L1101" s="4">
        <v>3405.96</v>
      </c>
      <c r="M1101" s="4">
        <v>0</v>
      </c>
      <c r="N1101" s="4">
        <f>SUM(Table1[[#This Row],[2025]:[2018]])</f>
        <v>3883.41</v>
      </c>
      <c r="O1101" s="2">
        <f>Table1[[#This Row],[ttl]]/SUM(Table1[ttl])</f>
        <v>7.8306204756907493E-6</v>
      </c>
      <c r="P1101" s="3">
        <f>SUM($O$2:Table1[[#This Row],[pctAllTimeExp]])</f>
        <v>0.99746416772613244</v>
      </c>
      <c r="Q1101" t="b">
        <f>Table1[[#This Row],[cumPctAllTimeExp]]&lt;0.95</f>
        <v>0</v>
      </c>
    </row>
    <row r="1102" spans="1:17" x14ac:dyDescent="0.25">
      <c r="A1102">
        <v>325</v>
      </c>
      <c r="C1102" t="s">
        <v>2508</v>
      </c>
      <c r="E1102" t="s">
        <v>327</v>
      </c>
      <c r="F1102" s="4">
        <v>3868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f>SUM(Table1[[#This Row],[2025]:[2018]])</f>
        <v>3868</v>
      </c>
      <c r="O1102" s="2">
        <f>Table1[[#This Row],[ttl]]/SUM(Table1[ttl])</f>
        <v>7.7995473050674073E-6</v>
      </c>
      <c r="P1102" s="3">
        <f>SUM($O$2:Table1[[#This Row],[pctAllTimeExp]])</f>
        <v>0.99747196727343757</v>
      </c>
      <c r="Q1102" t="b">
        <f>Table1[[#This Row],[cumPctAllTimeExp]]&lt;0.95</f>
        <v>0</v>
      </c>
    </row>
    <row r="1103" spans="1:17" x14ac:dyDescent="0.25">
      <c r="A1103">
        <v>1074</v>
      </c>
      <c r="C1103" t="s">
        <v>2508</v>
      </c>
      <c r="E1103" t="s">
        <v>1076</v>
      </c>
      <c r="F1103" s="4">
        <v>0</v>
      </c>
      <c r="G1103" s="4">
        <v>0</v>
      </c>
      <c r="H1103" s="4">
        <v>1515</v>
      </c>
      <c r="I1103" s="4">
        <v>2353</v>
      </c>
      <c r="J1103" s="4">
        <v>0</v>
      </c>
      <c r="K1103" s="4">
        <v>0</v>
      </c>
      <c r="L1103" s="4">
        <v>0</v>
      </c>
      <c r="M1103" s="4">
        <v>0</v>
      </c>
      <c r="N1103" s="4">
        <f>SUM(Table1[[#This Row],[2025]:[2018]])</f>
        <v>3868</v>
      </c>
      <c r="O1103" s="2">
        <f>Table1[[#This Row],[ttl]]/SUM(Table1[ttl])</f>
        <v>7.7995473050674073E-6</v>
      </c>
      <c r="P1103" s="3">
        <f>SUM($O$2:Table1[[#This Row],[pctAllTimeExp]])</f>
        <v>0.99747976682074269</v>
      </c>
      <c r="Q1103" t="b">
        <f>Table1[[#This Row],[cumPctAllTimeExp]]&lt;0.95</f>
        <v>0</v>
      </c>
    </row>
    <row r="1104" spans="1:17" x14ac:dyDescent="0.25">
      <c r="A1104">
        <v>1045</v>
      </c>
      <c r="C1104" t="s">
        <v>2508</v>
      </c>
      <c r="E1104" t="s">
        <v>1047</v>
      </c>
      <c r="F1104" s="4">
        <v>0</v>
      </c>
      <c r="G1104" s="4">
        <v>0</v>
      </c>
      <c r="H1104" s="4">
        <v>3850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f>SUM(Table1[[#This Row],[2025]:[2018]])</f>
        <v>3850</v>
      </c>
      <c r="O1104" s="2">
        <f>Table1[[#This Row],[ttl]]/SUM(Table1[ttl])</f>
        <v>7.7632515833788822E-6</v>
      </c>
      <c r="P1104" s="3">
        <f>SUM($O$2:Table1[[#This Row],[pctAllTimeExp]])</f>
        <v>0.99748753007232605</v>
      </c>
      <c r="Q1104" t="b">
        <f>Table1[[#This Row],[cumPctAllTimeExp]]&lt;0.95</f>
        <v>0</v>
      </c>
    </row>
    <row r="1105" spans="1:17" x14ac:dyDescent="0.25">
      <c r="A1105">
        <v>884</v>
      </c>
      <c r="C1105" t="s">
        <v>2508</v>
      </c>
      <c r="E1105" t="s">
        <v>886</v>
      </c>
      <c r="F1105" s="4">
        <v>0</v>
      </c>
      <c r="G1105" s="4">
        <v>443.75</v>
      </c>
      <c r="H1105" s="4">
        <v>964.89</v>
      </c>
      <c r="I1105" s="4">
        <v>0</v>
      </c>
      <c r="J1105" s="4">
        <v>461.06</v>
      </c>
      <c r="K1105" s="4">
        <v>0</v>
      </c>
      <c r="L1105" s="4">
        <v>0</v>
      </c>
      <c r="M1105" s="4">
        <v>1957.35</v>
      </c>
      <c r="N1105" s="4">
        <f>SUM(Table1[[#This Row],[2025]:[2018]])</f>
        <v>3827.0499999999997</v>
      </c>
      <c r="O1105" s="2">
        <f>Table1[[#This Row],[ttl]]/SUM(Table1[ttl])</f>
        <v>7.7169745382260118E-6</v>
      </c>
      <c r="P1105" s="3">
        <f>SUM($O$2:Table1[[#This Row],[pctAllTimeExp]])</f>
        <v>0.99749524704686432</v>
      </c>
      <c r="Q1105" t="b">
        <f>Table1[[#This Row],[cumPctAllTimeExp]]&lt;0.95</f>
        <v>0</v>
      </c>
    </row>
    <row r="1106" spans="1:17" x14ac:dyDescent="0.25">
      <c r="A1106">
        <v>1046</v>
      </c>
      <c r="C1106" t="s">
        <v>2508</v>
      </c>
      <c r="E1106" t="s">
        <v>1048</v>
      </c>
      <c r="F1106" s="4">
        <v>0</v>
      </c>
      <c r="G1106" s="4">
        <v>0</v>
      </c>
      <c r="H1106" s="4">
        <v>3825.53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f>SUM(Table1[[#This Row],[2025]:[2018]])</f>
        <v>3825.53</v>
      </c>
      <c r="O1106" s="2">
        <f>Table1[[#This Row],[ttl]]/SUM(Table1[ttl])</f>
        <v>7.7139095661723163E-6</v>
      </c>
      <c r="P1106" s="3">
        <f>SUM($O$2:Table1[[#This Row],[pctAllTimeExp]])</f>
        <v>0.99750296095643054</v>
      </c>
      <c r="Q1106" t="b">
        <f>Table1[[#This Row],[cumPctAllTimeExp]]&lt;0.95</f>
        <v>0</v>
      </c>
    </row>
    <row r="1107" spans="1:17" x14ac:dyDescent="0.25">
      <c r="A1107">
        <v>1449</v>
      </c>
      <c r="C1107" t="s">
        <v>2508</v>
      </c>
      <c r="E1107" t="s">
        <v>1451</v>
      </c>
      <c r="F1107" s="4">
        <v>0</v>
      </c>
      <c r="G1107" s="4">
        <v>0</v>
      </c>
      <c r="H1107" s="4">
        <v>0</v>
      </c>
      <c r="I1107" s="4">
        <v>0</v>
      </c>
      <c r="J1107" s="4">
        <v>3825</v>
      </c>
      <c r="K1107" s="4">
        <v>0</v>
      </c>
      <c r="L1107" s="4">
        <v>0</v>
      </c>
      <c r="M1107" s="4">
        <v>0</v>
      </c>
      <c r="N1107" s="4">
        <f>SUM(Table1[[#This Row],[2025]:[2018]])</f>
        <v>3825</v>
      </c>
      <c r="O1107" s="2">
        <f>Table1[[#This Row],[ttl]]/SUM(Table1[ttl])</f>
        <v>7.7128408588114871E-6</v>
      </c>
      <c r="P1107" s="3">
        <f>SUM($O$2:Table1[[#This Row],[pctAllTimeExp]])</f>
        <v>0.9975106737972893</v>
      </c>
      <c r="Q1107" t="b">
        <f>Table1[[#This Row],[cumPctAllTimeExp]]&lt;0.95</f>
        <v>0</v>
      </c>
    </row>
    <row r="1108" spans="1:17" x14ac:dyDescent="0.25">
      <c r="A1108">
        <v>439</v>
      </c>
      <c r="C1108" t="s">
        <v>2508</v>
      </c>
      <c r="E1108" t="s">
        <v>441</v>
      </c>
      <c r="F1108" s="4">
        <v>1300</v>
      </c>
      <c r="G1108" s="4">
        <v>750</v>
      </c>
      <c r="H1108" s="4">
        <v>800</v>
      </c>
      <c r="I1108" s="4">
        <v>0</v>
      </c>
      <c r="J1108" s="4">
        <v>600</v>
      </c>
      <c r="K1108" s="4">
        <v>350</v>
      </c>
      <c r="L1108" s="4">
        <v>0</v>
      </c>
      <c r="M1108" s="4">
        <v>0</v>
      </c>
      <c r="N1108" s="4">
        <f>SUM(Table1[[#This Row],[2025]:[2018]])</f>
        <v>3800</v>
      </c>
      <c r="O1108" s="2">
        <f>Table1[[#This Row],[ttl]]/SUM(Table1[ttl])</f>
        <v>7.662430134244092E-6</v>
      </c>
      <c r="P1108" s="3">
        <f>SUM($O$2:Table1[[#This Row],[pctAllTimeExp]])</f>
        <v>0.99751833622742359</v>
      </c>
      <c r="Q1108" t="b">
        <f>Table1[[#This Row],[cumPctAllTimeExp]]&lt;0.95</f>
        <v>0</v>
      </c>
    </row>
    <row r="1109" spans="1:17" x14ac:dyDescent="0.25">
      <c r="A1109">
        <v>475</v>
      </c>
      <c r="C1109" t="s">
        <v>2508</v>
      </c>
      <c r="E1109" t="s">
        <v>477</v>
      </c>
      <c r="F1109" s="4">
        <v>1000</v>
      </c>
      <c r="G1109" s="4">
        <v>1000</v>
      </c>
      <c r="H1109" s="4">
        <v>1000</v>
      </c>
      <c r="I1109" s="4">
        <v>800</v>
      </c>
      <c r="J1109" s="4">
        <v>0</v>
      </c>
      <c r="K1109" s="4">
        <v>0</v>
      </c>
      <c r="L1109" s="4">
        <v>0</v>
      </c>
      <c r="M1109" s="4">
        <v>0</v>
      </c>
      <c r="N1109" s="4">
        <f>SUM(Table1[[#This Row],[2025]:[2018]])</f>
        <v>3800</v>
      </c>
      <c r="O1109" s="2">
        <f>Table1[[#This Row],[ttl]]/SUM(Table1[ttl])</f>
        <v>7.662430134244092E-6</v>
      </c>
      <c r="P1109" s="3">
        <f>SUM($O$2:Table1[[#This Row],[pctAllTimeExp]])</f>
        <v>0.99752599865755787</v>
      </c>
      <c r="Q1109" t="b">
        <f>Table1[[#This Row],[cumPctAllTimeExp]]&lt;0.95</f>
        <v>0</v>
      </c>
    </row>
    <row r="1110" spans="1:17" x14ac:dyDescent="0.25">
      <c r="A1110">
        <v>579</v>
      </c>
      <c r="C1110" t="s">
        <v>2508</v>
      </c>
      <c r="E1110" t="s">
        <v>581</v>
      </c>
      <c r="F1110" s="4">
        <v>440</v>
      </c>
      <c r="G1110" s="4">
        <v>480</v>
      </c>
      <c r="H1110" s="4">
        <v>480</v>
      </c>
      <c r="I1110" s="4">
        <v>480</v>
      </c>
      <c r="J1110" s="4">
        <v>480</v>
      </c>
      <c r="K1110" s="4">
        <v>480</v>
      </c>
      <c r="L1110" s="4">
        <v>480</v>
      </c>
      <c r="M1110" s="4">
        <v>480</v>
      </c>
      <c r="N1110" s="4">
        <f>SUM(Table1[[#This Row],[2025]:[2018]])</f>
        <v>3800</v>
      </c>
      <c r="O1110" s="2">
        <f>Table1[[#This Row],[ttl]]/SUM(Table1[ttl])</f>
        <v>7.662430134244092E-6</v>
      </c>
      <c r="P1110" s="3">
        <f>SUM($O$2:Table1[[#This Row],[pctAllTimeExp]])</f>
        <v>0.99753366108769215</v>
      </c>
      <c r="Q1110" t="b">
        <f>Table1[[#This Row],[cumPctAllTimeExp]]&lt;0.95</f>
        <v>0</v>
      </c>
    </row>
    <row r="1111" spans="1:17" x14ac:dyDescent="0.25">
      <c r="A1111">
        <v>535</v>
      </c>
      <c r="C1111" t="s">
        <v>2508</v>
      </c>
      <c r="E1111" t="s">
        <v>537</v>
      </c>
      <c r="F1111" s="4">
        <v>598</v>
      </c>
      <c r="G1111" s="4">
        <v>538</v>
      </c>
      <c r="H1111" s="4">
        <v>670</v>
      </c>
      <c r="I1111" s="4">
        <v>765</v>
      </c>
      <c r="J1111" s="4">
        <v>760</v>
      </c>
      <c r="K1111" s="4">
        <v>445</v>
      </c>
      <c r="L1111" s="4">
        <v>0</v>
      </c>
      <c r="M1111" s="4">
        <v>0</v>
      </c>
      <c r="N1111" s="4">
        <f>SUM(Table1[[#This Row],[2025]:[2018]])</f>
        <v>3776</v>
      </c>
      <c r="O1111" s="2">
        <f>Table1[[#This Row],[ttl]]/SUM(Table1[ttl])</f>
        <v>7.6140358386593915E-6</v>
      </c>
      <c r="P1111" s="3">
        <f>SUM($O$2:Table1[[#This Row],[pctAllTimeExp]])</f>
        <v>0.99754127512353086</v>
      </c>
      <c r="Q1111" t="b">
        <f>Table1[[#This Row],[cumPctAllTimeExp]]&lt;0.95</f>
        <v>0</v>
      </c>
    </row>
    <row r="1112" spans="1:17" x14ac:dyDescent="0.25">
      <c r="A1112">
        <v>2040</v>
      </c>
      <c r="C1112" t="s">
        <v>2508</v>
      </c>
      <c r="E1112" t="s">
        <v>2042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2352.16</v>
      </c>
      <c r="M1112" s="4">
        <v>1420.85</v>
      </c>
      <c r="N1112" s="4">
        <f>SUM(Table1[[#This Row],[2025]:[2018]])</f>
        <v>3773.0099999999998</v>
      </c>
      <c r="O1112" s="2">
        <f>Table1[[#This Row],[ttl]]/SUM(Table1[ttl])</f>
        <v>7.6080067160011308E-6</v>
      </c>
      <c r="P1112" s="3">
        <f>SUM($O$2:Table1[[#This Row],[pctAllTimeExp]])</f>
        <v>0.99754888313024681</v>
      </c>
      <c r="Q1112" t="b">
        <f>Table1[[#This Row],[cumPctAllTimeExp]]&lt;0.95</f>
        <v>0</v>
      </c>
    </row>
    <row r="1113" spans="1:17" x14ac:dyDescent="0.25">
      <c r="A1113">
        <v>855</v>
      </c>
      <c r="C1113" t="s">
        <v>2508</v>
      </c>
      <c r="E1113" t="s">
        <v>857</v>
      </c>
      <c r="F1113" s="4">
        <v>0</v>
      </c>
      <c r="G1113" s="4">
        <v>692.42</v>
      </c>
      <c r="H1113" s="4">
        <v>0</v>
      </c>
      <c r="I1113" s="4">
        <v>2033.51</v>
      </c>
      <c r="J1113" s="4">
        <v>1040.99</v>
      </c>
      <c r="K1113" s="4">
        <v>0</v>
      </c>
      <c r="L1113" s="4">
        <v>0</v>
      </c>
      <c r="M1113" s="4">
        <v>0</v>
      </c>
      <c r="N1113" s="4">
        <f>SUM(Table1[[#This Row],[2025]:[2018]])</f>
        <v>3766.92</v>
      </c>
      <c r="O1113" s="2">
        <f>Table1[[#This Row],[ttl]]/SUM(Table1[ttl])</f>
        <v>7.5957266634965136E-6</v>
      </c>
      <c r="P1113" s="3">
        <f>SUM($O$2:Table1[[#This Row],[pctAllTimeExp]])</f>
        <v>0.99755647885691034</v>
      </c>
      <c r="Q1113" t="b">
        <f>Table1[[#This Row],[cumPctAllTimeExp]]&lt;0.95</f>
        <v>0</v>
      </c>
    </row>
    <row r="1114" spans="1:17" x14ac:dyDescent="0.25">
      <c r="A1114">
        <v>1797</v>
      </c>
      <c r="C1114" t="s">
        <v>2508</v>
      </c>
      <c r="E1114" t="s">
        <v>1799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629.52</v>
      </c>
      <c r="L1114" s="4">
        <v>2099.04</v>
      </c>
      <c r="M1114" s="4">
        <v>1016.4</v>
      </c>
      <c r="N1114" s="4">
        <f>SUM(Table1[[#This Row],[2025]:[2018]])</f>
        <v>3744.96</v>
      </c>
      <c r="O1114" s="2">
        <f>Table1[[#This Row],[ttl]]/SUM(Table1[ttl])</f>
        <v>7.5514458830365138E-6</v>
      </c>
      <c r="P1114" s="3">
        <f>SUM($O$2:Table1[[#This Row],[pctAllTimeExp]])</f>
        <v>0.99756403030279339</v>
      </c>
      <c r="Q1114" t="b">
        <f>Table1[[#This Row],[cumPctAllTimeExp]]&lt;0.95</f>
        <v>0</v>
      </c>
    </row>
    <row r="1115" spans="1:17" x14ac:dyDescent="0.25">
      <c r="A1115">
        <v>1247</v>
      </c>
      <c r="C1115" t="s">
        <v>2508</v>
      </c>
      <c r="E1115" t="s">
        <v>1249</v>
      </c>
      <c r="F1115" s="4">
        <v>0</v>
      </c>
      <c r="G1115" s="4">
        <v>0</v>
      </c>
      <c r="H1115" s="4">
        <v>0</v>
      </c>
      <c r="I1115" s="4">
        <v>3742</v>
      </c>
      <c r="J1115" s="4">
        <v>0</v>
      </c>
      <c r="K1115" s="4">
        <v>0</v>
      </c>
      <c r="L1115" s="4">
        <v>0</v>
      </c>
      <c r="M1115" s="4">
        <v>0</v>
      </c>
      <c r="N1115" s="4">
        <f>SUM(Table1[[#This Row],[2025]:[2018]])</f>
        <v>3742</v>
      </c>
      <c r="O1115" s="2">
        <f>Table1[[#This Row],[ttl]]/SUM(Table1[ttl])</f>
        <v>7.5454772532477338E-6</v>
      </c>
      <c r="P1115" s="3">
        <f>SUM($O$2:Table1[[#This Row],[pctAllTimeExp]])</f>
        <v>0.99757157578004663</v>
      </c>
      <c r="Q1115" t="b">
        <f>Table1[[#This Row],[cumPctAllTimeExp]]&lt;0.95</f>
        <v>0</v>
      </c>
    </row>
    <row r="1116" spans="1:17" x14ac:dyDescent="0.25">
      <c r="A1116">
        <v>328</v>
      </c>
      <c r="C1116" t="s">
        <v>2508</v>
      </c>
      <c r="E1116" t="s">
        <v>330</v>
      </c>
      <c r="F1116" s="4">
        <v>3715.77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f>SUM(Table1[[#This Row],[2025]:[2018]])</f>
        <v>3715.77</v>
      </c>
      <c r="O1116" s="2">
        <f>Table1[[#This Row],[ttl]]/SUM(Table1[ttl])</f>
        <v>7.492586321031623E-6</v>
      </c>
      <c r="P1116" s="3">
        <f>SUM($O$2:Table1[[#This Row],[pctAllTimeExp]])</f>
        <v>0.99757906836636767</v>
      </c>
      <c r="Q1116" t="b">
        <f>Table1[[#This Row],[cumPctAllTimeExp]]&lt;0.95</f>
        <v>0</v>
      </c>
    </row>
    <row r="1117" spans="1:17" x14ac:dyDescent="0.25">
      <c r="A1117">
        <v>397</v>
      </c>
      <c r="C1117" t="s">
        <v>2508</v>
      </c>
      <c r="E1117" t="s">
        <v>399</v>
      </c>
      <c r="F1117" s="4">
        <v>2000</v>
      </c>
      <c r="G1117" s="4">
        <v>1700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f>SUM(Table1[[#This Row],[2025]:[2018]])</f>
        <v>3700</v>
      </c>
      <c r="O1117" s="2">
        <f>Table1[[#This Row],[ttl]]/SUM(Table1[ttl])</f>
        <v>7.4607872359745099E-6</v>
      </c>
      <c r="P1117" s="3">
        <f>SUM($O$2:Table1[[#This Row],[pctAllTimeExp]])</f>
        <v>0.99758652915360368</v>
      </c>
      <c r="Q1117" t="b">
        <f>Table1[[#This Row],[cumPctAllTimeExp]]&lt;0.95</f>
        <v>0</v>
      </c>
    </row>
    <row r="1118" spans="1:17" x14ac:dyDescent="0.25">
      <c r="A1118">
        <v>555</v>
      </c>
      <c r="C1118" t="s">
        <v>2508</v>
      </c>
      <c r="E1118" t="s">
        <v>557</v>
      </c>
      <c r="F1118" s="4">
        <v>500</v>
      </c>
      <c r="G1118" s="4">
        <v>0</v>
      </c>
      <c r="H1118" s="4">
        <v>1000</v>
      </c>
      <c r="I1118" s="4">
        <v>700</v>
      </c>
      <c r="J1118" s="4">
        <v>0</v>
      </c>
      <c r="K1118" s="4">
        <v>500</v>
      </c>
      <c r="L1118" s="4">
        <v>500</v>
      </c>
      <c r="M1118" s="4">
        <v>500</v>
      </c>
      <c r="N1118" s="4">
        <f>SUM(Table1[[#This Row],[2025]:[2018]])</f>
        <v>3700</v>
      </c>
      <c r="O1118" s="2">
        <f>Table1[[#This Row],[ttl]]/SUM(Table1[ttl])</f>
        <v>7.4607872359745099E-6</v>
      </c>
      <c r="P1118" s="3">
        <f>SUM($O$2:Table1[[#This Row],[pctAllTimeExp]])</f>
        <v>0.9975939899408397</v>
      </c>
      <c r="Q1118" t="b">
        <f>Table1[[#This Row],[cumPctAllTimeExp]]&lt;0.95</f>
        <v>0</v>
      </c>
    </row>
    <row r="1119" spans="1:17" x14ac:dyDescent="0.25">
      <c r="A1119">
        <v>2022</v>
      </c>
      <c r="C1119" t="s">
        <v>2508</v>
      </c>
      <c r="E1119" t="s">
        <v>2024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3668</v>
      </c>
      <c r="M1119" s="4">
        <v>0</v>
      </c>
      <c r="N1119" s="4">
        <f>SUM(Table1[[#This Row],[2025]:[2018]])</f>
        <v>3668</v>
      </c>
      <c r="O1119" s="2">
        <f>Table1[[#This Row],[ttl]]/SUM(Table1[ttl])</f>
        <v>7.396261508528244E-6</v>
      </c>
      <c r="P1119" s="3">
        <f>SUM($O$2:Table1[[#This Row],[pctAllTimeExp]])</f>
        <v>0.99760138620234817</v>
      </c>
      <c r="Q1119" t="b">
        <f>Table1[[#This Row],[cumPctAllTimeExp]]&lt;0.95</f>
        <v>0</v>
      </c>
    </row>
    <row r="1120" spans="1:17" x14ac:dyDescent="0.25">
      <c r="A1120">
        <v>1742</v>
      </c>
      <c r="C1120" t="s">
        <v>2508</v>
      </c>
      <c r="E1120" t="s">
        <v>1744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1948.55</v>
      </c>
      <c r="L1120" s="4">
        <v>1353.05</v>
      </c>
      <c r="M1120" s="4">
        <v>317.39999999999998</v>
      </c>
      <c r="N1120" s="4">
        <f>SUM(Table1[[#This Row],[2025]:[2018]])</f>
        <v>3619</v>
      </c>
      <c r="O1120" s="2">
        <f>Table1[[#This Row],[ttl]]/SUM(Table1[ttl])</f>
        <v>7.2974564883761493E-6</v>
      </c>
      <c r="P1120" s="3">
        <f>SUM($O$2:Table1[[#This Row],[pctAllTimeExp]])</f>
        <v>0.99760868365883659</v>
      </c>
      <c r="Q1120" t="b">
        <f>Table1[[#This Row],[cumPctAllTimeExp]]&lt;0.95</f>
        <v>0</v>
      </c>
    </row>
    <row r="1121" spans="1:17" x14ac:dyDescent="0.25">
      <c r="A1121">
        <v>2023</v>
      </c>
      <c r="C1121" t="s">
        <v>2508</v>
      </c>
      <c r="E1121" t="s">
        <v>2025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3607</v>
      </c>
      <c r="M1121" s="4">
        <v>0</v>
      </c>
      <c r="N1121" s="4">
        <f>SUM(Table1[[#This Row],[2025]:[2018]])</f>
        <v>3607</v>
      </c>
      <c r="O1121" s="2">
        <f>Table1[[#This Row],[ttl]]/SUM(Table1[ttl])</f>
        <v>7.2732593405837994E-6</v>
      </c>
      <c r="P1121" s="3">
        <f>SUM($O$2:Table1[[#This Row],[pctAllTimeExp]])</f>
        <v>0.99761595691817717</v>
      </c>
      <c r="Q1121" t="b">
        <f>Table1[[#This Row],[cumPctAllTimeExp]]&lt;0.95</f>
        <v>0</v>
      </c>
    </row>
    <row r="1122" spans="1:17" x14ac:dyDescent="0.25">
      <c r="A1122">
        <v>455</v>
      </c>
      <c r="C1122" t="s">
        <v>2508</v>
      </c>
      <c r="E1122" t="s">
        <v>457</v>
      </c>
      <c r="F1122" s="4">
        <v>1200</v>
      </c>
      <c r="G1122" s="4">
        <v>600</v>
      </c>
      <c r="H1122" s="4">
        <v>1200</v>
      </c>
      <c r="I1122" s="4">
        <v>0</v>
      </c>
      <c r="J1122" s="4">
        <v>0</v>
      </c>
      <c r="K1122" s="4">
        <v>600</v>
      </c>
      <c r="L1122" s="4">
        <v>0</v>
      </c>
      <c r="M1122" s="4">
        <v>0</v>
      </c>
      <c r="N1122" s="4">
        <f>SUM(Table1[[#This Row],[2025]:[2018]])</f>
        <v>3600</v>
      </c>
      <c r="O1122" s="2">
        <f>Table1[[#This Row],[ttl]]/SUM(Table1[ttl])</f>
        <v>7.2591443377049287E-6</v>
      </c>
      <c r="P1122" s="3">
        <f>SUM($O$2:Table1[[#This Row],[pctAllTimeExp]])</f>
        <v>0.99762321606251492</v>
      </c>
      <c r="Q1122" t="b">
        <f>Table1[[#This Row],[cumPctAllTimeExp]]&lt;0.95</f>
        <v>0</v>
      </c>
    </row>
    <row r="1123" spans="1:17" x14ac:dyDescent="0.25">
      <c r="A1123">
        <v>467</v>
      </c>
      <c r="C1123" t="s">
        <v>2508</v>
      </c>
      <c r="E1123" t="s">
        <v>469</v>
      </c>
      <c r="F1123" s="4">
        <v>1050</v>
      </c>
      <c r="G1123" s="4">
        <v>1000</v>
      </c>
      <c r="H1123" s="4">
        <v>0</v>
      </c>
      <c r="I1123" s="4">
        <v>300</v>
      </c>
      <c r="J1123" s="4">
        <v>1250</v>
      </c>
      <c r="K1123" s="4">
        <v>0</v>
      </c>
      <c r="L1123" s="4">
        <v>0</v>
      </c>
      <c r="M1123" s="4">
        <v>0</v>
      </c>
      <c r="N1123" s="4">
        <f>SUM(Table1[[#This Row],[2025]:[2018]])</f>
        <v>3600</v>
      </c>
      <c r="O1123" s="2">
        <f>Table1[[#This Row],[ttl]]/SUM(Table1[ttl])</f>
        <v>7.2591443377049287E-6</v>
      </c>
      <c r="P1123" s="3">
        <f>SUM($O$2:Table1[[#This Row],[pctAllTimeExp]])</f>
        <v>0.99763047520685266</v>
      </c>
      <c r="Q1123" t="b">
        <f>Table1[[#This Row],[cumPctAllTimeExp]]&lt;0.95</f>
        <v>0</v>
      </c>
    </row>
    <row r="1124" spans="1:17" x14ac:dyDescent="0.25">
      <c r="A1124">
        <v>2024</v>
      </c>
      <c r="C1124" t="s">
        <v>2508</v>
      </c>
      <c r="E1124" t="s">
        <v>2026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3600</v>
      </c>
      <c r="M1124" s="4">
        <v>0</v>
      </c>
      <c r="N1124" s="4">
        <f>SUM(Table1[[#This Row],[2025]:[2018]])</f>
        <v>3600</v>
      </c>
      <c r="O1124" s="2">
        <f>Table1[[#This Row],[ttl]]/SUM(Table1[ttl])</f>
        <v>7.2591443377049287E-6</v>
      </c>
      <c r="P1124" s="3">
        <f>SUM($O$2:Table1[[#This Row],[pctAllTimeExp]])</f>
        <v>0.99763773435119041</v>
      </c>
      <c r="Q1124" t="b">
        <f>Table1[[#This Row],[cumPctAllTimeExp]]&lt;0.95</f>
        <v>0</v>
      </c>
    </row>
    <row r="1125" spans="1:17" x14ac:dyDescent="0.25">
      <c r="A1125">
        <v>2025</v>
      </c>
      <c r="C1125" t="s">
        <v>2508</v>
      </c>
      <c r="E1125" t="s">
        <v>2027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3600</v>
      </c>
      <c r="M1125" s="4">
        <v>0</v>
      </c>
      <c r="N1125" s="4">
        <f>SUM(Table1[[#This Row],[2025]:[2018]])</f>
        <v>3600</v>
      </c>
      <c r="O1125" s="2">
        <f>Table1[[#This Row],[ttl]]/SUM(Table1[ttl])</f>
        <v>7.2591443377049287E-6</v>
      </c>
      <c r="P1125" s="3">
        <f>SUM($O$2:Table1[[#This Row],[pctAllTimeExp]])</f>
        <v>0.99764499349552815</v>
      </c>
      <c r="Q1125" t="b">
        <f>Table1[[#This Row],[cumPctAllTimeExp]]&lt;0.95</f>
        <v>0</v>
      </c>
    </row>
    <row r="1126" spans="1:17" x14ac:dyDescent="0.25">
      <c r="A1126">
        <v>331</v>
      </c>
      <c r="C1126" t="s">
        <v>2508</v>
      </c>
      <c r="E1126" t="s">
        <v>333</v>
      </c>
      <c r="F1126" s="4">
        <v>3591.38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f>SUM(Table1[[#This Row],[2025]:[2018]])</f>
        <v>3591.38</v>
      </c>
      <c r="O1126" s="2">
        <f>Table1[[#This Row],[ttl]]/SUM(Table1[ttl])</f>
        <v>7.2417627198740912E-6</v>
      </c>
      <c r="P1126" s="3">
        <f>SUM($O$2:Table1[[#This Row],[pctAllTimeExp]])</f>
        <v>0.99765223525824798</v>
      </c>
      <c r="Q1126" t="b">
        <f>Table1[[#This Row],[cumPctAllTimeExp]]&lt;0.95</f>
        <v>0</v>
      </c>
    </row>
    <row r="1127" spans="1:17" x14ac:dyDescent="0.25">
      <c r="A1127">
        <v>332</v>
      </c>
      <c r="C1127" t="s">
        <v>2508</v>
      </c>
      <c r="E1127" t="s">
        <v>334</v>
      </c>
      <c r="F1127" s="4">
        <v>3581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f>SUM(Table1[[#This Row],[2025]:[2018]])</f>
        <v>3581</v>
      </c>
      <c r="O1127" s="2">
        <f>Table1[[#This Row],[ttl]]/SUM(Table1[ttl])</f>
        <v>7.220832187033708E-6</v>
      </c>
      <c r="P1127" s="3">
        <f>SUM($O$2:Table1[[#This Row],[pctAllTimeExp]])</f>
        <v>0.99765945609043505</v>
      </c>
      <c r="Q1127" t="b">
        <f>Table1[[#This Row],[cumPctAllTimeExp]]&lt;0.95</f>
        <v>0</v>
      </c>
    </row>
    <row r="1128" spans="1:17" x14ac:dyDescent="0.25">
      <c r="A1128">
        <v>2026</v>
      </c>
      <c r="C1128" t="s">
        <v>2508</v>
      </c>
      <c r="E1128" t="s">
        <v>2028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3575</v>
      </c>
      <c r="M1128" s="4">
        <v>0</v>
      </c>
      <c r="N1128" s="4">
        <f>SUM(Table1[[#This Row],[2025]:[2018]])</f>
        <v>3575</v>
      </c>
      <c r="O1128" s="2">
        <f>Table1[[#This Row],[ttl]]/SUM(Table1[ttl])</f>
        <v>7.2087336131375336E-6</v>
      </c>
      <c r="P1128" s="3">
        <f>SUM($O$2:Table1[[#This Row],[pctAllTimeExp]])</f>
        <v>0.9976666648240482</v>
      </c>
      <c r="Q1128" t="b">
        <f>Table1[[#This Row],[cumPctAllTimeExp]]&lt;0.95</f>
        <v>0</v>
      </c>
    </row>
    <row r="1129" spans="1:17" x14ac:dyDescent="0.25">
      <c r="A1129">
        <v>1733</v>
      </c>
      <c r="C1129" t="s">
        <v>2508</v>
      </c>
      <c r="E1129" t="s">
        <v>1735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2575.42</v>
      </c>
      <c r="L1129" s="4">
        <v>775.92</v>
      </c>
      <c r="M1129" s="4">
        <v>220</v>
      </c>
      <c r="N1129" s="4">
        <f>SUM(Table1[[#This Row],[2025]:[2018]])</f>
        <v>3571.34</v>
      </c>
      <c r="O1129" s="2">
        <f>Table1[[#This Row],[ttl]]/SUM(Table1[ttl])</f>
        <v>7.2013534830608671E-6</v>
      </c>
      <c r="P1129" s="3">
        <f>SUM($O$2:Table1[[#This Row],[pctAllTimeExp]])</f>
        <v>0.99767386617753129</v>
      </c>
      <c r="Q1129" t="b">
        <f>Table1[[#This Row],[cumPctAllTimeExp]]&lt;0.95</f>
        <v>0</v>
      </c>
    </row>
    <row r="1130" spans="1:17" x14ac:dyDescent="0.25">
      <c r="A1130">
        <v>1539</v>
      </c>
      <c r="C1130" t="s">
        <v>2508</v>
      </c>
      <c r="E1130" t="s">
        <v>1541</v>
      </c>
      <c r="F1130" s="4">
        <v>0</v>
      </c>
      <c r="G1130" s="4">
        <v>0</v>
      </c>
      <c r="H1130" s="4">
        <v>0</v>
      </c>
      <c r="I1130" s="4">
        <v>0</v>
      </c>
      <c r="J1130" s="4">
        <v>328.5</v>
      </c>
      <c r="K1130" s="4">
        <v>963.5</v>
      </c>
      <c r="L1130" s="4">
        <v>1292</v>
      </c>
      <c r="M1130" s="4">
        <v>965</v>
      </c>
      <c r="N1130" s="4">
        <f>SUM(Table1[[#This Row],[2025]:[2018]])</f>
        <v>3549</v>
      </c>
      <c r="O1130" s="2">
        <f>Table1[[#This Row],[ttl]]/SUM(Table1[ttl])</f>
        <v>7.1563064595874421E-6</v>
      </c>
      <c r="P1130" s="3">
        <f>SUM($O$2:Table1[[#This Row],[pctAllTimeExp]])</f>
        <v>0.99768102248399082</v>
      </c>
      <c r="Q1130" t="b">
        <f>Table1[[#This Row],[cumPctAllTimeExp]]&lt;0.95</f>
        <v>0</v>
      </c>
    </row>
    <row r="1131" spans="1:17" x14ac:dyDescent="0.25">
      <c r="A1131">
        <v>2066</v>
      </c>
      <c r="C1131" t="s">
        <v>2508</v>
      </c>
      <c r="E1131" t="s">
        <v>2068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1350.75</v>
      </c>
      <c r="M1131" s="4">
        <v>2196.2399999999998</v>
      </c>
      <c r="N1131" s="4">
        <f>SUM(Table1[[#This Row],[2025]:[2018]])</f>
        <v>3546.99</v>
      </c>
      <c r="O1131" s="2">
        <f>Table1[[#This Row],[ttl]]/SUM(Table1[ttl])</f>
        <v>7.1522534373322229E-6</v>
      </c>
      <c r="P1131" s="3">
        <f>SUM($O$2:Table1[[#This Row],[pctAllTimeExp]])</f>
        <v>0.9976881747374281</v>
      </c>
      <c r="Q1131" t="b">
        <f>Table1[[#This Row],[cumPctAllTimeExp]]&lt;0.95</f>
        <v>0</v>
      </c>
    </row>
    <row r="1132" spans="1:17" x14ac:dyDescent="0.25">
      <c r="A1132">
        <v>2156</v>
      </c>
      <c r="C1132" t="s">
        <v>2508</v>
      </c>
      <c r="E1132" t="s">
        <v>2158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279</v>
      </c>
      <c r="M1132" s="4">
        <v>3245</v>
      </c>
      <c r="N1132" s="4">
        <f>SUM(Table1[[#This Row],[2025]:[2018]])</f>
        <v>3524</v>
      </c>
      <c r="O1132" s="2">
        <f>Table1[[#This Row],[ttl]]/SUM(Table1[ttl])</f>
        <v>7.105895735020047E-6</v>
      </c>
      <c r="P1132" s="3">
        <f>SUM($O$2:Table1[[#This Row],[pctAllTimeExp]])</f>
        <v>0.99769528063316315</v>
      </c>
      <c r="Q1132" t="b">
        <f>Table1[[#This Row],[cumPctAllTimeExp]]&lt;0.95</f>
        <v>0</v>
      </c>
    </row>
    <row r="1133" spans="1:17" x14ac:dyDescent="0.25">
      <c r="A1133">
        <v>2027</v>
      </c>
      <c r="C1133" t="s">
        <v>2508</v>
      </c>
      <c r="E1133" t="s">
        <v>2029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3516.58</v>
      </c>
      <c r="M1133" s="4">
        <v>0</v>
      </c>
      <c r="N1133" s="4">
        <f>SUM(Table1[[#This Row],[2025]:[2018]])</f>
        <v>3516.58</v>
      </c>
      <c r="O1133" s="2">
        <f>Table1[[#This Row],[ttl]]/SUM(Table1[ttl])</f>
        <v>7.0909338319684439E-6</v>
      </c>
      <c r="P1133" s="3">
        <f>SUM($O$2:Table1[[#This Row],[pctAllTimeExp]])</f>
        <v>0.99770237156699515</v>
      </c>
      <c r="Q1133" t="b">
        <f>Table1[[#This Row],[cumPctAllTimeExp]]&lt;0.95</f>
        <v>0</v>
      </c>
    </row>
    <row r="1134" spans="1:17" x14ac:dyDescent="0.25">
      <c r="A1134">
        <v>1723</v>
      </c>
      <c r="C1134" t="s">
        <v>2508</v>
      </c>
      <c r="E1134" t="s">
        <v>1725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3507.9</v>
      </c>
      <c r="L1134" s="4">
        <v>0</v>
      </c>
      <c r="M1134" s="4">
        <v>0</v>
      </c>
      <c r="N1134" s="4">
        <f>SUM(Table1[[#This Row],[2025]:[2018]])</f>
        <v>3507.9</v>
      </c>
      <c r="O1134" s="2">
        <f>Table1[[#This Row],[ttl]]/SUM(Table1[ttl])</f>
        <v>7.0734312283986443E-6</v>
      </c>
      <c r="P1134" s="3">
        <f>SUM($O$2:Table1[[#This Row],[pctAllTimeExp]])</f>
        <v>0.99770944499822356</v>
      </c>
      <c r="Q1134" t="b">
        <f>Table1[[#This Row],[cumPctAllTimeExp]]&lt;0.95</f>
        <v>0</v>
      </c>
    </row>
    <row r="1135" spans="1:17" x14ac:dyDescent="0.25">
      <c r="A1135">
        <v>396</v>
      </c>
      <c r="C1135" t="s">
        <v>2508</v>
      </c>
      <c r="E1135" t="s">
        <v>398</v>
      </c>
      <c r="F1135" s="4">
        <v>2000</v>
      </c>
      <c r="G1135" s="4">
        <v>0</v>
      </c>
      <c r="H1135" s="4">
        <v>0</v>
      </c>
      <c r="I1135" s="4">
        <v>200</v>
      </c>
      <c r="J1135" s="4">
        <v>1304.7</v>
      </c>
      <c r="K1135" s="4">
        <v>0</v>
      </c>
      <c r="L1135" s="4">
        <v>0</v>
      </c>
      <c r="M1135" s="4">
        <v>0</v>
      </c>
      <c r="N1135" s="4">
        <f>SUM(Table1[[#This Row],[2025]:[2018]])</f>
        <v>3504.7</v>
      </c>
      <c r="O1135" s="2">
        <f>Table1[[#This Row],[ttl]]/SUM(Table1[ttl])</f>
        <v>7.0669786556540175E-6</v>
      </c>
      <c r="P1135" s="3">
        <f>SUM($O$2:Table1[[#This Row],[pctAllTimeExp]])</f>
        <v>0.99771651197687916</v>
      </c>
      <c r="Q1135" t="b">
        <f>Table1[[#This Row],[cumPctAllTimeExp]]&lt;0.95</f>
        <v>0</v>
      </c>
    </row>
    <row r="1136" spans="1:17" x14ac:dyDescent="0.25">
      <c r="A1136">
        <v>1048</v>
      </c>
      <c r="C1136" t="s">
        <v>2508</v>
      </c>
      <c r="E1136" t="s">
        <v>1050</v>
      </c>
      <c r="F1136" s="4">
        <v>0</v>
      </c>
      <c r="G1136" s="4">
        <v>0</v>
      </c>
      <c r="H1136" s="4">
        <v>3500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f>SUM(Table1[[#This Row],[2025]:[2018]])</f>
        <v>3500</v>
      </c>
      <c r="O1136" s="2">
        <f>Table1[[#This Row],[ttl]]/SUM(Table1[ttl])</f>
        <v>7.0575014394353474E-6</v>
      </c>
      <c r="P1136" s="3">
        <f>SUM($O$2:Table1[[#This Row],[pctAllTimeExp]])</f>
        <v>0.99772356947831864</v>
      </c>
      <c r="Q1136" t="b">
        <f>Table1[[#This Row],[cumPctAllTimeExp]]&lt;0.95</f>
        <v>0</v>
      </c>
    </row>
    <row r="1137" spans="1:17" x14ac:dyDescent="0.25">
      <c r="A1137">
        <v>1451</v>
      </c>
      <c r="C1137" t="s">
        <v>2508</v>
      </c>
      <c r="E1137" t="s">
        <v>1453</v>
      </c>
      <c r="F1137" s="4">
        <v>0</v>
      </c>
      <c r="G1137" s="4">
        <v>0</v>
      </c>
      <c r="H1137" s="4">
        <v>0</v>
      </c>
      <c r="I1137" s="4">
        <v>0</v>
      </c>
      <c r="J1137" s="4">
        <v>3500</v>
      </c>
      <c r="K1137" s="4">
        <v>0</v>
      </c>
      <c r="L1137" s="4">
        <v>0</v>
      </c>
      <c r="M1137" s="4">
        <v>0</v>
      </c>
      <c r="N1137" s="4">
        <f>SUM(Table1[[#This Row],[2025]:[2018]])</f>
        <v>3500</v>
      </c>
      <c r="O1137" s="2">
        <f>Table1[[#This Row],[ttl]]/SUM(Table1[ttl])</f>
        <v>7.0575014394353474E-6</v>
      </c>
      <c r="P1137" s="3">
        <f>SUM($O$2:Table1[[#This Row],[pctAllTimeExp]])</f>
        <v>0.99773062697975812</v>
      </c>
      <c r="Q1137" t="b">
        <f>Table1[[#This Row],[cumPctAllTimeExp]]&lt;0.95</f>
        <v>0</v>
      </c>
    </row>
    <row r="1138" spans="1:17" x14ac:dyDescent="0.25">
      <c r="A1138">
        <v>1452</v>
      </c>
      <c r="C1138" t="s">
        <v>2508</v>
      </c>
      <c r="E1138" t="s">
        <v>1454</v>
      </c>
      <c r="F1138" s="4">
        <v>0</v>
      </c>
      <c r="G1138" s="4">
        <v>0</v>
      </c>
      <c r="H1138" s="4">
        <v>0</v>
      </c>
      <c r="I1138" s="4">
        <v>0</v>
      </c>
      <c r="J1138" s="4">
        <v>3500</v>
      </c>
      <c r="K1138" s="4">
        <v>0</v>
      </c>
      <c r="L1138" s="4">
        <v>0</v>
      </c>
      <c r="M1138" s="4">
        <v>0</v>
      </c>
      <c r="N1138" s="4">
        <f>SUM(Table1[[#This Row],[2025]:[2018]])</f>
        <v>3500</v>
      </c>
      <c r="O1138" s="2">
        <f>Table1[[#This Row],[ttl]]/SUM(Table1[ttl])</f>
        <v>7.0575014394353474E-6</v>
      </c>
      <c r="P1138" s="3">
        <f>SUM($O$2:Table1[[#This Row],[pctAllTimeExp]])</f>
        <v>0.9977376844811976</v>
      </c>
      <c r="Q1138" t="b">
        <f>Table1[[#This Row],[cumPctAllTimeExp]]&lt;0.95</f>
        <v>0</v>
      </c>
    </row>
    <row r="1139" spans="1:17" x14ac:dyDescent="0.25">
      <c r="A1139">
        <v>1453</v>
      </c>
      <c r="C1139" t="s">
        <v>2508</v>
      </c>
      <c r="E1139" t="s">
        <v>1455</v>
      </c>
      <c r="F1139" s="4">
        <v>0</v>
      </c>
      <c r="G1139" s="4">
        <v>0</v>
      </c>
      <c r="H1139" s="4">
        <v>0</v>
      </c>
      <c r="I1139" s="4">
        <v>0</v>
      </c>
      <c r="J1139" s="4">
        <v>3500</v>
      </c>
      <c r="K1139" s="4">
        <v>0</v>
      </c>
      <c r="L1139" s="4">
        <v>0</v>
      </c>
      <c r="M1139" s="4">
        <v>0</v>
      </c>
      <c r="N1139" s="4">
        <f>SUM(Table1[[#This Row],[2025]:[2018]])</f>
        <v>3500</v>
      </c>
      <c r="O1139" s="2">
        <f>Table1[[#This Row],[ttl]]/SUM(Table1[ttl])</f>
        <v>7.0575014394353474E-6</v>
      </c>
      <c r="P1139" s="3">
        <f>SUM($O$2:Table1[[#This Row],[pctAllTimeExp]])</f>
        <v>0.99774474198263707</v>
      </c>
      <c r="Q1139" t="b">
        <f>Table1[[#This Row],[cumPctAllTimeExp]]&lt;0.95</f>
        <v>0</v>
      </c>
    </row>
    <row r="1140" spans="1:17" x14ac:dyDescent="0.25">
      <c r="A1140">
        <v>2292</v>
      </c>
      <c r="C1140" t="s">
        <v>2508</v>
      </c>
      <c r="E1140" t="s">
        <v>2294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3500</v>
      </c>
      <c r="N1140" s="4">
        <f>SUM(Table1[[#This Row],[2025]:[2018]])</f>
        <v>3500</v>
      </c>
      <c r="O1140" s="2">
        <f>Table1[[#This Row],[ttl]]/SUM(Table1[ttl])</f>
        <v>7.0575014394353474E-6</v>
      </c>
      <c r="P1140" s="3">
        <f>SUM($O$2:Table1[[#This Row],[pctAllTimeExp]])</f>
        <v>0.99775179948407655</v>
      </c>
      <c r="Q1140" t="b">
        <f>Table1[[#This Row],[cumPctAllTimeExp]]&lt;0.95</f>
        <v>0</v>
      </c>
    </row>
    <row r="1141" spans="1:17" x14ac:dyDescent="0.25">
      <c r="A1141">
        <v>781</v>
      </c>
      <c r="C1141" t="s">
        <v>2508</v>
      </c>
      <c r="E1141" t="s">
        <v>783</v>
      </c>
      <c r="F1141" s="4">
        <v>0</v>
      </c>
      <c r="G1141" s="4">
        <v>3486.4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f>SUM(Table1[[#This Row],[2025]:[2018]])</f>
        <v>3486.4</v>
      </c>
      <c r="O1141" s="2">
        <f>Table1[[#This Row],[ttl]]/SUM(Table1[ttl])</f>
        <v>7.0300780052706842E-6</v>
      </c>
      <c r="P1141" s="3">
        <f>SUM($O$2:Table1[[#This Row],[pctAllTimeExp]])</f>
        <v>0.99775882956208184</v>
      </c>
      <c r="Q1141" t="b">
        <f>Table1[[#This Row],[cumPctAllTimeExp]]&lt;0.95</f>
        <v>0</v>
      </c>
    </row>
    <row r="1142" spans="1:17" x14ac:dyDescent="0.25">
      <c r="A1142">
        <v>1049</v>
      </c>
      <c r="C1142" t="s">
        <v>2508</v>
      </c>
      <c r="E1142" t="s">
        <v>1051</v>
      </c>
      <c r="F1142" s="4">
        <v>0</v>
      </c>
      <c r="G1142" s="4">
        <v>0</v>
      </c>
      <c r="H1142" s="4">
        <v>3480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f>SUM(Table1[[#This Row],[2025]:[2018]])</f>
        <v>3480</v>
      </c>
      <c r="O1142" s="2">
        <f>Table1[[#This Row],[ttl]]/SUM(Table1[ttl])</f>
        <v>7.0171728597814313E-6</v>
      </c>
      <c r="P1142" s="3">
        <f>SUM($O$2:Table1[[#This Row],[pctAllTimeExp]])</f>
        <v>0.99776584673494162</v>
      </c>
      <c r="Q1142" t="b">
        <f>Table1[[#This Row],[cumPctAllTimeExp]]&lt;0.95</f>
        <v>0</v>
      </c>
    </row>
    <row r="1143" spans="1:17" x14ac:dyDescent="0.25">
      <c r="A1143">
        <v>1066</v>
      </c>
      <c r="C1143" t="s">
        <v>2508</v>
      </c>
      <c r="E1143" t="s">
        <v>1068</v>
      </c>
      <c r="F1143" s="4">
        <v>0</v>
      </c>
      <c r="G1143" s="4">
        <v>0</v>
      </c>
      <c r="H1143" s="4">
        <v>2149</v>
      </c>
      <c r="I1143" s="4">
        <v>738</v>
      </c>
      <c r="J1143" s="4">
        <v>587</v>
      </c>
      <c r="K1143" s="4">
        <v>0</v>
      </c>
      <c r="L1143" s="4">
        <v>0</v>
      </c>
      <c r="M1143" s="4">
        <v>0</v>
      </c>
      <c r="N1143" s="4">
        <f>SUM(Table1[[#This Row],[2025]:[2018]])</f>
        <v>3474</v>
      </c>
      <c r="O1143" s="2">
        <f>Table1[[#This Row],[ttl]]/SUM(Table1[ttl])</f>
        <v>7.005074285885256E-6</v>
      </c>
      <c r="P1143" s="3">
        <f>SUM($O$2:Table1[[#This Row],[pctAllTimeExp]])</f>
        <v>0.99777285180922748</v>
      </c>
      <c r="Q1143" t="b">
        <f>Table1[[#This Row],[cumPctAllTimeExp]]&lt;0.95</f>
        <v>0</v>
      </c>
    </row>
    <row r="1144" spans="1:17" x14ac:dyDescent="0.25">
      <c r="A1144">
        <v>2293</v>
      </c>
      <c r="C1144" t="s">
        <v>2508</v>
      </c>
      <c r="E1144" t="s">
        <v>2295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3470.39</v>
      </c>
      <c r="N1144" s="4">
        <f>SUM(Table1[[#This Row],[2025]:[2018]])</f>
        <v>3470.39</v>
      </c>
      <c r="O1144" s="2">
        <f>Table1[[#This Row],[ttl]]/SUM(Table1[ttl])</f>
        <v>6.9977949772577242E-6</v>
      </c>
      <c r="P1144" s="3">
        <f>SUM($O$2:Table1[[#This Row],[pctAllTimeExp]])</f>
        <v>0.99777984960420474</v>
      </c>
      <c r="Q1144" t="b">
        <f>Table1[[#This Row],[cumPctAllTimeExp]]&lt;0.95</f>
        <v>0</v>
      </c>
    </row>
    <row r="1145" spans="1:17" x14ac:dyDescent="0.25">
      <c r="A1145">
        <v>336</v>
      </c>
      <c r="C1145" t="s">
        <v>2508</v>
      </c>
      <c r="E1145" t="s">
        <v>338</v>
      </c>
      <c r="F1145" s="4">
        <v>3460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f>SUM(Table1[[#This Row],[2025]:[2018]])</f>
        <v>3460</v>
      </c>
      <c r="O1145" s="2">
        <f>Table1[[#This Row],[ttl]]/SUM(Table1[ttl])</f>
        <v>6.9768442801275144E-6</v>
      </c>
      <c r="P1145" s="3">
        <f>SUM($O$2:Table1[[#This Row],[pctAllTimeExp]])</f>
        <v>0.99778682644848482</v>
      </c>
      <c r="Q1145" t="b">
        <f>Table1[[#This Row],[cumPctAllTimeExp]]&lt;0.95</f>
        <v>0</v>
      </c>
    </row>
    <row r="1146" spans="1:17" x14ac:dyDescent="0.25">
      <c r="A1146">
        <v>582</v>
      </c>
      <c r="C1146" t="s">
        <v>2508</v>
      </c>
      <c r="E1146" t="s">
        <v>584</v>
      </c>
      <c r="F1146" s="4">
        <v>435.5</v>
      </c>
      <c r="G1146" s="4">
        <v>0</v>
      </c>
      <c r="H1146" s="4">
        <v>1780.5</v>
      </c>
      <c r="I1146" s="4">
        <v>0</v>
      </c>
      <c r="J1146" s="4">
        <v>0</v>
      </c>
      <c r="K1146" s="4">
        <v>0</v>
      </c>
      <c r="L1146" s="4">
        <v>0</v>
      </c>
      <c r="M1146" s="4">
        <v>1200</v>
      </c>
      <c r="N1146" s="4">
        <f>SUM(Table1[[#This Row],[2025]:[2018]])</f>
        <v>3416</v>
      </c>
      <c r="O1146" s="2">
        <f>Table1[[#This Row],[ttl]]/SUM(Table1[ttl])</f>
        <v>6.8881214048888987E-6</v>
      </c>
      <c r="P1146" s="3">
        <f>SUM($O$2:Table1[[#This Row],[pctAllTimeExp]])</f>
        <v>0.99779371456988974</v>
      </c>
      <c r="Q1146" t="b">
        <f>Table1[[#This Row],[cumPctAllTimeExp]]&lt;0.95</f>
        <v>0</v>
      </c>
    </row>
    <row r="1147" spans="1:17" x14ac:dyDescent="0.25">
      <c r="A1147">
        <v>1454</v>
      </c>
      <c r="C1147" t="s">
        <v>2508</v>
      </c>
      <c r="E1147" t="s">
        <v>1456</v>
      </c>
      <c r="F1147" s="4">
        <v>0</v>
      </c>
      <c r="G1147" s="4">
        <v>0</v>
      </c>
      <c r="H1147" s="4">
        <v>0</v>
      </c>
      <c r="I1147" s="4">
        <v>0</v>
      </c>
      <c r="J1147" s="4">
        <v>3400</v>
      </c>
      <c r="K1147" s="4">
        <v>0</v>
      </c>
      <c r="L1147" s="4">
        <v>0</v>
      </c>
      <c r="M1147" s="4">
        <v>0</v>
      </c>
      <c r="N1147" s="4">
        <f>SUM(Table1[[#This Row],[2025]:[2018]])</f>
        <v>3400</v>
      </c>
      <c r="O1147" s="2">
        <f>Table1[[#This Row],[ttl]]/SUM(Table1[ttl])</f>
        <v>6.8558585411657662E-6</v>
      </c>
      <c r="P1147" s="3">
        <f>SUM($O$2:Table1[[#This Row],[pctAllTimeExp]])</f>
        <v>0.99780057042843096</v>
      </c>
      <c r="Q1147" t="b">
        <f>Table1[[#This Row],[cumPctAllTimeExp]]&lt;0.95</f>
        <v>0</v>
      </c>
    </row>
    <row r="1148" spans="1:17" x14ac:dyDescent="0.25">
      <c r="A1148">
        <v>1776</v>
      </c>
      <c r="C1148" t="s">
        <v>2508</v>
      </c>
      <c r="E1148" t="s">
        <v>1778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900</v>
      </c>
      <c r="L1148" s="4">
        <v>2500</v>
      </c>
      <c r="M1148" s="4">
        <v>0</v>
      </c>
      <c r="N1148" s="4">
        <f>SUM(Table1[[#This Row],[2025]:[2018]])</f>
        <v>3400</v>
      </c>
      <c r="O1148" s="2">
        <f>Table1[[#This Row],[ttl]]/SUM(Table1[ttl])</f>
        <v>6.8558585411657662E-6</v>
      </c>
      <c r="P1148" s="3">
        <f>SUM($O$2:Table1[[#This Row],[pctAllTimeExp]])</f>
        <v>0.99780742628697217</v>
      </c>
      <c r="Q1148" t="b">
        <f>Table1[[#This Row],[cumPctAllTimeExp]]&lt;0.95</f>
        <v>0</v>
      </c>
    </row>
    <row r="1149" spans="1:17" x14ac:dyDescent="0.25">
      <c r="A1149">
        <v>2294</v>
      </c>
      <c r="C1149" t="s">
        <v>2508</v>
      </c>
      <c r="E1149" t="s">
        <v>2296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3400</v>
      </c>
      <c r="N1149" s="4">
        <f>SUM(Table1[[#This Row],[2025]:[2018]])</f>
        <v>3400</v>
      </c>
      <c r="O1149" s="2">
        <f>Table1[[#This Row],[ttl]]/SUM(Table1[ttl])</f>
        <v>6.8558585411657662E-6</v>
      </c>
      <c r="P1149" s="3">
        <f>SUM($O$2:Table1[[#This Row],[pctAllTimeExp]])</f>
        <v>0.99781428214551338</v>
      </c>
      <c r="Q1149" t="b">
        <f>Table1[[#This Row],[cumPctAllTimeExp]]&lt;0.95</f>
        <v>0</v>
      </c>
    </row>
    <row r="1150" spans="1:17" x14ac:dyDescent="0.25">
      <c r="A1150">
        <v>823</v>
      </c>
      <c r="C1150" t="s">
        <v>2508</v>
      </c>
      <c r="E1150" t="s">
        <v>825</v>
      </c>
      <c r="F1150" s="4">
        <v>0</v>
      </c>
      <c r="G1150" s="4">
        <v>1290</v>
      </c>
      <c r="H1150" s="4">
        <v>2099.13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f>SUM(Table1[[#This Row],[2025]:[2018]])</f>
        <v>3389.13</v>
      </c>
      <c r="O1150" s="2">
        <f>Table1[[#This Row],[ttl]]/SUM(Table1[ttl])</f>
        <v>6.8339399581238627E-6</v>
      </c>
      <c r="P1150" s="3">
        <f>SUM($O$2:Table1[[#This Row],[pctAllTimeExp]])</f>
        <v>0.99782111608547153</v>
      </c>
      <c r="Q1150" t="b">
        <f>Table1[[#This Row],[cumPctAllTimeExp]]&lt;0.95</f>
        <v>0</v>
      </c>
    </row>
    <row r="1151" spans="1:17" x14ac:dyDescent="0.25">
      <c r="A1151">
        <v>1455</v>
      </c>
      <c r="C1151" t="s">
        <v>2508</v>
      </c>
      <c r="E1151" t="s">
        <v>1457</v>
      </c>
      <c r="F1151" s="4">
        <v>0</v>
      </c>
      <c r="G1151" s="4">
        <v>0</v>
      </c>
      <c r="H1151" s="4">
        <v>0</v>
      </c>
      <c r="I1151" s="4">
        <v>0</v>
      </c>
      <c r="J1151" s="4">
        <v>3381</v>
      </c>
      <c r="K1151" s="4">
        <v>0</v>
      </c>
      <c r="L1151" s="4">
        <v>0</v>
      </c>
      <c r="M1151" s="4">
        <v>0</v>
      </c>
      <c r="N1151" s="4">
        <f>SUM(Table1[[#This Row],[2025]:[2018]])</f>
        <v>3381</v>
      </c>
      <c r="O1151" s="2">
        <f>Table1[[#This Row],[ttl]]/SUM(Table1[ttl])</f>
        <v>6.8175463904945456E-6</v>
      </c>
      <c r="P1151" s="3">
        <f>SUM($O$2:Table1[[#This Row],[pctAllTimeExp]])</f>
        <v>0.99782793363186206</v>
      </c>
      <c r="Q1151" t="b">
        <f>Table1[[#This Row],[cumPctAllTimeExp]]&lt;0.95</f>
        <v>0</v>
      </c>
    </row>
    <row r="1152" spans="1:17" x14ac:dyDescent="0.25">
      <c r="A1152">
        <v>605</v>
      </c>
      <c r="C1152" t="s">
        <v>2508</v>
      </c>
      <c r="E1152" t="s">
        <v>607</v>
      </c>
      <c r="F1152" s="4">
        <v>320</v>
      </c>
      <c r="G1152" s="4">
        <v>328</v>
      </c>
      <c r="H1152" s="4">
        <v>0</v>
      </c>
      <c r="I1152" s="4">
        <v>460</v>
      </c>
      <c r="J1152" s="4">
        <v>156</v>
      </c>
      <c r="K1152" s="4">
        <v>188</v>
      </c>
      <c r="L1152" s="4">
        <v>1099</v>
      </c>
      <c r="M1152" s="4">
        <v>824</v>
      </c>
      <c r="N1152" s="4">
        <f>SUM(Table1[[#This Row],[2025]:[2018]])</f>
        <v>3375</v>
      </c>
      <c r="O1152" s="2">
        <f>Table1[[#This Row],[ttl]]/SUM(Table1[ttl])</f>
        <v>6.8054478165983702E-6</v>
      </c>
      <c r="P1152" s="3">
        <f>SUM($O$2:Table1[[#This Row],[pctAllTimeExp]])</f>
        <v>0.99783473907967868</v>
      </c>
      <c r="Q1152" t="b">
        <f>Table1[[#This Row],[cumPctAllTimeExp]]&lt;0.95</f>
        <v>0</v>
      </c>
    </row>
    <row r="1153" spans="1:17" x14ac:dyDescent="0.25">
      <c r="A1153">
        <v>659</v>
      </c>
      <c r="C1153" t="s">
        <v>2508</v>
      </c>
      <c r="E1153" t="s">
        <v>661</v>
      </c>
      <c r="F1153" s="4">
        <v>120</v>
      </c>
      <c r="G1153" s="4">
        <v>360</v>
      </c>
      <c r="H1153" s="4">
        <v>480</v>
      </c>
      <c r="I1153" s="4">
        <v>480</v>
      </c>
      <c r="J1153" s="4">
        <v>480</v>
      </c>
      <c r="K1153" s="4">
        <v>480</v>
      </c>
      <c r="L1153" s="4">
        <v>480</v>
      </c>
      <c r="M1153" s="4">
        <v>480</v>
      </c>
      <c r="N1153" s="4">
        <f>SUM(Table1[[#This Row],[2025]:[2018]])</f>
        <v>3360</v>
      </c>
      <c r="O1153" s="2">
        <f>Table1[[#This Row],[ttl]]/SUM(Table1[ttl])</f>
        <v>6.7752013818579332E-6</v>
      </c>
      <c r="P1153" s="3">
        <f>SUM($O$2:Table1[[#This Row],[pctAllTimeExp]])</f>
        <v>0.99784151428106049</v>
      </c>
      <c r="Q1153" t="b">
        <f>Table1[[#This Row],[cumPctAllTimeExp]]&lt;0.95</f>
        <v>0</v>
      </c>
    </row>
    <row r="1154" spans="1:17" x14ac:dyDescent="0.25">
      <c r="A1154">
        <v>1120</v>
      </c>
      <c r="C1154" t="s">
        <v>2508</v>
      </c>
      <c r="E1154" t="s">
        <v>1122</v>
      </c>
      <c r="F1154" s="4">
        <v>0</v>
      </c>
      <c r="G1154" s="4">
        <v>0</v>
      </c>
      <c r="H1154" s="4">
        <v>509.99</v>
      </c>
      <c r="I1154" s="4">
        <v>614.16</v>
      </c>
      <c r="J1154" s="4">
        <v>730.21</v>
      </c>
      <c r="K1154" s="4">
        <v>360</v>
      </c>
      <c r="L1154" s="4">
        <v>613.67999999999995</v>
      </c>
      <c r="M1154" s="4">
        <v>507.96</v>
      </c>
      <c r="N1154" s="4">
        <f>SUM(Table1[[#This Row],[2025]:[2018]])</f>
        <v>3336</v>
      </c>
      <c r="O1154" s="2">
        <f>Table1[[#This Row],[ttl]]/SUM(Table1[ttl])</f>
        <v>6.7268070862732336E-6</v>
      </c>
      <c r="P1154" s="3">
        <f>SUM($O$2:Table1[[#This Row],[pctAllTimeExp]])</f>
        <v>0.99784824108814674</v>
      </c>
      <c r="Q1154" t="b">
        <f>Table1[[#This Row],[cumPctAllTimeExp]]&lt;0.95</f>
        <v>0</v>
      </c>
    </row>
    <row r="1155" spans="1:17" x14ac:dyDescent="0.25">
      <c r="A1155">
        <v>1071</v>
      </c>
      <c r="C1155" t="s">
        <v>2508</v>
      </c>
      <c r="E1155" t="s">
        <v>1073</v>
      </c>
      <c r="F1155" s="4">
        <v>0</v>
      </c>
      <c r="G1155" s="4">
        <v>0</v>
      </c>
      <c r="H1155" s="4">
        <v>1733.37</v>
      </c>
      <c r="I1155" s="4">
        <v>0</v>
      </c>
      <c r="J1155" s="4">
        <v>0</v>
      </c>
      <c r="K1155" s="4">
        <v>1602.6</v>
      </c>
      <c r="L1155" s="4">
        <v>0</v>
      </c>
      <c r="M1155" s="4">
        <v>0</v>
      </c>
      <c r="N1155" s="4">
        <f>SUM(Table1[[#This Row],[2025]:[2018]])</f>
        <v>3335.97</v>
      </c>
      <c r="O1155" s="2">
        <f>Table1[[#This Row],[ttl]]/SUM(Table1[ttl])</f>
        <v>6.7267465934037529E-6</v>
      </c>
      <c r="P1155" s="3">
        <f>SUM($O$2:Table1[[#This Row],[pctAllTimeExp]])</f>
        <v>0.99785496783474015</v>
      </c>
      <c r="Q1155" t="b">
        <f>Table1[[#This Row],[cumPctAllTimeExp]]&lt;0.95</f>
        <v>0</v>
      </c>
    </row>
    <row r="1156" spans="1:17" x14ac:dyDescent="0.25">
      <c r="A1156">
        <v>1184</v>
      </c>
      <c r="C1156" t="s">
        <v>2508</v>
      </c>
      <c r="E1156" t="s">
        <v>1186</v>
      </c>
      <c r="F1156" s="4">
        <v>0</v>
      </c>
      <c r="G1156" s="4">
        <v>0</v>
      </c>
      <c r="H1156" s="4">
        <v>57.3</v>
      </c>
      <c r="I1156" s="4">
        <v>758.79</v>
      </c>
      <c r="J1156" s="4">
        <v>1679.1</v>
      </c>
      <c r="K1156" s="4">
        <v>0</v>
      </c>
      <c r="L1156" s="4">
        <v>0</v>
      </c>
      <c r="M1156" s="4">
        <v>839</v>
      </c>
      <c r="N1156" s="4">
        <f>SUM(Table1[[#This Row],[2025]:[2018]])</f>
        <v>3334.1899999999996</v>
      </c>
      <c r="O1156" s="2">
        <f>Table1[[#This Row],[ttl]]/SUM(Table1[ttl])</f>
        <v>6.7231573498145539E-6</v>
      </c>
      <c r="P1156" s="3">
        <f>SUM($O$2:Table1[[#This Row],[pctAllTimeExp]])</f>
        <v>0.99786169099208999</v>
      </c>
      <c r="Q1156" t="b">
        <f>Table1[[#This Row],[cumPctAllTimeExp]]&lt;0.95</f>
        <v>0</v>
      </c>
    </row>
    <row r="1157" spans="1:17" x14ac:dyDescent="0.25">
      <c r="A1157">
        <v>2028</v>
      </c>
      <c r="C1157" t="s">
        <v>2508</v>
      </c>
      <c r="E1157" t="s">
        <v>2030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3305</v>
      </c>
      <c r="M1157" s="4">
        <v>0</v>
      </c>
      <c r="N1157" s="4">
        <f>SUM(Table1[[#This Row],[2025]:[2018]])</f>
        <v>3305</v>
      </c>
      <c r="O1157" s="2">
        <f>Table1[[#This Row],[ttl]]/SUM(Table1[ttl])</f>
        <v>6.664297787809664E-6</v>
      </c>
      <c r="P1157" s="3">
        <f>SUM($O$2:Table1[[#This Row],[pctAllTimeExp]])</f>
        <v>0.99786835528987783</v>
      </c>
      <c r="Q1157" t="b">
        <f>Table1[[#This Row],[cumPctAllTimeExp]]&lt;0.95</f>
        <v>0</v>
      </c>
    </row>
    <row r="1158" spans="1:17" x14ac:dyDescent="0.25">
      <c r="A1158">
        <v>862</v>
      </c>
      <c r="C1158" t="s">
        <v>2508</v>
      </c>
      <c r="E1158" t="s">
        <v>864</v>
      </c>
      <c r="F1158" s="4">
        <v>0</v>
      </c>
      <c r="G1158" s="4">
        <v>600</v>
      </c>
      <c r="H1158" s="4">
        <v>1500</v>
      </c>
      <c r="I1158" s="4">
        <v>1150</v>
      </c>
      <c r="J1158" s="4">
        <v>0</v>
      </c>
      <c r="K1158" s="4">
        <v>0</v>
      </c>
      <c r="L1158" s="4">
        <v>0</v>
      </c>
      <c r="M1158" s="4">
        <v>0</v>
      </c>
      <c r="N1158" s="4">
        <f>SUM(Table1[[#This Row],[2025]:[2018]])</f>
        <v>3250</v>
      </c>
      <c r="O1158" s="2">
        <f>Table1[[#This Row],[ttl]]/SUM(Table1[ttl])</f>
        <v>6.5533941937613939E-6</v>
      </c>
      <c r="P1158" s="3">
        <f>SUM($O$2:Table1[[#This Row],[pctAllTimeExp]])</f>
        <v>0.99787490868407158</v>
      </c>
      <c r="Q1158" t="b">
        <f>Table1[[#This Row],[cumPctAllTimeExp]]&lt;0.95</f>
        <v>0</v>
      </c>
    </row>
    <row r="1159" spans="1:17" x14ac:dyDescent="0.25">
      <c r="A1159">
        <v>1086</v>
      </c>
      <c r="C1159" t="s">
        <v>2508</v>
      </c>
      <c r="E1159" t="s">
        <v>1088</v>
      </c>
      <c r="F1159" s="4">
        <v>0</v>
      </c>
      <c r="G1159" s="4">
        <v>0</v>
      </c>
      <c r="H1159" s="4">
        <v>1000</v>
      </c>
      <c r="I1159" s="4">
        <v>900</v>
      </c>
      <c r="J1159" s="4">
        <v>0</v>
      </c>
      <c r="K1159" s="4">
        <v>0</v>
      </c>
      <c r="L1159" s="4">
        <v>1350</v>
      </c>
      <c r="M1159" s="4">
        <v>0</v>
      </c>
      <c r="N1159" s="4">
        <f>SUM(Table1[[#This Row],[2025]:[2018]])</f>
        <v>3250</v>
      </c>
      <c r="O1159" s="2">
        <f>Table1[[#This Row],[ttl]]/SUM(Table1[ttl])</f>
        <v>6.5533941937613939E-6</v>
      </c>
      <c r="P1159" s="3">
        <f>SUM($O$2:Table1[[#This Row],[pctAllTimeExp]])</f>
        <v>0.99788146207826534</v>
      </c>
      <c r="Q1159" t="b">
        <f>Table1[[#This Row],[cumPctAllTimeExp]]&lt;0.95</f>
        <v>0</v>
      </c>
    </row>
    <row r="1160" spans="1:17" x14ac:dyDescent="0.25">
      <c r="A1160">
        <v>2190</v>
      </c>
      <c r="C1160" t="s">
        <v>2508</v>
      </c>
      <c r="E1160" t="s">
        <v>2192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150</v>
      </c>
      <c r="M1160" s="4">
        <v>3090</v>
      </c>
      <c r="N1160" s="4">
        <f>SUM(Table1[[#This Row],[2025]:[2018]])</f>
        <v>3240</v>
      </c>
      <c r="O1160" s="2">
        <f>Table1[[#This Row],[ttl]]/SUM(Table1[ttl])</f>
        <v>6.5332299039344359E-6</v>
      </c>
      <c r="P1160" s="3">
        <f>SUM($O$2:Table1[[#This Row],[pctAllTimeExp]])</f>
        <v>0.9978879953081693</v>
      </c>
      <c r="Q1160" t="b">
        <f>Table1[[#This Row],[cumPctAllTimeExp]]&lt;0.95</f>
        <v>0</v>
      </c>
    </row>
    <row r="1161" spans="1:17" x14ac:dyDescent="0.25">
      <c r="A1161">
        <v>2295</v>
      </c>
      <c r="C1161" t="s">
        <v>2508</v>
      </c>
      <c r="E1161" t="s">
        <v>2297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3240</v>
      </c>
      <c r="N1161" s="4">
        <f>SUM(Table1[[#This Row],[2025]:[2018]])</f>
        <v>3240</v>
      </c>
      <c r="O1161" s="2">
        <f>Table1[[#This Row],[ttl]]/SUM(Table1[ttl])</f>
        <v>6.5332299039344359E-6</v>
      </c>
      <c r="P1161" s="3">
        <f>SUM($O$2:Table1[[#This Row],[pctAllTimeExp]])</f>
        <v>0.99789452853807326</v>
      </c>
      <c r="Q1161" t="b">
        <f>Table1[[#This Row],[cumPctAllTimeExp]]&lt;0.95</f>
        <v>0</v>
      </c>
    </row>
    <row r="1162" spans="1:17" x14ac:dyDescent="0.25">
      <c r="A1162">
        <v>583</v>
      </c>
      <c r="C1162" t="s">
        <v>2508</v>
      </c>
      <c r="E1162" t="s">
        <v>585</v>
      </c>
      <c r="F1162" s="4">
        <v>425</v>
      </c>
      <c r="G1162" s="4">
        <v>425</v>
      </c>
      <c r="H1162" s="4">
        <v>425</v>
      </c>
      <c r="I1162" s="4">
        <v>425</v>
      </c>
      <c r="J1162" s="4">
        <v>450</v>
      </c>
      <c r="K1162" s="4">
        <v>375</v>
      </c>
      <c r="L1162" s="4">
        <v>350</v>
      </c>
      <c r="M1162" s="4">
        <v>350</v>
      </c>
      <c r="N1162" s="4">
        <f>SUM(Table1[[#This Row],[2025]:[2018]])</f>
        <v>3225</v>
      </c>
      <c r="O1162" s="2">
        <f>Table1[[#This Row],[ttl]]/SUM(Table1[ttl])</f>
        <v>6.5029834691939988E-6</v>
      </c>
      <c r="P1162" s="3">
        <f>SUM($O$2:Table1[[#This Row],[pctAllTimeExp]])</f>
        <v>0.99790103152154241</v>
      </c>
      <c r="Q1162" t="b">
        <f>Table1[[#This Row],[cumPctAllTimeExp]]&lt;0.95</f>
        <v>0</v>
      </c>
    </row>
    <row r="1163" spans="1:17" x14ac:dyDescent="0.25">
      <c r="A1163">
        <v>1725</v>
      </c>
      <c r="C1163" t="s">
        <v>2508</v>
      </c>
      <c r="E1163" t="s">
        <v>1727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3215</v>
      </c>
      <c r="L1163" s="4">
        <v>0</v>
      </c>
      <c r="M1163" s="4">
        <v>0</v>
      </c>
      <c r="N1163" s="4">
        <f>SUM(Table1[[#This Row],[2025]:[2018]])</f>
        <v>3215</v>
      </c>
      <c r="O1163" s="2">
        <f>Table1[[#This Row],[ttl]]/SUM(Table1[ttl])</f>
        <v>6.4828191793670408E-6</v>
      </c>
      <c r="P1163" s="3">
        <f>SUM($O$2:Table1[[#This Row],[pctAllTimeExp]])</f>
        <v>0.99790751434072178</v>
      </c>
      <c r="Q1163" t="b">
        <f>Table1[[#This Row],[cumPctAllTimeExp]]&lt;0.95</f>
        <v>0</v>
      </c>
    </row>
    <row r="1164" spans="1:17" x14ac:dyDescent="0.25">
      <c r="A1164">
        <v>2296</v>
      </c>
      <c r="C1164" t="s">
        <v>2508</v>
      </c>
      <c r="E1164" t="s">
        <v>2298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3207.93</v>
      </c>
      <c r="N1164" s="4">
        <f>SUM(Table1[[#This Row],[2025]:[2018]])</f>
        <v>3207.93</v>
      </c>
      <c r="O1164" s="2">
        <f>Table1[[#This Row],[ttl]]/SUM(Table1[ttl])</f>
        <v>6.4685630264593804E-6</v>
      </c>
      <c r="P1164" s="3">
        <f>SUM($O$2:Table1[[#This Row],[pctAllTimeExp]])</f>
        <v>0.99791398290374822</v>
      </c>
      <c r="Q1164" t="b">
        <f>Table1[[#This Row],[cumPctAllTimeExp]]&lt;0.95</f>
        <v>0</v>
      </c>
    </row>
    <row r="1165" spans="1:17" x14ac:dyDescent="0.25">
      <c r="A1165">
        <v>594</v>
      </c>
      <c r="C1165" t="s">
        <v>2508</v>
      </c>
      <c r="E1165" t="s">
        <v>596</v>
      </c>
      <c r="F1165" s="4">
        <v>400</v>
      </c>
      <c r="G1165" s="4">
        <v>400</v>
      </c>
      <c r="H1165" s="4">
        <v>400</v>
      </c>
      <c r="I1165" s="4">
        <v>300</v>
      </c>
      <c r="J1165" s="4">
        <v>0</v>
      </c>
      <c r="K1165" s="4">
        <v>700</v>
      </c>
      <c r="L1165" s="4">
        <v>700</v>
      </c>
      <c r="M1165" s="4">
        <v>300</v>
      </c>
      <c r="N1165" s="4">
        <f>SUM(Table1[[#This Row],[2025]:[2018]])</f>
        <v>3200</v>
      </c>
      <c r="O1165" s="2">
        <f>Table1[[#This Row],[ttl]]/SUM(Table1[ttl])</f>
        <v>6.4525727446266029E-6</v>
      </c>
      <c r="P1165" s="3">
        <f>SUM($O$2:Table1[[#This Row],[pctAllTimeExp]])</f>
        <v>0.9979204354764929</v>
      </c>
      <c r="Q1165" t="b">
        <f>Table1[[#This Row],[cumPctAllTimeExp]]&lt;0.95</f>
        <v>0</v>
      </c>
    </row>
    <row r="1166" spans="1:17" x14ac:dyDescent="0.25">
      <c r="A1166">
        <v>847</v>
      </c>
      <c r="C1166" t="s">
        <v>2508</v>
      </c>
      <c r="E1166" t="s">
        <v>849</v>
      </c>
      <c r="F1166" s="4">
        <v>0</v>
      </c>
      <c r="G1166" s="4">
        <v>800</v>
      </c>
      <c r="H1166" s="4">
        <v>1600</v>
      </c>
      <c r="I1166" s="4">
        <v>0</v>
      </c>
      <c r="J1166" s="4">
        <v>800</v>
      </c>
      <c r="K1166" s="4">
        <v>0</v>
      </c>
      <c r="L1166" s="4">
        <v>0</v>
      </c>
      <c r="M1166" s="4">
        <v>0</v>
      </c>
      <c r="N1166" s="4">
        <f>SUM(Table1[[#This Row],[2025]:[2018]])</f>
        <v>3200</v>
      </c>
      <c r="O1166" s="2">
        <f>Table1[[#This Row],[ttl]]/SUM(Table1[ttl])</f>
        <v>6.4525727446266029E-6</v>
      </c>
      <c r="P1166" s="3">
        <f>SUM($O$2:Table1[[#This Row],[pctAllTimeExp]])</f>
        <v>0.99792688804923757</v>
      </c>
      <c r="Q1166" t="b">
        <f>Table1[[#This Row],[cumPctAllTimeExp]]&lt;0.95</f>
        <v>0</v>
      </c>
    </row>
    <row r="1167" spans="1:17" x14ac:dyDescent="0.25">
      <c r="A1167">
        <v>1761</v>
      </c>
      <c r="C1167" t="s">
        <v>2508</v>
      </c>
      <c r="E1167" t="s">
        <v>1763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1400</v>
      </c>
      <c r="L1167" s="4">
        <v>1000</v>
      </c>
      <c r="M1167" s="4">
        <v>800</v>
      </c>
      <c r="N1167" s="4">
        <f>SUM(Table1[[#This Row],[2025]:[2018]])</f>
        <v>3200</v>
      </c>
      <c r="O1167" s="2">
        <f>Table1[[#This Row],[ttl]]/SUM(Table1[ttl])</f>
        <v>6.4525727446266029E-6</v>
      </c>
      <c r="P1167" s="3">
        <f>SUM($O$2:Table1[[#This Row],[pctAllTimeExp]])</f>
        <v>0.99793334062198225</v>
      </c>
      <c r="Q1167" t="b">
        <f>Table1[[#This Row],[cumPctAllTimeExp]]&lt;0.95</f>
        <v>0</v>
      </c>
    </row>
    <row r="1168" spans="1:17" x14ac:dyDescent="0.25">
      <c r="A1168">
        <v>2029</v>
      </c>
      <c r="C1168" t="s">
        <v>2508</v>
      </c>
      <c r="E1168" t="s">
        <v>2031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3200</v>
      </c>
      <c r="M1168" s="4">
        <v>0</v>
      </c>
      <c r="N1168" s="4">
        <f>SUM(Table1[[#This Row],[2025]:[2018]])</f>
        <v>3200</v>
      </c>
      <c r="O1168" s="2">
        <f>Table1[[#This Row],[ttl]]/SUM(Table1[ttl])</f>
        <v>6.4525727446266029E-6</v>
      </c>
      <c r="P1168" s="3">
        <f>SUM($O$2:Table1[[#This Row],[pctAllTimeExp]])</f>
        <v>0.99793979319472692</v>
      </c>
      <c r="Q1168" t="b">
        <f>Table1[[#This Row],[cumPctAllTimeExp]]&lt;0.95</f>
        <v>0</v>
      </c>
    </row>
    <row r="1169" spans="1:17" x14ac:dyDescent="0.25">
      <c r="A1169">
        <v>1747</v>
      </c>
      <c r="C1169" t="s">
        <v>2508</v>
      </c>
      <c r="E1169" t="s">
        <v>1749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1740</v>
      </c>
      <c r="L1169" s="4">
        <v>1440</v>
      </c>
      <c r="M1169" s="4">
        <v>0</v>
      </c>
      <c r="N1169" s="4">
        <f>SUM(Table1[[#This Row],[2025]:[2018]])</f>
        <v>3180</v>
      </c>
      <c r="O1169" s="2">
        <f>Table1[[#This Row],[ttl]]/SUM(Table1[ttl])</f>
        <v>6.4122441649726868E-6</v>
      </c>
      <c r="P1169" s="3">
        <f>SUM($O$2:Table1[[#This Row],[pctAllTimeExp]])</f>
        <v>0.9979462054388919</v>
      </c>
      <c r="Q1169" t="b">
        <f>Table1[[#This Row],[cumPctAllTimeExp]]&lt;0.95</f>
        <v>0</v>
      </c>
    </row>
    <row r="1170" spans="1:17" x14ac:dyDescent="0.25">
      <c r="A1170">
        <v>348</v>
      </c>
      <c r="C1170" t="s">
        <v>2508</v>
      </c>
      <c r="E1170" t="s">
        <v>350</v>
      </c>
      <c r="F1170" s="4">
        <v>3179.25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f>SUM(Table1[[#This Row],[2025]:[2018]])</f>
        <v>3179.25</v>
      </c>
      <c r="O1170" s="2">
        <f>Table1[[#This Row],[ttl]]/SUM(Table1[ttl])</f>
        <v>6.4107318432356648E-6</v>
      </c>
      <c r="P1170" s="3">
        <f>SUM($O$2:Table1[[#This Row],[pctAllTimeExp]])</f>
        <v>0.99795261617073516</v>
      </c>
      <c r="Q1170" t="b">
        <f>Table1[[#This Row],[cumPctAllTimeExp]]&lt;0.95</f>
        <v>0</v>
      </c>
    </row>
    <row r="1171" spans="1:17" x14ac:dyDescent="0.25">
      <c r="A1171">
        <v>2030</v>
      </c>
      <c r="C1171" t="s">
        <v>2508</v>
      </c>
      <c r="E1171" t="s">
        <v>2032</v>
      </c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3171.11</v>
      </c>
      <c r="M1171" s="4">
        <v>0</v>
      </c>
      <c r="N1171" s="4">
        <f>SUM(Table1[[#This Row],[2025]:[2018]])</f>
        <v>3171.11</v>
      </c>
      <c r="O1171" s="2">
        <f>Table1[[#This Row],[ttl]]/SUM(Table1[ttl])</f>
        <v>6.394318111316521E-6</v>
      </c>
      <c r="P1171" s="3">
        <f>SUM($O$2:Table1[[#This Row],[pctAllTimeExp]])</f>
        <v>0.9979590104888465</v>
      </c>
      <c r="Q1171" t="b">
        <f>Table1[[#This Row],[cumPctAllTimeExp]]&lt;0.95</f>
        <v>0</v>
      </c>
    </row>
    <row r="1172" spans="1:17" x14ac:dyDescent="0.25">
      <c r="A1172">
        <v>421</v>
      </c>
      <c r="C1172" t="s">
        <v>2508</v>
      </c>
      <c r="E1172" t="s">
        <v>423</v>
      </c>
      <c r="F1172" s="4">
        <v>1599</v>
      </c>
      <c r="G1172" s="4">
        <v>1559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f>SUM(Table1[[#This Row],[2025]:[2018]])</f>
        <v>3158</v>
      </c>
      <c r="O1172" s="2">
        <f>Table1[[#This Row],[ttl]]/SUM(Table1[ttl])</f>
        <v>6.3678827273533789E-6</v>
      </c>
      <c r="P1172" s="3">
        <f>SUM($O$2:Table1[[#This Row],[pctAllTimeExp]])</f>
        <v>0.99796537837157384</v>
      </c>
      <c r="Q1172" t="b">
        <f>Table1[[#This Row],[cumPctAllTimeExp]]&lt;0.95</f>
        <v>0</v>
      </c>
    </row>
    <row r="1173" spans="1:17" x14ac:dyDescent="0.25">
      <c r="A1173">
        <v>1726</v>
      </c>
      <c r="C1173" t="s">
        <v>2508</v>
      </c>
      <c r="E1173" t="s">
        <v>1728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3125</v>
      </c>
      <c r="L1173" s="4">
        <v>0</v>
      </c>
      <c r="M1173" s="4">
        <v>0</v>
      </c>
      <c r="N1173" s="4">
        <f>SUM(Table1[[#This Row],[2025]:[2018]])</f>
        <v>3125</v>
      </c>
      <c r="O1173" s="2">
        <f>Table1[[#This Row],[ttl]]/SUM(Table1[ttl])</f>
        <v>6.3013405709244167E-6</v>
      </c>
      <c r="P1173" s="3">
        <f>SUM($O$2:Table1[[#This Row],[pctAllTimeExp]])</f>
        <v>0.99797167971214473</v>
      </c>
      <c r="Q1173" t="b">
        <f>Table1[[#This Row],[cumPctAllTimeExp]]&lt;0.95</f>
        <v>0</v>
      </c>
    </row>
    <row r="1174" spans="1:17" x14ac:dyDescent="0.25">
      <c r="A1174">
        <v>564</v>
      </c>
      <c r="C1174" t="s">
        <v>2508</v>
      </c>
      <c r="E1174" t="s">
        <v>566</v>
      </c>
      <c r="F1174" s="4">
        <v>480</v>
      </c>
      <c r="G1174" s="4">
        <v>360</v>
      </c>
      <c r="H1174" s="4">
        <v>360</v>
      </c>
      <c r="I1174" s="4">
        <v>480</v>
      </c>
      <c r="J1174" s="4">
        <v>480</v>
      </c>
      <c r="K1174" s="4">
        <v>480</v>
      </c>
      <c r="L1174" s="4">
        <v>480</v>
      </c>
      <c r="M1174" s="4">
        <v>0</v>
      </c>
      <c r="N1174" s="4">
        <f>SUM(Table1[[#This Row],[2025]:[2018]])</f>
        <v>3120</v>
      </c>
      <c r="O1174" s="2">
        <f>Table1[[#This Row],[ttl]]/SUM(Table1[ttl])</f>
        <v>6.2912584260109377E-6</v>
      </c>
      <c r="P1174" s="3">
        <f>SUM($O$2:Table1[[#This Row],[pctAllTimeExp]])</f>
        <v>0.99797797097057073</v>
      </c>
      <c r="Q1174" t="b">
        <f>Table1[[#This Row],[cumPctAllTimeExp]]&lt;0.95</f>
        <v>0</v>
      </c>
    </row>
    <row r="1175" spans="1:17" x14ac:dyDescent="0.25">
      <c r="A1175">
        <v>515</v>
      </c>
      <c r="C1175" t="s">
        <v>2508</v>
      </c>
      <c r="E1175" t="s">
        <v>517</v>
      </c>
      <c r="F1175" s="4">
        <v>674.39</v>
      </c>
      <c r="G1175" s="4">
        <v>0</v>
      </c>
      <c r="H1175" s="4">
        <v>0</v>
      </c>
      <c r="I1175" s="4">
        <v>0</v>
      </c>
      <c r="J1175" s="4">
        <v>1480.39</v>
      </c>
      <c r="K1175" s="4">
        <v>965.06</v>
      </c>
      <c r="L1175" s="4">
        <v>0</v>
      </c>
      <c r="M1175" s="4">
        <v>0</v>
      </c>
      <c r="N1175" s="4">
        <f>SUM(Table1[[#This Row],[2025]:[2018]])</f>
        <v>3119.84</v>
      </c>
      <c r="O1175" s="2">
        <f>Table1[[#This Row],[ttl]]/SUM(Table1[ttl])</f>
        <v>6.290935797373707E-6</v>
      </c>
      <c r="P1175" s="3">
        <f>SUM($O$2:Table1[[#This Row],[pctAllTimeExp]])</f>
        <v>0.99798426190636813</v>
      </c>
      <c r="Q1175" t="b">
        <f>Table1[[#This Row],[cumPctAllTimeExp]]&lt;0.95</f>
        <v>0</v>
      </c>
    </row>
    <row r="1176" spans="1:17" x14ac:dyDescent="0.25">
      <c r="A1176">
        <v>1072</v>
      </c>
      <c r="C1176" t="s">
        <v>2508</v>
      </c>
      <c r="E1176" t="s">
        <v>1074</v>
      </c>
      <c r="F1176" s="4">
        <v>0</v>
      </c>
      <c r="G1176" s="4">
        <v>0</v>
      </c>
      <c r="H1176" s="4">
        <v>1708.67</v>
      </c>
      <c r="I1176" s="4">
        <v>0</v>
      </c>
      <c r="J1176" s="4">
        <v>1200</v>
      </c>
      <c r="K1176" s="4">
        <v>189</v>
      </c>
      <c r="L1176" s="4">
        <v>0</v>
      </c>
      <c r="M1176" s="4">
        <v>0</v>
      </c>
      <c r="N1176" s="4">
        <f>SUM(Table1[[#This Row],[2025]:[2018]])</f>
        <v>3097.67</v>
      </c>
      <c r="O1176" s="2">
        <f>Table1[[#This Row],[ttl]]/SUM(Table1[ttl])</f>
        <v>6.2462315668273411E-6</v>
      </c>
      <c r="P1176" s="3">
        <f>SUM($O$2:Table1[[#This Row],[pctAllTimeExp]])</f>
        <v>0.997990508137935</v>
      </c>
      <c r="Q1176" t="b">
        <f>Table1[[#This Row],[cumPctAllTimeExp]]&lt;0.95</f>
        <v>0</v>
      </c>
    </row>
    <row r="1177" spans="1:17" x14ac:dyDescent="0.25">
      <c r="A1177">
        <v>1284</v>
      </c>
      <c r="C1177" t="s">
        <v>2508</v>
      </c>
      <c r="E1177" t="s">
        <v>1286</v>
      </c>
      <c r="F1177" s="4">
        <v>0</v>
      </c>
      <c r="G1177" s="4">
        <v>0</v>
      </c>
      <c r="H1177" s="4">
        <v>0</v>
      </c>
      <c r="I1177" s="4">
        <v>910</v>
      </c>
      <c r="J1177" s="4">
        <v>250</v>
      </c>
      <c r="K1177" s="4">
        <v>1075</v>
      </c>
      <c r="L1177" s="4">
        <v>280</v>
      </c>
      <c r="M1177" s="4">
        <v>580</v>
      </c>
      <c r="N1177" s="4">
        <f>SUM(Table1[[#This Row],[2025]:[2018]])</f>
        <v>3095</v>
      </c>
      <c r="O1177" s="2">
        <f>Table1[[#This Row],[ttl]]/SUM(Table1[ttl])</f>
        <v>6.2408477014435426E-6</v>
      </c>
      <c r="P1177" s="3">
        <f>SUM($O$2:Table1[[#This Row],[pctAllTimeExp]])</f>
        <v>0.99799674898563639</v>
      </c>
      <c r="Q1177" t="b">
        <f>Table1[[#This Row],[cumPctAllTimeExp]]&lt;0.95</f>
        <v>0</v>
      </c>
    </row>
    <row r="1178" spans="1:17" x14ac:dyDescent="0.25">
      <c r="A1178">
        <v>566</v>
      </c>
      <c r="C1178" t="s">
        <v>2508</v>
      </c>
      <c r="E1178" t="s">
        <v>568</v>
      </c>
      <c r="F1178" s="4">
        <v>480</v>
      </c>
      <c r="G1178" s="4">
        <v>375.69</v>
      </c>
      <c r="H1178" s="4">
        <v>360</v>
      </c>
      <c r="I1178" s="4">
        <v>548.79999999999995</v>
      </c>
      <c r="J1178" s="4">
        <v>600</v>
      </c>
      <c r="K1178" s="4">
        <v>480</v>
      </c>
      <c r="L1178" s="4">
        <v>240</v>
      </c>
      <c r="M1178" s="4">
        <v>0</v>
      </c>
      <c r="N1178" s="4">
        <f>SUM(Table1[[#This Row],[2025]:[2018]])</f>
        <v>3084.49</v>
      </c>
      <c r="O1178" s="2">
        <f>Table1[[#This Row],[ttl]]/SUM(Table1[ttl])</f>
        <v>6.2196550328354094E-6</v>
      </c>
      <c r="P1178" s="3">
        <f>SUM($O$2:Table1[[#This Row],[pctAllTimeExp]])</f>
        <v>0.99800296864066929</v>
      </c>
      <c r="Q1178" t="b">
        <f>Table1[[#This Row],[cumPctAllTimeExp]]&lt;0.95</f>
        <v>0</v>
      </c>
    </row>
    <row r="1179" spans="1:17" x14ac:dyDescent="0.25">
      <c r="A1179">
        <v>2297</v>
      </c>
      <c r="C1179" t="s">
        <v>2508</v>
      </c>
      <c r="E1179" t="s">
        <v>2299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3079.96</v>
      </c>
      <c r="N1179" s="4">
        <f>SUM(Table1[[#This Row],[2025]:[2018]])</f>
        <v>3079.96</v>
      </c>
      <c r="O1179" s="2">
        <f>Table1[[#This Row],[ttl]]/SUM(Table1[ttl])</f>
        <v>6.2105206095437975E-6</v>
      </c>
      <c r="P1179" s="3">
        <f>SUM($O$2:Table1[[#This Row],[pctAllTimeExp]])</f>
        <v>0.99800917916127885</v>
      </c>
      <c r="Q1179" t="b">
        <f>Table1[[#This Row],[cumPctAllTimeExp]]&lt;0.95</f>
        <v>0</v>
      </c>
    </row>
    <row r="1180" spans="1:17" x14ac:dyDescent="0.25">
      <c r="A1180">
        <v>1051</v>
      </c>
      <c r="C1180" t="s">
        <v>2508</v>
      </c>
      <c r="E1180" t="s">
        <v>1053</v>
      </c>
      <c r="F1180" s="4">
        <v>0</v>
      </c>
      <c r="G1180" s="4">
        <v>0</v>
      </c>
      <c r="H1180" s="4">
        <v>3060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f>SUM(Table1[[#This Row],[2025]:[2018]])</f>
        <v>3060</v>
      </c>
      <c r="O1180" s="2">
        <f>Table1[[#This Row],[ttl]]/SUM(Table1[ttl])</f>
        <v>6.1702726870491895E-6</v>
      </c>
      <c r="P1180" s="3">
        <f>SUM($O$2:Table1[[#This Row],[pctAllTimeExp]])</f>
        <v>0.99801534943396586</v>
      </c>
      <c r="Q1180" t="b">
        <f>Table1[[#This Row],[cumPctAllTimeExp]]&lt;0.95</f>
        <v>0</v>
      </c>
    </row>
    <row r="1181" spans="1:17" x14ac:dyDescent="0.25">
      <c r="A1181">
        <v>1327</v>
      </c>
      <c r="C1181" t="s">
        <v>2508</v>
      </c>
      <c r="E1181" t="s">
        <v>1329</v>
      </c>
      <c r="F1181" s="4">
        <v>0</v>
      </c>
      <c r="G1181" s="4">
        <v>0</v>
      </c>
      <c r="H1181" s="4">
        <v>0</v>
      </c>
      <c r="I1181" s="4">
        <v>350</v>
      </c>
      <c r="J1181" s="4">
        <v>2677</v>
      </c>
      <c r="K1181" s="4">
        <v>0</v>
      </c>
      <c r="L1181" s="4">
        <v>0</v>
      </c>
      <c r="M1181" s="4">
        <v>0</v>
      </c>
      <c r="N1181" s="4">
        <f>SUM(Table1[[#This Row],[2025]:[2018]])</f>
        <v>3027</v>
      </c>
      <c r="O1181" s="2">
        <f>Table1[[#This Row],[ttl]]/SUM(Table1[ttl])</f>
        <v>6.1037305306202273E-6</v>
      </c>
      <c r="P1181" s="3">
        <f>SUM($O$2:Table1[[#This Row],[pctAllTimeExp]])</f>
        <v>0.99802145316449653</v>
      </c>
      <c r="Q1181" t="b">
        <f>Table1[[#This Row],[cumPctAllTimeExp]]&lt;0.95</f>
        <v>0</v>
      </c>
    </row>
    <row r="1182" spans="1:17" x14ac:dyDescent="0.25">
      <c r="A1182">
        <v>817</v>
      </c>
      <c r="C1182" t="s">
        <v>2508</v>
      </c>
      <c r="E1182" t="s">
        <v>819</v>
      </c>
      <c r="F1182" s="4">
        <v>0</v>
      </c>
      <c r="G1182" s="4">
        <v>1500</v>
      </c>
      <c r="H1182" s="4">
        <v>0</v>
      </c>
      <c r="I1182" s="4">
        <v>1515</v>
      </c>
      <c r="J1182" s="4">
        <v>0</v>
      </c>
      <c r="K1182" s="4">
        <v>0</v>
      </c>
      <c r="L1182" s="4">
        <v>0</v>
      </c>
      <c r="M1182" s="4">
        <v>0</v>
      </c>
      <c r="N1182" s="4">
        <f>SUM(Table1[[#This Row],[2025]:[2018]])</f>
        <v>3015</v>
      </c>
      <c r="O1182" s="2">
        <f>Table1[[#This Row],[ttl]]/SUM(Table1[ttl])</f>
        <v>6.0795333828278775E-6</v>
      </c>
      <c r="P1182" s="3">
        <f>SUM($O$2:Table1[[#This Row],[pctAllTimeExp]])</f>
        <v>0.99802753269787936</v>
      </c>
      <c r="Q1182" t="b">
        <f>Table1[[#This Row],[cumPctAllTimeExp]]&lt;0.95</f>
        <v>0</v>
      </c>
    </row>
    <row r="1183" spans="1:17" x14ac:dyDescent="0.25">
      <c r="A1183">
        <v>786</v>
      </c>
      <c r="C1183" t="s">
        <v>2508</v>
      </c>
      <c r="E1183" t="s">
        <v>788</v>
      </c>
      <c r="F1183" s="4">
        <v>0</v>
      </c>
      <c r="G1183" s="4">
        <v>3000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f>SUM(Table1[[#This Row],[2025]:[2018]])</f>
        <v>3000</v>
      </c>
      <c r="O1183" s="2">
        <f>Table1[[#This Row],[ttl]]/SUM(Table1[ttl])</f>
        <v>6.0492869480874404E-6</v>
      </c>
      <c r="P1183" s="3">
        <f>SUM($O$2:Table1[[#This Row],[pctAllTimeExp]])</f>
        <v>0.9980335819848275</v>
      </c>
      <c r="Q1183" t="b">
        <f>Table1[[#This Row],[cumPctAllTimeExp]]&lt;0.95</f>
        <v>0</v>
      </c>
    </row>
    <row r="1184" spans="1:17" x14ac:dyDescent="0.25">
      <c r="A1184">
        <v>1595</v>
      </c>
      <c r="C1184" t="s">
        <v>2508</v>
      </c>
      <c r="E1184" t="s">
        <v>1597</v>
      </c>
      <c r="F1184" s="4">
        <v>0</v>
      </c>
      <c r="G1184" s="4">
        <v>0</v>
      </c>
      <c r="H1184" s="4">
        <v>0</v>
      </c>
      <c r="I1184" s="4">
        <v>0</v>
      </c>
      <c r="J1184" s="4">
        <v>150</v>
      </c>
      <c r="K1184" s="4">
        <v>150</v>
      </c>
      <c r="L1184" s="4">
        <v>1350</v>
      </c>
      <c r="M1184" s="4">
        <v>1350</v>
      </c>
      <c r="N1184" s="4">
        <f>SUM(Table1[[#This Row],[2025]:[2018]])</f>
        <v>3000</v>
      </c>
      <c r="O1184" s="2">
        <f>Table1[[#This Row],[ttl]]/SUM(Table1[ttl])</f>
        <v>6.0492869480874404E-6</v>
      </c>
      <c r="P1184" s="3">
        <f>SUM($O$2:Table1[[#This Row],[pctAllTimeExp]])</f>
        <v>0.99803963127177564</v>
      </c>
      <c r="Q1184" t="b">
        <f>Table1[[#This Row],[cumPctAllTimeExp]]&lt;0.95</f>
        <v>0</v>
      </c>
    </row>
    <row r="1185" spans="1:17" x14ac:dyDescent="0.25">
      <c r="A1185">
        <v>2031</v>
      </c>
      <c r="C1185" t="s">
        <v>2508</v>
      </c>
      <c r="E1185" t="s">
        <v>2033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3000</v>
      </c>
      <c r="M1185" s="4">
        <v>0</v>
      </c>
      <c r="N1185" s="4">
        <f>SUM(Table1[[#This Row],[2025]:[2018]])</f>
        <v>3000</v>
      </c>
      <c r="O1185" s="2">
        <f>Table1[[#This Row],[ttl]]/SUM(Table1[ttl])</f>
        <v>6.0492869480874404E-6</v>
      </c>
      <c r="P1185" s="3">
        <f>SUM($O$2:Table1[[#This Row],[pctAllTimeExp]])</f>
        <v>0.99804568055872378</v>
      </c>
      <c r="Q1185" t="b">
        <f>Table1[[#This Row],[cumPctAllTimeExp]]&lt;0.95</f>
        <v>0</v>
      </c>
    </row>
    <row r="1186" spans="1:17" x14ac:dyDescent="0.25">
      <c r="A1186">
        <v>355</v>
      </c>
      <c r="C1186" t="s">
        <v>2508</v>
      </c>
      <c r="E1186" t="s">
        <v>357</v>
      </c>
      <c r="F1186" s="4">
        <v>2994.62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f>SUM(Table1[[#This Row],[2025]:[2018]])</f>
        <v>2994.62</v>
      </c>
      <c r="O1186" s="2">
        <f>Table1[[#This Row],[ttl]]/SUM(Table1[ttl])</f>
        <v>6.0384385601605371E-6</v>
      </c>
      <c r="P1186" s="3">
        <f>SUM($O$2:Table1[[#This Row],[pctAllTimeExp]])</f>
        <v>0.99805171899728395</v>
      </c>
      <c r="Q1186" t="b">
        <f>Table1[[#This Row],[cumPctAllTimeExp]]&lt;0.95</f>
        <v>0</v>
      </c>
    </row>
    <row r="1187" spans="1:17" x14ac:dyDescent="0.25">
      <c r="A1187">
        <v>2298</v>
      </c>
      <c r="C1187" t="s">
        <v>2508</v>
      </c>
      <c r="E1187" t="s">
        <v>2300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2982.28</v>
      </c>
      <c r="N1187" s="4">
        <f>SUM(Table1[[#This Row],[2025]:[2018]])</f>
        <v>2982.28</v>
      </c>
      <c r="O1187" s="2">
        <f>Table1[[#This Row],[ttl]]/SUM(Table1[ttl])</f>
        <v>6.013555826514071E-6</v>
      </c>
      <c r="P1187" s="3">
        <f>SUM($O$2:Table1[[#This Row],[pctAllTimeExp]])</f>
        <v>0.99805773255311048</v>
      </c>
      <c r="Q1187" t="b">
        <f>Table1[[#This Row],[cumPctAllTimeExp]]&lt;0.95</f>
        <v>0</v>
      </c>
    </row>
    <row r="1188" spans="1:17" x14ac:dyDescent="0.25">
      <c r="A1188">
        <v>420</v>
      </c>
      <c r="C1188" t="s">
        <v>2508</v>
      </c>
      <c r="E1188" t="s">
        <v>422</v>
      </c>
      <c r="F1188" s="4">
        <v>1600</v>
      </c>
      <c r="G1188" s="4">
        <v>0</v>
      </c>
      <c r="H1188" s="4">
        <v>0</v>
      </c>
      <c r="I1188" s="4">
        <v>0</v>
      </c>
      <c r="J1188" s="4">
        <v>0</v>
      </c>
      <c r="K1188" s="4">
        <v>380</v>
      </c>
      <c r="L1188" s="4">
        <v>1000</v>
      </c>
      <c r="M1188" s="4">
        <v>0</v>
      </c>
      <c r="N1188" s="4">
        <f>SUM(Table1[[#This Row],[2025]:[2018]])</f>
        <v>2980</v>
      </c>
      <c r="O1188" s="2">
        <f>Table1[[#This Row],[ttl]]/SUM(Table1[ttl])</f>
        <v>6.0089583684335243E-6</v>
      </c>
      <c r="P1188" s="3">
        <f>SUM($O$2:Table1[[#This Row],[pctAllTimeExp]])</f>
        <v>0.99806374151147892</v>
      </c>
      <c r="Q1188" t="b">
        <f>Table1[[#This Row],[cumPctAllTimeExp]]&lt;0.95</f>
        <v>0</v>
      </c>
    </row>
    <row r="1189" spans="1:17" x14ac:dyDescent="0.25">
      <c r="A1189">
        <v>2299</v>
      </c>
      <c r="C1189" t="s">
        <v>2508</v>
      </c>
      <c r="E1189" t="s">
        <v>2301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2971</v>
      </c>
      <c r="N1189" s="4">
        <f>SUM(Table1[[#This Row],[2025]:[2018]])</f>
        <v>2971</v>
      </c>
      <c r="O1189" s="2">
        <f>Table1[[#This Row],[ttl]]/SUM(Table1[ttl])</f>
        <v>5.9908105075892618E-6</v>
      </c>
      <c r="P1189" s="3">
        <f>SUM($O$2:Table1[[#This Row],[pctAllTimeExp]])</f>
        <v>0.99806973232198648</v>
      </c>
      <c r="Q1189" t="b">
        <f>Table1[[#This Row],[cumPctAllTimeExp]]&lt;0.95</f>
        <v>0</v>
      </c>
    </row>
    <row r="1190" spans="1:17" x14ac:dyDescent="0.25">
      <c r="A1190">
        <v>526</v>
      </c>
      <c r="C1190" t="s">
        <v>2508</v>
      </c>
      <c r="E1190" t="s">
        <v>528</v>
      </c>
      <c r="F1190" s="4">
        <v>608.5</v>
      </c>
      <c r="G1190" s="4">
        <v>2178.5</v>
      </c>
      <c r="H1190" s="4">
        <v>180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f>SUM(Table1[[#This Row],[2025]:[2018]])</f>
        <v>2967</v>
      </c>
      <c r="O1190" s="2">
        <f>Table1[[#This Row],[ttl]]/SUM(Table1[ttl])</f>
        <v>5.982744791658479E-6</v>
      </c>
      <c r="P1190" s="3">
        <f>SUM($O$2:Table1[[#This Row],[pctAllTimeExp]])</f>
        <v>0.99807571506677817</v>
      </c>
      <c r="Q1190" t="b">
        <f>Table1[[#This Row],[cumPctAllTimeExp]]&lt;0.95</f>
        <v>0</v>
      </c>
    </row>
    <row r="1191" spans="1:17" x14ac:dyDescent="0.25">
      <c r="A1191">
        <v>468</v>
      </c>
      <c r="C1191" t="s">
        <v>2508</v>
      </c>
      <c r="E1191" t="s">
        <v>470</v>
      </c>
      <c r="F1191" s="4">
        <v>1050</v>
      </c>
      <c r="G1191" s="4">
        <v>1000</v>
      </c>
      <c r="H1191" s="4">
        <v>0</v>
      </c>
      <c r="I1191" s="4">
        <v>900</v>
      </c>
      <c r="J1191" s="4">
        <v>0</v>
      </c>
      <c r="K1191" s="4">
        <v>0</v>
      </c>
      <c r="L1191" s="4">
        <v>0</v>
      </c>
      <c r="M1191" s="4">
        <v>0</v>
      </c>
      <c r="N1191" s="4">
        <f>SUM(Table1[[#This Row],[2025]:[2018]])</f>
        <v>2950</v>
      </c>
      <c r="O1191" s="2">
        <f>Table1[[#This Row],[ttl]]/SUM(Table1[ttl])</f>
        <v>5.9484654989526502E-6</v>
      </c>
      <c r="P1191" s="3">
        <f>SUM($O$2:Table1[[#This Row],[pctAllTimeExp]])</f>
        <v>0.99808166353227712</v>
      </c>
      <c r="Q1191" t="b">
        <f>Table1[[#This Row],[cumPctAllTimeExp]]&lt;0.95</f>
        <v>0</v>
      </c>
    </row>
    <row r="1192" spans="1:17" x14ac:dyDescent="0.25">
      <c r="A1192">
        <v>788</v>
      </c>
      <c r="C1192" t="s">
        <v>2508</v>
      </c>
      <c r="E1192" t="s">
        <v>790</v>
      </c>
      <c r="F1192" s="4">
        <v>0</v>
      </c>
      <c r="G1192" s="4">
        <v>2949.75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f>SUM(Table1[[#This Row],[2025]:[2018]])</f>
        <v>2949.75</v>
      </c>
      <c r="O1192" s="2">
        <f>Table1[[#This Row],[ttl]]/SUM(Table1[ttl])</f>
        <v>5.9479613917069759E-6</v>
      </c>
      <c r="P1192" s="3">
        <f>SUM($O$2:Table1[[#This Row],[pctAllTimeExp]])</f>
        <v>0.99808761149366887</v>
      </c>
      <c r="Q1192" t="b">
        <f>Table1[[#This Row],[cumPctAllTimeExp]]&lt;0.95</f>
        <v>0</v>
      </c>
    </row>
    <row r="1193" spans="1:17" x14ac:dyDescent="0.25">
      <c r="A1193">
        <v>1730</v>
      </c>
      <c r="C1193" t="s">
        <v>2508</v>
      </c>
      <c r="E1193" t="s">
        <v>1732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2934</v>
      </c>
      <c r="L1193" s="4">
        <v>0</v>
      </c>
      <c r="M1193" s="4">
        <v>0</v>
      </c>
      <c r="N1193" s="4">
        <f>SUM(Table1[[#This Row],[2025]:[2018]])</f>
        <v>2934</v>
      </c>
      <c r="O1193" s="2">
        <f>Table1[[#This Row],[ttl]]/SUM(Table1[ttl])</f>
        <v>5.9162026352295168E-6</v>
      </c>
      <c r="P1193" s="3">
        <f>SUM($O$2:Table1[[#This Row],[pctAllTimeExp]])</f>
        <v>0.99809352769630411</v>
      </c>
      <c r="Q1193" t="b">
        <f>Table1[[#This Row],[cumPctAllTimeExp]]&lt;0.95</f>
        <v>0</v>
      </c>
    </row>
    <row r="1194" spans="1:17" x14ac:dyDescent="0.25">
      <c r="A1194">
        <v>2033</v>
      </c>
      <c r="C1194" t="s">
        <v>2508</v>
      </c>
      <c r="E1194" t="s">
        <v>2035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2926.36</v>
      </c>
      <c r="M1194" s="4">
        <v>0</v>
      </c>
      <c r="N1194" s="4">
        <f>SUM(Table1[[#This Row],[2025]:[2018]])</f>
        <v>2926.36</v>
      </c>
      <c r="O1194" s="2">
        <f>Table1[[#This Row],[ttl]]/SUM(Table1[ttl])</f>
        <v>5.9007971178017208E-6</v>
      </c>
      <c r="P1194" s="3">
        <f>SUM($O$2:Table1[[#This Row],[pctAllTimeExp]])</f>
        <v>0.99809942849342193</v>
      </c>
      <c r="Q1194" t="b">
        <f>Table1[[#This Row],[cumPctAllTimeExp]]&lt;0.95</f>
        <v>0</v>
      </c>
    </row>
    <row r="1195" spans="1:17" x14ac:dyDescent="0.25">
      <c r="A1195">
        <v>1134</v>
      </c>
      <c r="C1195" t="s">
        <v>2508</v>
      </c>
      <c r="E1195" t="s">
        <v>1136</v>
      </c>
      <c r="F1195" s="4">
        <v>0</v>
      </c>
      <c r="G1195" s="4">
        <v>0</v>
      </c>
      <c r="H1195" s="4">
        <v>360</v>
      </c>
      <c r="I1195" s="4">
        <v>720</v>
      </c>
      <c r="J1195" s="4">
        <v>360</v>
      </c>
      <c r="K1195" s="4">
        <v>517.63</v>
      </c>
      <c r="L1195" s="4">
        <v>528.75</v>
      </c>
      <c r="M1195" s="4">
        <v>439</v>
      </c>
      <c r="N1195" s="4">
        <f>SUM(Table1[[#This Row],[2025]:[2018]])</f>
        <v>2925.38</v>
      </c>
      <c r="O1195" s="2">
        <f>Table1[[#This Row],[ttl]]/SUM(Table1[ttl])</f>
        <v>5.8988210173986794E-6</v>
      </c>
      <c r="P1195" s="3">
        <f>SUM($O$2:Table1[[#This Row],[pctAllTimeExp]])</f>
        <v>0.99810532731443935</v>
      </c>
      <c r="Q1195" t="b">
        <f>Table1[[#This Row],[cumPctAllTimeExp]]&lt;0.95</f>
        <v>0</v>
      </c>
    </row>
    <row r="1196" spans="1:17" x14ac:dyDescent="0.25">
      <c r="A1196">
        <v>1054</v>
      </c>
      <c r="C1196" t="s">
        <v>2508</v>
      </c>
      <c r="E1196" t="s">
        <v>1056</v>
      </c>
      <c r="F1196" s="4">
        <v>0</v>
      </c>
      <c r="G1196" s="4">
        <v>0</v>
      </c>
      <c r="H1196" s="4">
        <v>2902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f>SUM(Table1[[#This Row],[2025]:[2018]])</f>
        <v>2902</v>
      </c>
      <c r="O1196" s="2">
        <f>Table1[[#This Row],[ttl]]/SUM(Table1[ttl])</f>
        <v>5.8516769077832509E-6</v>
      </c>
      <c r="P1196" s="3">
        <f>SUM($O$2:Table1[[#This Row],[pctAllTimeExp]])</f>
        <v>0.99811117899134716</v>
      </c>
      <c r="Q1196" t="b">
        <f>Table1[[#This Row],[cumPctAllTimeExp]]&lt;0.95</f>
        <v>0</v>
      </c>
    </row>
    <row r="1197" spans="1:17" x14ac:dyDescent="0.25">
      <c r="A1197">
        <v>480</v>
      </c>
      <c r="C1197" t="s">
        <v>2508</v>
      </c>
      <c r="E1197" t="s">
        <v>482</v>
      </c>
      <c r="F1197" s="4">
        <v>950</v>
      </c>
      <c r="G1197" s="4">
        <v>400</v>
      </c>
      <c r="H1197" s="4">
        <v>450</v>
      </c>
      <c r="I1197" s="4">
        <v>1100</v>
      </c>
      <c r="J1197" s="4">
        <v>0</v>
      </c>
      <c r="K1197" s="4">
        <v>0</v>
      </c>
      <c r="L1197" s="4">
        <v>0</v>
      </c>
      <c r="M1197" s="4">
        <v>0</v>
      </c>
      <c r="N1197" s="4">
        <f>SUM(Table1[[#This Row],[2025]:[2018]])</f>
        <v>2900</v>
      </c>
      <c r="O1197" s="2">
        <f>Table1[[#This Row],[ttl]]/SUM(Table1[ttl])</f>
        <v>5.8476440498178592E-6</v>
      </c>
      <c r="P1197" s="3">
        <f>SUM($O$2:Table1[[#This Row],[pctAllTimeExp]])</f>
        <v>0.99811702663539703</v>
      </c>
      <c r="Q1197" t="b">
        <f>Table1[[#This Row],[cumPctAllTimeExp]]&lt;0.95</f>
        <v>0</v>
      </c>
    </row>
    <row r="1198" spans="1:17" x14ac:dyDescent="0.25">
      <c r="A1198">
        <v>1055</v>
      </c>
      <c r="C1198" t="s">
        <v>2508</v>
      </c>
      <c r="E1198" t="s">
        <v>1057</v>
      </c>
      <c r="F1198" s="4">
        <v>0</v>
      </c>
      <c r="G1198" s="4">
        <v>0</v>
      </c>
      <c r="H1198" s="4">
        <v>2900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f>SUM(Table1[[#This Row],[2025]:[2018]])</f>
        <v>2900</v>
      </c>
      <c r="O1198" s="2">
        <f>Table1[[#This Row],[ttl]]/SUM(Table1[ttl])</f>
        <v>5.8476440498178592E-6</v>
      </c>
      <c r="P1198" s="3">
        <f>SUM($O$2:Table1[[#This Row],[pctAllTimeExp]])</f>
        <v>0.9981228742794469</v>
      </c>
      <c r="Q1198" t="b">
        <f>Table1[[#This Row],[cumPctAllTimeExp]]&lt;0.95</f>
        <v>0</v>
      </c>
    </row>
    <row r="1199" spans="1:17" x14ac:dyDescent="0.25">
      <c r="A1199">
        <v>1286</v>
      </c>
      <c r="C1199" t="s">
        <v>2508</v>
      </c>
      <c r="E1199" t="s">
        <v>1288</v>
      </c>
      <c r="F1199" s="4">
        <v>0</v>
      </c>
      <c r="G1199" s="4">
        <v>0</v>
      </c>
      <c r="H1199" s="4">
        <v>0</v>
      </c>
      <c r="I1199" s="4">
        <v>886</v>
      </c>
      <c r="J1199" s="4">
        <v>0</v>
      </c>
      <c r="K1199" s="4">
        <v>1897.5</v>
      </c>
      <c r="L1199" s="4">
        <v>115.44</v>
      </c>
      <c r="M1199" s="4">
        <v>0</v>
      </c>
      <c r="N1199" s="4">
        <f>SUM(Table1[[#This Row],[2025]:[2018]])</f>
        <v>2898.94</v>
      </c>
      <c r="O1199" s="2">
        <f>Table1[[#This Row],[ttl]]/SUM(Table1[ttl])</f>
        <v>5.8455066350962016E-6</v>
      </c>
      <c r="P1199" s="3">
        <f>SUM($O$2:Table1[[#This Row],[pctAllTimeExp]])</f>
        <v>0.99812871978608197</v>
      </c>
      <c r="Q1199" t="b">
        <f>Table1[[#This Row],[cumPctAllTimeExp]]&lt;0.95</f>
        <v>0</v>
      </c>
    </row>
    <row r="1200" spans="1:17" x14ac:dyDescent="0.25">
      <c r="A1200">
        <v>2300</v>
      </c>
      <c r="C1200" t="s">
        <v>2508</v>
      </c>
      <c r="E1200" t="s">
        <v>2302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2895</v>
      </c>
      <c r="N1200" s="4">
        <f>SUM(Table1[[#This Row],[2025]:[2018]])</f>
        <v>2895</v>
      </c>
      <c r="O1200" s="2">
        <f>Table1[[#This Row],[ttl]]/SUM(Table1[ttl])</f>
        <v>5.8375619049043801E-6</v>
      </c>
      <c r="P1200" s="3">
        <f>SUM($O$2:Table1[[#This Row],[pctAllTimeExp]])</f>
        <v>0.99813455734798684</v>
      </c>
      <c r="Q1200" t="b">
        <f>Table1[[#This Row],[cumPctAllTimeExp]]&lt;0.95</f>
        <v>0</v>
      </c>
    </row>
    <row r="1201" spans="1:17" x14ac:dyDescent="0.25">
      <c r="A1201">
        <v>1294</v>
      </c>
      <c r="C1201" t="s">
        <v>2508</v>
      </c>
      <c r="E1201" t="s">
        <v>1296</v>
      </c>
      <c r="F1201" s="4">
        <v>0</v>
      </c>
      <c r="G1201" s="4">
        <v>0</v>
      </c>
      <c r="H1201" s="4">
        <v>0</v>
      </c>
      <c r="I1201" s="4">
        <v>757.4</v>
      </c>
      <c r="J1201" s="4">
        <v>1018.18</v>
      </c>
      <c r="K1201" s="4">
        <v>1115.3800000000001</v>
      </c>
      <c r="L1201" s="4">
        <v>0</v>
      </c>
      <c r="M1201" s="4">
        <v>0</v>
      </c>
      <c r="N1201" s="4">
        <f>SUM(Table1[[#This Row],[2025]:[2018]])</f>
        <v>2890.96</v>
      </c>
      <c r="O1201" s="2">
        <f>Table1[[#This Row],[ttl]]/SUM(Table1[ttl])</f>
        <v>5.8294155318142894E-6</v>
      </c>
      <c r="P1201" s="3">
        <f>SUM($O$2:Table1[[#This Row],[pctAllTimeExp]])</f>
        <v>0.99814038676351868</v>
      </c>
      <c r="Q1201" t="b">
        <f>Table1[[#This Row],[cumPctAllTimeExp]]&lt;0.95</f>
        <v>0</v>
      </c>
    </row>
    <row r="1202" spans="1:17" x14ac:dyDescent="0.25">
      <c r="A1202">
        <v>831</v>
      </c>
      <c r="C1202" t="s">
        <v>2508</v>
      </c>
      <c r="E1202" t="s">
        <v>833</v>
      </c>
      <c r="F1202" s="4">
        <v>0</v>
      </c>
      <c r="G1202" s="4">
        <v>1080</v>
      </c>
      <c r="H1202" s="4">
        <v>1800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f>SUM(Table1[[#This Row],[2025]:[2018]])</f>
        <v>2880</v>
      </c>
      <c r="O1202" s="2">
        <f>Table1[[#This Row],[ttl]]/SUM(Table1[ttl])</f>
        <v>5.8073154701639431E-6</v>
      </c>
      <c r="P1202" s="3">
        <f>SUM($O$2:Table1[[#This Row],[pctAllTimeExp]])</f>
        <v>0.99814619407898886</v>
      </c>
      <c r="Q1202" t="b">
        <f>Table1[[#This Row],[cumPctAllTimeExp]]&lt;0.95</f>
        <v>0</v>
      </c>
    </row>
    <row r="1203" spans="1:17" x14ac:dyDescent="0.25">
      <c r="A1203">
        <v>791</v>
      </c>
      <c r="C1203" t="s">
        <v>2508</v>
      </c>
      <c r="E1203" t="s">
        <v>793</v>
      </c>
      <c r="F1203" s="4">
        <v>0</v>
      </c>
      <c r="G1203" s="4">
        <v>2872.39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f>SUM(Table1[[#This Row],[2025]:[2018]])</f>
        <v>2872.39</v>
      </c>
      <c r="O1203" s="2">
        <f>Table1[[#This Row],[ttl]]/SUM(Table1[ttl])</f>
        <v>5.7919704456056277E-6</v>
      </c>
      <c r="P1203" s="3">
        <f>SUM($O$2:Table1[[#This Row],[pctAllTimeExp]])</f>
        <v>0.99815198604943445</v>
      </c>
      <c r="Q1203" t="b">
        <f>Table1[[#This Row],[cumPctAllTimeExp]]&lt;0.95</f>
        <v>0</v>
      </c>
    </row>
    <row r="1204" spans="1:17" x14ac:dyDescent="0.25">
      <c r="A1204">
        <v>1070</v>
      </c>
      <c r="C1204" t="s">
        <v>2508</v>
      </c>
      <c r="E1204" t="s">
        <v>1072</v>
      </c>
      <c r="F1204" s="4">
        <v>0</v>
      </c>
      <c r="G1204" s="4">
        <v>0</v>
      </c>
      <c r="H1204" s="4">
        <v>1745</v>
      </c>
      <c r="I1204" s="4">
        <v>0</v>
      </c>
      <c r="J1204" s="4">
        <v>0</v>
      </c>
      <c r="K1204" s="4">
        <v>250</v>
      </c>
      <c r="L1204" s="4">
        <v>865</v>
      </c>
      <c r="M1204" s="4">
        <v>0</v>
      </c>
      <c r="N1204" s="4">
        <f>SUM(Table1[[#This Row],[2025]:[2018]])</f>
        <v>2860</v>
      </c>
      <c r="O1204" s="2">
        <f>Table1[[#This Row],[ttl]]/SUM(Table1[ttl])</f>
        <v>5.7669868905100262E-6</v>
      </c>
      <c r="P1204" s="3">
        <f>SUM($O$2:Table1[[#This Row],[pctAllTimeExp]])</f>
        <v>0.99815775303632492</v>
      </c>
      <c r="Q1204" t="b">
        <f>Table1[[#This Row],[cumPctAllTimeExp]]&lt;0.95</f>
        <v>0</v>
      </c>
    </row>
    <row r="1205" spans="1:17" x14ac:dyDescent="0.25">
      <c r="A1205">
        <v>919</v>
      </c>
      <c r="C1205" t="s">
        <v>2508</v>
      </c>
      <c r="E1205" t="s">
        <v>921</v>
      </c>
      <c r="F1205" s="4">
        <v>0</v>
      </c>
      <c r="G1205" s="4">
        <v>190</v>
      </c>
      <c r="H1205" s="4">
        <v>480</v>
      </c>
      <c r="I1205" s="4">
        <v>480</v>
      </c>
      <c r="J1205" s="4">
        <v>480</v>
      </c>
      <c r="K1205" s="4">
        <v>480</v>
      </c>
      <c r="L1205" s="4">
        <v>480</v>
      </c>
      <c r="M1205" s="4">
        <v>264.12</v>
      </c>
      <c r="N1205" s="4">
        <f>SUM(Table1[[#This Row],[2025]:[2018]])</f>
        <v>2854.12</v>
      </c>
      <c r="O1205" s="2">
        <f>Table1[[#This Row],[ttl]]/SUM(Table1[ttl])</f>
        <v>5.7551302880917751E-6</v>
      </c>
      <c r="P1205" s="3">
        <f>SUM($O$2:Table1[[#This Row],[pctAllTimeExp]])</f>
        <v>0.99816350816661303</v>
      </c>
      <c r="Q1205" t="b">
        <f>Table1[[#This Row],[cumPctAllTimeExp]]&lt;0.95</f>
        <v>0</v>
      </c>
    </row>
    <row r="1206" spans="1:17" x14ac:dyDescent="0.25">
      <c r="A1206">
        <v>840</v>
      </c>
      <c r="C1206" t="s">
        <v>2508</v>
      </c>
      <c r="E1206" t="s">
        <v>842</v>
      </c>
      <c r="F1206" s="4">
        <v>0</v>
      </c>
      <c r="G1206" s="4">
        <v>900</v>
      </c>
      <c r="H1206" s="4">
        <v>0</v>
      </c>
      <c r="I1206" s="4">
        <v>0</v>
      </c>
      <c r="J1206" s="4">
        <v>0</v>
      </c>
      <c r="K1206" s="4">
        <v>1200</v>
      </c>
      <c r="L1206" s="4">
        <v>0</v>
      </c>
      <c r="M1206" s="4">
        <v>750</v>
      </c>
      <c r="N1206" s="4">
        <f>SUM(Table1[[#This Row],[2025]:[2018]])</f>
        <v>2850</v>
      </c>
      <c r="O1206" s="2">
        <f>Table1[[#This Row],[ttl]]/SUM(Table1[ttl])</f>
        <v>5.7468226006830681E-6</v>
      </c>
      <c r="P1206" s="3">
        <f>SUM($O$2:Table1[[#This Row],[pctAllTimeExp]])</f>
        <v>0.99816925498921372</v>
      </c>
      <c r="Q1206" t="b">
        <f>Table1[[#This Row],[cumPctAllTimeExp]]&lt;0.95</f>
        <v>0</v>
      </c>
    </row>
    <row r="1207" spans="1:17" x14ac:dyDescent="0.25">
      <c r="A1207">
        <v>1056</v>
      </c>
      <c r="C1207" t="s">
        <v>2508</v>
      </c>
      <c r="E1207" t="s">
        <v>1058</v>
      </c>
      <c r="F1207" s="4">
        <v>0</v>
      </c>
      <c r="G1207" s="4">
        <v>0</v>
      </c>
      <c r="H1207" s="4">
        <v>2849.78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f>SUM(Table1[[#This Row],[2025]:[2018]])</f>
        <v>2849.78</v>
      </c>
      <c r="O1207" s="2">
        <f>Table1[[#This Row],[ttl]]/SUM(Table1[ttl])</f>
        <v>5.7463789863068762E-6</v>
      </c>
      <c r="P1207" s="3">
        <f>SUM($O$2:Table1[[#This Row],[pctAllTimeExp]])</f>
        <v>0.99817500136820003</v>
      </c>
      <c r="Q1207" t="b">
        <f>Table1[[#This Row],[cumPctAllTimeExp]]&lt;0.95</f>
        <v>0</v>
      </c>
    </row>
    <row r="1208" spans="1:17" x14ac:dyDescent="0.25">
      <c r="A1208">
        <v>2134</v>
      </c>
      <c r="C1208" t="s">
        <v>2508</v>
      </c>
      <c r="E1208" t="s">
        <v>2136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416</v>
      </c>
      <c r="M1208" s="4">
        <v>2428.21</v>
      </c>
      <c r="N1208" s="4">
        <f>SUM(Table1[[#This Row],[2025]:[2018]])</f>
        <v>2844.21</v>
      </c>
      <c r="O1208" s="2">
        <f>Table1[[#This Row],[ttl]]/SUM(Table1[ttl])</f>
        <v>5.7351474768732598E-6</v>
      </c>
      <c r="P1208" s="3">
        <f>SUM($O$2:Table1[[#This Row],[pctAllTimeExp]])</f>
        <v>0.99818073651567696</v>
      </c>
      <c r="Q1208" t="b">
        <f>Table1[[#This Row],[cumPctAllTimeExp]]&lt;0.95</f>
        <v>0</v>
      </c>
    </row>
    <row r="1209" spans="1:17" x14ac:dyDescent="0.25">
      <c r="A1209">
        <v>1754</v>
      </c>
      <c r="C1209" t="s">
        <v>2508</v>
      </c>
      <c r="E1209" t="s">
        <v>1756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1528</v>
      </c>
      <c r="L1209" s="4">
        <v>0</v>
      </c>
      <c r="M1209" s="4">
        <v>1280.5</v>
      </c>
      <c r="N1209" s="4">
        <f>SUM(Table1[[#This Row],[2025]:[2018]])</f>
        <v>2808.5</v>
      </c>
      <c r="O1209" s="2">
        <f>Table1[[#This Row],[ttl]]/SUM(Table1[ttl])</f>
        <v>5.6631407979011919E-6</v>
      </c>
      <c r="P1209" s="3">
        <f>SUM($O$2:Table1[[#This Row],[pctAllTimeExp]])</f>
        <v>0.99818639965647482</v>
      </c>
      <c r="Q1209" t="b">
        <f>Table1[[#This Row],[cumPctAllTimeExp]]&lt;0.95</f>
        <v>0</v>
      </c>
    </row>
    <row r="1210" spans="1:17" x14ac:dyDescent="0.25">
      <c r="A1210">
        <v>587</v>
      </c>
      <c r="C1210" t="s">
        <v>2508</v>
      </c>
      <c r="E1210" t="s">
        <v>589</v>
      </c>
      <c r="F1210" s="4">
        <v>400</v>
      </c>
      <c r="G1210" s="4">
        <v>1200</v>
      </c>
      <c r="H1210" s="4">
        <v>800</v>
      </c>
      <c r="I1210" s="4">
        <v>400</v>
      </c>
      <c r="J1210" s="4">
        <v>0</v>
      </c>
      <c r="K1210" s="4">
        <v>0</v>
      </c>
      <c r="L1210" s="4">
        <v>0</v>
      </c>
      <c r="M1210" s="4">
        <v>0</v>
      </c>
      <c r="N1210" s="4">
        <f>SUM(Table1[[#This Row],[2025]:[2018]])</f>
        <v>2800</v>
      </c>
      <c r="O1210" s="2">
        <f>Table1[[#This Row],[ttl]]/SUM(Table1[ttl])</f>
        <v>5.6460011515482779E-6</v>
      </c>
      <c r="P1210" s="3">
        <f>SUM($O$2:Table1[[#This Row],[pctAllTimeExp]])</f>
        <v>0.99819204565762631</v>
      </c>
      <c r="Q1210" t="b">
        <f>Table1[[#This Row],[cumPctAllTimeExp]]&lt;0.95</f>
        <v>0</v>
      </c>
    </row>
    <row r="1211" spans="1:17" x14ac:dyDescent="0.25">
      <c r="A1211">
        <v>2054</v>
      </c>
      <c r="C1211" t="s">
        <v>2508</v>
      </c>
      <c r="E1211" t="s">
        <v>2056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1850</v>
      </c>
      <c r="M1211" s="4">
        <v>950</v>
      </c>
      <c r="N1211" s="4">
        <f>SUM(Table1[[#This Row],[2025]:[2018]])</f>
        <v>2800</v>
      </c>
      <c r="O1211" s="2">
        <f>Table1[[#This Row],[ttl]]/SUM(Table1[ttl])</f>
        <v>5.6460011515482779E-6</v>
      </c>
      <c r="P1211" s="3">
        <f>SUM($O$2:Table1[[#This Row],[pctAllTimeExp]])</f>
        <v>0.99819769165877781</v>
      </c>
      <c r="Q1211" t="b">
        <f>Table1[[#This Row],[cumPctAllTimeExp]]&lt;0.95</f>
        <v>0</v>
      </c>
    </row>
    <row r="1212" spans="1:17" x14ac:dyDescent="0.25">
      <c r="A1212">
        <v>444</v>
      </c>
      <c r="C1212" t="s">
        <v>2508</v>
      </c>
      <c r="E1212" t="s">
        <v>446</v>
      </c>
      <c r="F1212" s="4">
        <v>1276.8</v>
      </c>
      <c r="G1212" s="4">
        <v>1278</v>
      </c>
      <c r="H1212" s="4">
        <v>217.87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f>SUM(Table1[[#This Row],[2025]:[2018]])</f>
        <v>2772.67</v>
      </c>
      <c r="O1212" s="2">
        <f>Table1[[#This Row],[ttl]]/SUM(Table1[ttl])</f>
        <v>5.5908921474512014E-6</v>
      </c>
      <c r="P1212" s="3">
        <f>SUM($O$2:Table1[[#This Row],[pctAllTimeExp]])</f>
        <v>0.99820328255092527</v>
      </c>
      <c r="Q1212" t="b">
        <f>Table1[[#This Row],[cumPctAllTimeExp]]&lt;0.95</f>
        <v>0</v>
      </c>
    </row>
    <row r="1213" spans="1:17" x14ac:dyDescent="0.25">
      <c r="A1213">
        <v>2111</v>
      </c>
      <c r="C1213" t="s">
        <v>2508</v>
      </c>
      <c r="E1213" t="s">
        <v>2113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586.29</v>
      </c>
      <c r="M1213" s="4">
        <v>2157</v>
      </c>
      <c r="N1213" s="4">
        <f>SUM(Table1[[#This Row],[2025]:[2018]])</f>
        <v>2743.29</v>
      </c>
      <c r="O1213" s="2">
        <f>Table1[[#This Row],[ttl]]/SUM(Table1[ttl])</f>
        <v>5.5316494639395985E-6</v>
      </c>
      <c r="P1213" s="3">
        <f>SUM($O$2:Table1[[#This Row],[pctAllTimeExp]])</f>
        <v>0.99820881420038921</v>
      </c>
      <c r="Q1213" t="b">
        <f>Table1[[#This Row],[cumPctAllTimeExp]]&lt;0.95</f>
        <v>0</v>
      </c>
    </row>
    <row r="1214" spans="1:17" x14ac:dyDescent="0.25">
      <c r="A1214">
        <v>1789</v>
      </c>
      <c r="C1214" t="s">
        <v>2508</v>
      </c>
      <c r="E1214" t="s">
        <v>1791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745</v>
      </c>
      <c r="L1214" s="4">
        <v>568</v>
      </c>
      <c r="M1214" s="4">
        <v>1400</v>
      </c>
      <c r="N1214" s="4">
        <f>SUM(Table1[[#This Row],[2025]:[2018]])</f>
        <v>2713</v>
      </c>
      <c r="O1214" s="2">
        <f>Table1[[#This Row],[ttl]]/SUM(Table1[ttl])</f>
        <v>5.470571830053742E-6</v>
      </c>
      <c r="P1214" s="3">
        <f>SUM($O$2:Table1[[#This Row],[pctAllTimeExp]])</f>
        <v>0.9982142847722193</v>
      </c>
      <c r="Q1214" t="b">
        <f>Table1[[#This Row],[cumPctAllTimeExp]]&lt;0.95</f>
        <v>0</v>
      </c>
    </row>
    <row r="1215" spans="1:17" x14ac:dyDescent="0.25">
      <c r="A1215">
        <v>511</v>
      </c>
      <c r="C1215" t="s">
        <v>2508</v>
      </c>
      <c r="E1215" t="s">
        <v>513</v>
      </c>
      <c r="F1215" s="4">
        <v>700</v>
      </c>
      <c r="G1215" s="4">
        <v>500</v>
      </c>
      <c r="H1215" s="4">
        <v>0</v>
      </c>
      <c r="I1215" s="4">
        <v>0</v>
      </c>
      <c r="J1215" s="4">
        <v>0</v>
      </c>
      <c r="K1215" s="4">
        <v>500</v>
      </c>
      <c r="L1215" s="4">
        <v>300</v>
      </c>
      <c r="M1215" s="4">
        <v>700</v>
      </c>
      <c r="N1215" s="4">
        <f>SUM(Table1[[#This Row],[2025]:[2018]])</f>
        <v>2700</v>
      </c>
      <c r="O1215" s="2">
        <f>Table1[[#This Row],[ttl]]/SUM(Table1[ttl])</f>
        <v>5.4443582532786967E-6</v>
      </c>
      <c r="P1215" s="3">
        <f>SUM($O$2:Table1[[#This Row],[pctAllTimeExp]])</f>
        <v>0.99821972913047252</v>
      </c>
      <c r="Q1215" t="b">
        <f>Table1[[#This Row],[cumPctAllTimeExp]]&lt;0.95</f>
        <v>0</v>
      </c>
    </row>
    <row r="1216" spans="1:17" x14ac:dyDescent="0.25">
      <c r="A1216">
        <v>1285</v>
      </c>
      <c r="C1216" t="s">
        <v>2508</v>
      </c>
      <c r="E1216" t="s">
        <v>1287</v>
      </c>
      <c r="F1216" s="4">
        <v>0</v>
      </c>
      <c r="G1216" s="4">
        <v>0</v>
      </c>
      <c r="H1216" s="4">
        <v>0</v>
      </c>
      <c r="I1216" s="4">
        <v>900</v>
      </c>
      <c r="J1216" s="4">
        <v>0</v>
      </c>
      <c r="K1216" s="4">
        <v>900</v>
      </c>
      <c r="L1216" s="4">
        <v>900</v>
      </c>
      <c r="M1216" s="4">
        <v>0</v>
      </c>
      <c r="N1216" s="4">
        <f>SUM(Table1[[#This Row],[2025]:[2018]])</f>
        <v>2700</v>
      </c>
      <c r="O1216" s="2">
        <f>Table1[[#This Row],[ttl]]/SUM(Table1[ttl])</f>
        <v>5.4443582532786967E-6</v>
      </c>
      <c r="P1216" s="3">
        <f>SUM($O$2:Table1[[#This Row],[pctAllTimeExp]])</f>
        <v>0.99822517348872575</v>
      </c>
      <c r="Q1216" t="b">
        <f>Table1[[#This Row],[cumPctAllTimeExp]]&lt;0.95</f>
        <v>0</v>
      </c>
    </row>
    <row r="1217" spans="1:17" x14ac:dyDescent="0.25">
      <c r="A1217">
        <v>887</v>
      </c>
      <c r="C1217" t="s">
        <v>2508</v>
      </c>
      <c r="E1217" t="s">
        <v>889</v>
      </c>
      <c r="F1217" s="4">
        <v>0</v>
      </c>
      <c r="G1217" s="4">
        <v>420</v>
      </c>
      <c r="H1217" s="4">
        <v>0</v>
      </c>
      <c r="I1217" s="4">
        <v>0</v>
      </c>
      <c r="J1217" s="4">
        <v>1390</v>
      </c>
      <c r="K1217" s="4">
        <v>0</v>
      </c>
      <c r="L1217" s="4">
        <v>880</v>
      </c>
      <c r="M1217" s="4">
        <v>0</v>
      </c>
      <c r="N1217" s="4">
        <f>SUM(Table1[[#This Row],[2025]:[2018]])</f>
        <v>2690</v>
      </c>
      <c r="O1217" s="2">
        <f>Table1[[#This Row],[ttl]]/SUM(Table1[ttl])</f>
        <v>5.4241939634517387E-6</v>
      </c>
      <c r="P1217" s="3">
        <f>SUM($O$2:Table1[[#This Row],[pctAllTimeExp]])</f>
        <v>0.99823059768268918</v>
      </c>
      <c r="Q1217" t="b">
        <f>Table1[[#This Row],[cumPctAllTimeExp]]&lt;0.95</f>
        <v>0</v>
      </c>
    </row>
    <row r="1218" spans="1:17" x14ac:dyDescent="0.25">
      <c r="A1218">
        <v>1075</v>
      </c>
      <c r="C1218" t="s">
        <v>2508</v>
      </c>
      <c r="E1218" t="s">
        <v>1077</v>
      </c>
      <c r="F1218" s="4">
        <v>0</v>
      </c>
      <c r="G1218" s="4">
        <v>0</v>
      </c>
      <c r="H1218" s="4">
        <v>1504.15</v>
      </c>
      <c r="I1218" s="4">
        <v>915.29</v>
      </c>
      <c r="J1218" s="4">
        <v>0</v>
      </c>
      <c r="K1218" s="4">
        <v>267</v>
      </c>
      <c r="L1218" s="4">
        <v>0</v>
      </c>
      <c r="M1218" s="4">
        <v>0</v>
      </c>
      <c r="N1218" s="4">
        <f>SUM(Table1[[#This Row],[2025]:[2018]])</f>
        <v>2686.44</v>
      </c>
      <c r="O1218" s="2">
        <f>Table1[[#This Row],[ttl]]/SUM(Table1[ttl])</f>
        <v>5.4170154762733416E-6</v>
      </c>
      <c r="P1218" s="3">
        <f>SUM($O$2:Table1[[#This Row],[pctAllTimeExp]])</f>
        <v>0.99823601469816547</v>
      </c>
      <c r="Q1218" t="b">
        <f>Table1[[#This Row],[cumPctAllTimeExp]]&lt;0.95</f>
        <v>0</v>
      </c>
    </row>
    <row r="1219" spans="1:17" x14ac:dyDescent="0.25">
      <c r="A1219">
        <v>2301</v>
      </c>
      <c r="C1219" t="s">
        <v>2508</v>
      </c>
      <c r="E1219" t="s">
        <v>2303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2680</v>
      </c>
      <c r="N1219" s="4">
        <f>SUM(Table1[[#This Row],[2025]:[2018]])</f>
        <v>2680</v>
      </c>
      <c r="O1219" s="2">
        <f>Table1[[#This Row],[ttl]]/SUM(Table1[ttl])</f>
        <v>5.4040296736247798E-6</v>
      </c>
      <c r="P1219" s="3">
        <f>SUM($O$2:Table1[[#This Row],[pctAllTimeExp]])</f>
        <v>0.99824141872783911</v>
      </c>
      <c r="Q1219" t="b">
        <f>Table1[[#This Row],[cumPctAllTimeExp]]&lt;0.95</f>
        <v>0</v>
      </c>
    </row>
    <row r="1220" spans="1:17" x14ac:dyDescent="0.25">
      <c r="A1220">
        <v>574</v>
      </c>
      <c r="C1220" t="s">
        <v>2508</v>
      </c>
      <c r="E1220" t="s">
        <v>576</v>
      </c>
      <c r="F1220" s="4">
        <v>472.27</v>
      </c>
      <c r="G1220" s="4">
        <v>230.03</v>
      </c>
      <c r="H1220" s="4">
        <v>363.07</v>
      </c>
      <c r="I1220" s="4">
        <v>276.83999999999997</v>
      </c>
      <c r="J1220" s="4">
        <v>206.81</v>
      </c>
      <c r="K1220" s="4">
        <v>570.82000000000005</v>
      </c>
      <c r="L1220" s="4">
        <v>274.67</v>
      </c>
      <c r="M1220" s="4">
        <v>285.05</v>
      </c>
      <c r="N1220" s="4">
        <f>SUM(Table1[[#This Row],[2025]:[2018]])</f>
        <v>2679.56</v>
      </c>
      <c r="O1220" s="2">
        <f>Table1[[#This Row],[ttl]]/SUM(Table1[ttl])</f>
        <v>5.4031424448723942E-6</v>
      </c>
      <c r="P1220" s="3">
        <f>SUM($O$2:Table1[[#This Row],[pctAllTimeExp]])</f>
        <v>0.99824682187028402</v>
      </c>
      <c r="Q1220" t="b">
        <f>Table1[[#This Row],[cumPctAllTimeExp]]&lt;0.95</f>
        <v>0</v>
      </c>
    </row>
    <row r="1221" spans="1:17" x14ac:dyDescent="0.25">
      <c r="A1221">
        <v>367</v>
      </c>
      <c r="C1221" t="s">
        <v>2508</v>
      </c>
      <c r="E1221" t="s">
        <v>369</v>
      </c>
      <c r="F1221" s="4">
        <v>2640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f>SUM(Table1[[#This Row],[2025]:[2018]])</f>
        <v>2640</v>
      </c>
      <c r="O1221" s="2">
        <f>Table1[[#This Row],[ttl]]/SUM(Table1[ttl])</f>
        <v>5.3233725143169476E-6</v>
      </c>
      <c r="P1221" s="3">
        <f>SUM($O$2:Table1[[#This Row],[pctAllTimeExp]])</f>
        <v>0.99825214524279837</v>
      </c>
      <c r="Q1221" t="b">
        <f>Table1[[#This Row],[cumPctAllTimeExp]]&lt;0.95</f>
        <v>0</v>
      </c>
    </row>
    <row r="1222" spans="1:17" x14ac:dyDescent="0.25">
      <c r="A1222">
        <v>2302</v>
      </c>
      <c r="C1222" t="s">
        <v>2508</v>
      </c>
      <c r="E1222" t="s">
        <v>2304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2633.55</v>
      </c>
      <c r="N1222" s="4">
        <f>SUM(Table1[[#This Row],[2025]:[2018]])</f>
        <v>2633.55</v>
      </c>
      <c r="O1222" s="2">
        <f>Table1[[#This Row],[ttl]]/SUM(Table1[ttl])</f>
        <v>5.3103665473785601E-6</v>
      </c>
      <c r="P1222" s="3">
        <f>SUM($O$2:Table1[[#This Row],[pctAllTimeExp]])</f>
        <v>0.99825745560934576</v>
      </c>
      <c r="Q1222" t="b">
        <f>Table1[[#This Row],[cumPctAllTimeExp]]&lt;0.95</f>
        <v>0</v>
      </c>
    </row>
    <row r="1223" spans="1:17" x14ac:dyDescent="0.25">
      <c r="A1223">
        <v>2303</v>
      </c>
      <c r="C1223" t="s">
        <v>2508</v>
      </c>
      <c r="E1223" t="s">
        <v>2305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2600</v>
      </c>
      <c r="N1223" s="4">
        <f>SUM(Table1[[#This Row],[2025]:[2018]])</f>
        <v>2600</v>
      </c>
      <c r="O1223" s="2">
        <f>Table1[[#This Row],[ttl]]/SUM(Table1[ttl])</f>
        <v>5.2427153550091155E-6</v>
      </c>
      <c r="P1223" s="3">
        <f>SUM($O$2:Table1[[#This Row],[pctAllTimeExp]])</f>
        <v>0.99826269832470071</v>
      </c>
      <c r="Q1223" t="b">
        <f>Table1[[#This Row],[cumPctAllTimeExp]]&lt;0.95</f>
        <v>0</v>
      </c>
    </row>
    <row r="1224" spans="1:17" x14ac:dyDescent="0.25">
      <c r="A1224">
        <v>1059</v>
      </c>
      <c r="C1224" t="s">
        <v>2508</v>
      </c>
      <c r="E1224" t="s">
        <v>1061</v>
      </c>
      <c r="F1224" s="4">
        <v>0</v>
      </c>
      <c r="G1224" s="4">
        <v>0</v>
      </c>
      <c r="H1224" s="4">
        <v>2595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f>SUM(Table1[[#This Row],[2025]:[2018]])</f>
        <v>2595</v>
      </c>
      <c r="O1224" s="2">
        <f>Table1[[#This Row],[ttl]]/SUM(Table1[ttl])</f>
        <v>5.2326332100956356E-6</v>
      </c>
      <c r="P1224" s="3">
        <f>SUM($O$2:Table1[[#This Row],[pctAllTimeExp]])</f>
        <v>0.99826793095791078</v>
      </c>
      <c r="Q1224" t="b">
        <f>Table1[[#This Row],[cumPctAllTimeExp]]&lt;0.95</f>
        <v>0</v>
      </c>
    </row>
    <row r="1225" spans="1:17" x14ac:dyDescent="0.25">
      <c r="A1225">
        <v>486</v>
      </c>
      <c r="C1225" t="s">
        <v>2508</v>
      </c>
      <c r="E1225" t="s">
        <v>488</v>
      </c>
      <c r="F1225" s="4">
        <v>916.3</v>
      </c>
      <c r="G1225" s="4">
        <v>0</v>
      </c>
      <c r="H1225" s="4">
        <v>0</v>
      </c>
      <c r="I1225" s="4">
        <v>553.5</v>
      </c>
      <c r="J1225" s="4">
        <v>658.03</v>
      </c>
      <c r="K1225" s="4">
        <v>260.10000000000002</v>
      </c>
      <c r="L1225" s="4">
        <v>198</v>
      </c>
      <c r="M1225" s="4">
        <v>0</v>
      </c>
      <c r="N1225" s="4">
        <f>SUM(Table1[[#This Row],[2025]:[2018]])</f>
        <v>2585.9299999999998</v>
      </c>
      <c r="O1225" s="2">
        <f>Table1[[#This Row],[ttl]]/SUM(Table1[ttl])</f>
        <v>5.2143441992225843E-6</v>
      </c>
      <c r="P1225" s="3">
        <f>SUM($O$2:Table1[[#This Row],[pctAllTimeExp]])</f>
        <v>0.99827314530210998</v>
      </c>
      <c r="Q1225" t="b">
        <f>Table1[[#This Row],[cumPctAllTimeExp]]&lt;0.95</f>
        <v>0</v>
      </c>
    </row>
    <row r="1226" spans="1:17" x14ac:dyDescent="0.25">
      <c r="A1226">
        <v>554</v>
      </c>
      <c r="C1226" t="s">
        <v>2508</v>
      </c>
      <c r="E1226" t="s">
        <v>556</v>
      </c>
      <c r="F1226" s="4">
        <v>500</v>
      </c>
      <c r="G1226" s="4">
        <v>0</v>
      </c>
      <c r="H1226" s="4">
        <v>1500</v>
      </c>
      <c r="I1226" s="4">
        <v>300</v>
      </c>
      <c r="J1226" s="4">
        <v>0</v>
      </c>
      <c r="K1226" s="4">
        <v>0</v>
      </c>
      <c r="L1226" s="4">
        <v>250</v>
      </c>
      <c r="M1226" s="4">
        <v>0</v>
      </c>
      <c r="N1226" s="4">
        <f>SUM(Table1[[#This Row],[2025]:[2018]])</f>
        <v>2550</v>
      </c>
      <c r="O1226" s="2">
        <f>Table1[[#This Row],[ttl]]/SUM(Table1[ttl])</f>
        <v>5.1418939058743244E-6</v>
      </c>
      <c r="P1226" s="3">
        <f>SUM($O$2:Table1[[#This Row],[pctAllTimeExp]])</f>
        <v>0.99827828719601586</v>
      </c>
      <c r="Q1226" t="b">
        <f>Table1[[#This Row],[cumPctAllTimeExp]]&lt;0.95</f>
        <v>0</v>
      </c>
    </row>
    <row r="1227" spans="1:17" x14ac:dyDescent="0.25">
      <c r="A1227">
        <v>558</v>
      </c>
      <c r="C1227" t="s">
        <v>2508</v>
      </c>
      <c r="E1227" t="s">
        <v>560</v>
      </c>
      <c r="F1227" s="4">
        <v>500</v>
      </c>
      <c r="G1227" s="4">
        <v>250</v>
      </c>
      <c r="H1227" s="4">
        <v>500</v>
      </c>
      <c r="I1227" s="4">
        <v>375</v>
      </c>
      <c r="J1227" s="4">
        <v>550</v>
      </c>
      <c r="K1227" s="4">
        <v>175</v>
      </c>
      <c r="L1227" s="4">
        <v>200</v>
      </c>
      <c r="M1227" s="4">
        <v>0</v>
      </c>
      <c r="N1227" s="4">
        <f>SUM(Table1[[#This Row],[2025]:[2018]])</f>
        <v>2550</v>
      </c>
      <c r="O1227" s="2">
        <f>Table1[[#This Row],[ttl]]/SUM(Table1[ttl])</f>
        <v>5.1418939058743244E-6</v>
      </c>
      <c r="P1227" s="3">
        <f>SUM($O$2:Table1[[#This Row],[pctAllTimeExp]])</f>
        <v>0.99828342908992174</v>
      </c>
      <c r="Q1227" t="b">
        <f>Table1[[#This Row],[cumPctAllTimeExp]]&lt;0.95</f>
        <v>0</v>
      </c>
    </row>
    <row r="1228" spans="1:17" x14ac:dyDescent="0.25">
      <c r="A1228">
        <v>903</v>
      </c>
      <c r="C1228" t="s">
        <v>2508</v>
      </c>
      <c r="E1228" t="s">
        <v>905</v>
      </c>
      <c r="F1228" s="4">
        <v>0</v>
      </c>
      <c r="G1228" s="4">
        <v>300</v>
      </c>
      <c r="H1228" s="4">
        <v>0</v>
      </c>
      <c r="I1228" s="4">
        <v>2250</v>
      </c>
      <c r="J1228" s="4">
        <v>0</v>
      </c>
      <c r="K1228" s="4">
        <v>0</v>
      </c>
      <c r="L1228" s="4">
        <v>0</v>
      </c>
      <c r="M1228" s="4">
        <v>0</v>
      </c>
      <c r="N1228" s="4">
        <f>SUM(Table1[[#This Row],[2025]:[2018]])</f>
        <v>2550</v>
      </c>
      <c r="O1228" s="2">
        <f>Table1[[#This Row],[ttl]]/SUM(Table1[ttl])</f>
        <v>5.1418939058743244E-6</v>
      </c>
      <c r="P1228" s="3">
        <f>SUM($O$2:Table1[[#This Row],[pctAllTimeExp]])</f>
        <v>0.99828857098382762</v>
      </c>
      <c r="Q1228" t="b">
        <f>Table1[[#This Row],[cumPctAllTimeExp]]&lt;0.95</f>
        <v>0</v>
      </c>
    </row>
    <row r="1229" spans="1:17" x14ac:dyDescent="0.25">
      <c r="A1229">
        <v>1289</v>
      </c>
      <c r="C1229" t="s">
        <v>2508</v>
      </c>
      <c r="E1229" t="s">
        <v>1291</v>
      </c>
      <c r="F1229" s="4">
        <v>0</v>
      </c>
      <c r="G1229" s="4">
        <v>0</v>
      </c>
      <c r="H1229" s="4">
        <v>0</v>
      </c>
      <c r="I1229" s="4">
        <v>850</v>
      </c>
      <c r="J1229" s="4">
        <v>0</v>
      </c>
      <c r="K1229" s="4">
        <v>850</v>
      </c>
      <c r="L1229" s="4">
        <v>0</v>
      </c>
      <c r="M1229" s="4">
        <v>850</v>
      </c>
      <c r="N1229" s="4">
        <f>SUM(Table1[[#This Row],[2025]:[2018]])</f>
        <v>2550</v>
      </c>
      <c r="O1229" s="2">
        <f>Table1[[#This Row],[ttl]]/SUM(Table1[ttl])</f>
        <v>5.1418939058743244E-6</v>
      </c>
      <c r="P1229" s="3">
        <f>SUM($O$2:Table1[[#This Row],[pctAllTimeExp]])</f>
        <v>0.9982937128777335</v>
      </c>
      <c r="Q1229" t="b">
        <f>Table1[[#This Row],[cumPctAllTimeExp]]&lt;0.95</f>
        <v>0</v>
      </c>
    </row>
    <row r="1230" spans="1:17" x14ac:dyDescent="0.25">
      <c r="A1230">
        <v>370</v>
      </c>
      <c r="C1230" t="s">
        <v>2508</v>
      </c>
      <c r="E1230" t="s">
        <v>372</v>
      </c>
      <c r="F1230" s="4">
        <v>2543.7199999999998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f>SUM(Table1[[#This Row],[2025]:[2018]])</f>
        <v>2543.7199999999998</v>
      </c>
      <c r="O1230" s="2">
        <f>Table1[[#This Row],[ttl]]/SUM(Table1[ttl])</f>
        <v>5.1292307318629942E-6</v>
      </c>
      <c r="P1230" s="3">
        <f>SUM($O$2:Table1[[#This Row],[pctAllTimeExp]])</f>
        <v>0.99829884210846531</v>
      </c>
      <c r="Q1230" t="b">
        <f>Table1[[#This Row],[cumPctAllTimeExp]]&lt;0.95</f>
        <v>0</v>
      </c>
    </row>
    <row r="1231" spans="1:17" x14ac:dyDescent="0.25">
      <c r="A1231">
        <v>1734</v>
      </c>
      <c r="C1231" t="s">
        <v>2508</v>
      </c>
      <c r="E1231" t="s">
        <v>1736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2530</v>
      </c>
      <c r="L1231" s="4">
        <v>0</v>
      </c>
      <c r="M1231" s="4">
        <v>0</v>
      </c>
      <c r="N1231" s="4">
        <f>SUM(Table1[[#This Row],[2025]:[2018]])</f>
        <v>2530</v>
      </c>
      <c r="O1231" s="2">
        <f>Table1[[#This Row],[ttl]]/SUM(Table1[ttl])</f>
        <v>5.1015653262204083E-6</v>
      </c>
      <c r="P1231" s="3">
        <f>SUM($O$2:Table1[[#This Row],[pctAllTimeExp]])</f>
        <v>0.99830394367379149</v>
      </c>
      <c r="Q1231" t="b">
        <f>Table1[[#This Row],[cumPctAllTimeExp]]&lt;0.95</f>
        <v>0</v>
      </c>
    </row>
    <row r="1232" spans="1:17" x14ac:dyDescent="0.25">
      <c r="A1232">
        <v>2304</v>
      </c>
      <c r="C1232" t="s">
        <v>2508</v>
      </c>
      <c r="E1232" t="s">
        <v>2306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2530</v>
      </c>
      <c r="N1232" s="4">
        <f>SUM(Table1[[#This Row],[2025]:[2018]])</f>
        <v>2530</v>
      </c>
      <c r="O1232" s="2">
        <f>Table1[[#This Row],[ttl]]/SUM(Table1[ttl])</f>
        <v>5.1015653262204083E-6</v>
      </c>
      <c r="P1232" s="3">
        <f>SUM($O$2:Table1[[#This Row],[pctAllTimeExp]])</f>
        <v>0.99830904523911768</v>
      </c>
      <c r="Q1232" t="b">
        <f>Table1[[#This Row],[cumPctAllTimeExp]]&lt;0.95</f>
        <v>0</v>
      </c>
    </row>
    <row r="1233" spans="1:17" x14ac:dyDescent="0.25">
      <c r="A1233">
        <v>389</v>
      </c>
      <c r="C1233" t="s">
        <v>2508</v>
      </c>
      <c r="E1233" t="s">
        <v>391</v>
      </c>
      <c r="F1233" s="4">
        <v>2102.3000000000002</v>
      </c>
      <c r="G1233" s="4">
        <v>425.05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f>SUM(Table1[[#This Row],[2025]:[2018]])</f>
        <v>2527.3500000000004</v>
      </c>
      <c r="O1233" s="2">
        <f>Table1[[#This Row],[ttl]]/SUM(Table1[ttl])</f>
        <v>5.0962217894162648E-6</v>
      </c>
      <c r="P1233" s="3">
        <f>SUM($O$2:Table1[[#This Row],[pctAllTimeExp]])</f>
        <v>0.99831414146090713</v>
      </c>
      <c r="Q1233" t="b">
        <f>Table1[[#This Row],[cumPctAllTimeExp]]&lt;0.95</f>
        <v>0</v>
      </c>
    </row>
    <row r="1234" spans="1:17" x14ac:dyDescent="0.25">
      <c r="A1234">
        <v>1061</v>
      </c>
      <c r="C1234" t="s">
        <v>2508</v>
      </c>
      <c r="E1234" t="s">
        <v>1063</v>
      </c>
      <c r="F1234" s="4">
        <v>0</v>
      </c>
      <c r="G1234" s="4">
        <v>0</v>
      </c>
      <c r="H1234" s="4">
        <v>2502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f>SUM(Table1[[#This Row],[2025]:[2018]])</f>
        <v>2502</v>
      </c>
      <c r="O1234" s="2">
        <f>Table1[[#This Row],[ttl]]/SUM(Table1[ttl])</f>
        <v>5.0451053147049252E-6</v>
      </c>
      <c r="P1234" s="3">
        <f>SUM($O$2:Table1[[#This Row],[pctAllTimeExp]])</f>
        <v>0.99831918656622187</v>
      </c>
      <c r="Q1234" t="b">
        <f>Table1[[#This Row],[cumPctAllTimeExp]]&lt;0.95</f>
        <v>0</v>
      </c>
    </row>
    <row r="1235" spans="1:17" x14ac:dyDescent="0.25">
      <c r="A1235">
        <v>795</v>
      </c>
      <c r="C1235" t="s">
        <v>2508</v>
      </c>
      <c r="E1235" t="s">
        <v>797</v>
      </c>
      <c r="F1235" s="4">
        <v>0</v>
      </c>
      <c r="G1235" s="4">
        <v>2501.9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f>SUM(Table1[[#This Row],[2025]:[2018]])</f>
        <v>2501.9</v>
      </c>
      <c r="O1235" s="2">
        <f>Table1[[#This Row],[ttl]]/SUM(Table1[ttl])</f>
        <v>5.0449036718066558E-6</v>
      </c>
      <c r="P1235" s="3">
        <f>SUM($O$2:Table1[[#This Row],[pctAllTimeExp]])</f>
        <v>0.99832423146989369</v>
      </c>
      <c r="Q1235" t="b">
        <f>Table1[[#This Row],[cumPctAllTimeExp]]&lt;0.95</f>
        <v>0</v>
      </c>
    </row>
    <row r="1236" spans="1:17" x14ac:dyDescent="0.25">
      <c r="A1236">
        <v>517</v>
      </c>
      <c r="C1236" t="s">
        <v>2508</v>
      </c>
      <c r="E1236" t="s">
        <v>519</v>
      </c>
      <c r="F1236" s="4">
        <v>650</v>
      </c>
      <c r="G1236" s="4">
        <v>0</v>
      </c>
      <c r="H1236" s="4">
        <v>0</v>
      </c>
      <c r="I1236" s="4">
        <v>650</v>
      </c>
      <c r="J1236" s="4">
        <v>0</v>
      </c>
      <c r="K1236" s="4">
        <v>0</v>
      </c>
      <c r="L1236" s="4">
        <v>600</v>
      </c>
      <c r="M1236" s="4">
        <v>600</v>
      </c>
      <c r="N1236" s="4">
        <f>SUM(Table1[[#This Row],[2025]:[2018]])</f>
        <v>2500</v>
      </c>
      <c r="O1236" s="2">
        <f>Table1[[#This Row],[ttl]]/SUM(Table1[ttl])</f>
        <v>5.0410724567395334E-6</v>
      </c>
      <c r="P1236" s="3">
        <f>SUM($O$2:Table1[[#This Row],[pctAllTimeExp]])</f>
        <v>0.99832927254235038</v>
      </c>
      <c r="Q1236" t="b">
        <f>Table1[[#This Row],[cumPctAllTimeExp]]&lt;0.95</f>
        <v>0</v>
      </c>
    </row>
    <row r="1237" spans="1:17" x14ac:dyDescent="0.25">
      <c r="A1237">
        <v>546</v>
      </c>
      <c r="C1237" t="s">
        <v>2508</v>
      </c>
      <c r="E1237" t="s">
        <v>548</v>
      </c>
      <c r="F1237" s="4">
        <v>550</v>
      </c>
      <c r="G1237" s="4">
        <v>1000</v>
      </c>
      <c r="H1237" s="4">
        <v>0</v>
      </c>
      <c r="I1237" s="4">
        <v>0</v>
      </c>
      <c r="J1237" s="4">
        <v>0</v>
      </c>
      <c r="K1237" s="4">
        <v>0</v>
      </c>
      <c r="L1237" s="4">
        <v>500</v>
      </c>
      <c r="M1237" s="4">
        <v>450</v>
      </c>
      <c r="N1237" s="4">
        <f>SUM(Table1[[#This Row],[2025]:[2018]])</f>
        <v>2500</v>
      </c>
      <c r="O1237" s="2">
        <f>Table1[[#This Row],[ttl]]/SUM(Table1[ttl])</f>
        <v>5.0410724567395334E-6</v>
      </c>
      <c r="P1237" s="3">
        <f>SUM($O$2:Table1[[#This Row],[pctAllTimeExp]])</f>
        <v>0.99833431361480707</v>
      </c>
      <c r="Q1237" t="b">
        <f>Table1[[#This Row],[cumPctAllTimeExp]]&lt;0.95</f>
        <v>0</v>
      </c>
    </row>
    <row r="1238" spans="1:17" x14ac:dyDescent="0.25">
      <c r="A1238">
        <v>796</v>
      </c>
      <c r="C1238" t="s">
        <v>2508</v>
      </c>
      <c r="E1238" t="s">
        <v>798</v>
      </c>
      <c r="F1238" s="4">
        <v>0</v>
      </c>
      <c r="G1238" s="4">
        <v>2500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f>SUM(Table1[[#This Row],[2025]:[2018]])</f>
        <v>2500</v>
      </c>
      <c r="O1238" s="2">
        <f>Table1[[#This Row],[ttl]]/SUM(Table1[ttl])</f>
        <v>5.0410724567395334E-6</v>
      </c>
      <c r="P1238" s="3">
        <f>SUM($O$2:Table1[[#This Row],[pctAllTimeExp]])</f>
        <v>0.99833935468726376</v>
      </c>
      <c r="Q1238" t="b">
        <f>Table1[[#This Row],[cumPctAllTimeExp]]&lt;0.95</f>
        <v>0</v>
      </c>
    </row>
    <row r="1239" spans="1:17" x14ac:dyDescent="0.25">
      <c r="A1239">
        <v>1062</v>
      </c>
      <c r="C1239" t="s">
        <v>2508</v>
      </c>
      <c r="E1239" t="s">
        <v>1064</v>
      </c>
      <c r="F1239" s="4">
        <v>0</v>
      </c>
      <c r="G1239" s="4">
        <v>0</v>
      </c>
      <c r="H1239" s="4">
        <v>2500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f>SUM(Table1[[#This Row],[2025]:[2018]])</f>
        <v>2500</v>
      </c>
      <c r="O1239" s="2">
        <f>Table1[[#This Row],[ttl]]/SUM(Table1[ttl])</f>
        <v>5.0410724567395334E-6</v>
      </c>
      <c r="P1239" s="3">
        <f>SUM($O$2:Table1[[#This Row],[pctAllTimeExp]])</f>
        <v>0.99834439575972045</v>
      </c>
      <c r="Q1239" t="b">
        <f>Table1[[#This Row],[cumPctAllTimeExp]]&lt;0.95</f>
        <v>0</v>
      </c>
    </row>
    <row r="1240" spans="1:17" x14ac:dyDescent="0.25">
      <c r="A1240">
        <v>1063</v>
      </c>
      <c r="C1240" t="s">
        <v>2508</v>
      </c>
      <c r="E1240" t="s">
        <v>1065</v>
      </c>
      <c r="F1240" s="4">
        <v>0</v>
      </c>
      <c r="G1240" s="4">
        <v>0</v>
      </c>
      <c r="H1240" s="4">
        <v>2500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f>SUM(Table1[[#This Row],[2025]:[2018]])</f>
        <v>2500</v>
      </c>
      <c r="O1240" s="2">
        <f>Table1[[#This Row],[ttl]]/SUM(Table1[ttl])</f>
        <v>5.0410724567395334E-6</v>
      </c>
      <c r="P1240" s="3">
        <f>SUM($O$2:Table1[[#This Row],[pctAllTimeExp]])</f>
        <v>0.99834943683217714</v>
      </c>
      <c r="Q1240" t="b">
        <f>Table1[[#This Row],[cumPctAllTimeExp]]&lt;0.95</f>
        <v>0</v>
      </c>
    </row>
    <row r="1241" spans="1:17" x14ac:dyDescent="0.25">
      <c r="A1241">
        <v>2037</v>
      </c>
      <c r="C1241" t="s">
        <v>2508</v>
      </c>
      <c r="E1241" t="s">
        <v>2039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2500</v>
      </c>
      <c r="M1241" s="4">
        <v>0</v>
      </c>
      <c r="N1241" s="4">
        <f>SUM(Table1[[#This Row],[2025]:[2018]])</f>
        <v>2500</v>
      </c>
      <c r="O1241" s="2">
        <f>Table1[[#This Row],[ttl]]/SUM(Table1[ttl])</f>
        <v>5.0410724567395334E-6</v>
      </c>
      <c r="P1241" s="3">
        <f>SUM($O$2:Table1[[#This Row],[pctAllTimeExp]])</f>
        <v>0.99835447790463383</v>
      </c>
      <c r="Q1241" t="b">
        <f>Table1[[#This Row],[cumPctAllTimeExp]]&lt;0.95</f>
        <v>0</v>
      </c>
    </row>
    <row r="1242" spans="1:17" x14ac:dyDescent="0.25">
      <c r="A1242">
        <v>2219</v>
      </c>
      <c r="C1242" t="s">
        <v>2508</v>
      </c>
      <c r="E1242" t="s">
        <v>2221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64.83</v>
      </c>
      <c r="M1242" s="4">
        <v>2411.88</v>
      </c>
      <c r="N1242" s="4">
        <f>SUM(Table1[[#This Row],[2025]:[2018]])</f>
        <v>2476.71</v>
      </c>
      <c r="O1242" s="2">
        <f>Table1[[#This Row],[ttl]]/SUM(Table1[ttl])</f>
        <v>4.9941098257325485E-6</v>
      </c>
      <c r="P1242" s="3">
        <f>SUM($O$2:Table1[[#This Row],[pctAllTimeExp]])</f>
        <v>0.99835947201445951</v>
      </c>
      <c r="Q1242" t="b">
        <f>Table1[[#This Row],[cumPctAllTimeExp]]&lt;0.95</f>
        <v>0</v>
      </c>
    </row>
    <row r="1243" spans="1:17" x14ac:dyDescent="0.25">
      <c r="A1243">
        <v>492</v>
      </c>
      <c r="C1243" t="s">
        <v>2508</v>
      </c>
      <c r="E1243" t="s">
        <v>494</v>
      </c>
      <c r="F1243" s="4">
        <v>845.5</v>
      </c>
      <c r="G1243" s="4">
        <v>0</v>
      </c>
      <c r="H1243" s="4">
        <v>545</v>
      </c>
      <c r="I1243" s="4">
        <v>267.5</v>
      </c>
      <c r="J1243" s="4">
        <v>267.5</v>
      </c>
      <c r="K1243" s="4">
        <v>0</v>
      </c>
      <c r="L1243" s="4">
        <v>275</v>
      </c>
      <c r="M1243" s="4">
        <v>275</v>
      </c>
      <c r="N1243" s="4">
        <f>SUM(Table1[[#This Row],[2025]:[2018]])</f>
        <v>2475.5</v>
      </c>
      <c r="O1243" s="2">
        <f>Table1[[#This Row],[ttl]]/SUM(Table1[ttl])</f>
        <v>4.991669946663486E-6</v>
      </c>
      <c r="P1243" s="3">
        <f>SUM($O$2:Table1[[#This Row],[pctAllTimeExp]])</f>
        <v>0.99836446368440623</v>
      </c>
      <c r="Q1243" t="b">
        <f>Table1[[#This Row],[cumPctAllTimeExp]]&lt;0.95</f>
        <v>0</v>
      </c>
    </row>
    <row r="1244" spans="1:17" x14ac:dyDescent="0.25">
      <c r="A1244">
        <v>1621</v>
      </c>
      <c r="C1244" t="s">
        <v>2508</v>
      </c>
      <c r="E1244" t="s">
        <v>1623</v>
      </c>
      <c r="F1244" s="4">
        <v>0</v>
      </c>
      <c r="G1244" s="4">
        <v>0</v>
      </c>
      <c r="H1244" s="4">
        <v>0</v>
      </c>
      <c r="I1244" s="4">
        <v>0</v>
      </c>
      <c r="J1244" s="4">
        <v>78.069999999999993</v>
      </c>
      <c r="K1244" s="4">
        <v>467.21</v>
      </c>
      <c r="L1244" s="4">
        <v>791.44</v>
      </c>
      <c r="M1244" s="4">
        <v>1136.5999999999999</v>
      </c>
      <c r="N1244" s="4">
        <f>SUM(Table1[[#This Row],[2025]:[2018]])</f>
        <v>2473.3199999999997</v>
      </c>
      <c r="O1244" s="2">
        <f>Table1[[#This Row],[ttl]]/SUM(Table1[ttl])</f>
        <v>4.9872741314812087E-6</v>
      </c>
      <c r="P1244" s="3">
        <f>SUM($O$2:Table1[[#This Row],[pctAllTimeExp]])</f>
        <v>0.99836945095853769</v>
      </c>
      <c r="Q1244" t="b">
        <f>Table1[[#This Row],[cumPctAllTimeExp]]&lt;0.95</f>
        <v>0</v>
      </c>
    </row>
    <row r="1245" spans="1:17" x14ac:dyDescent="0.25">
      <c r="A1245">
        <v>2305</v>
      </c>
      <c r="C1245" t="s">
        <v>2508</v>
      </c>
      <c r="E1245" t="s">
        <v>2307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2461.41</v>
      </c>
      <c r="N1245" s="4">
        <f>SUM(Table1[[#This Row],[2025]:[2018]])</f>
        <v>2461.41</v>
      </c>
      <c r="O1245" s="2">
        <f>Table1[[#This Row],[ttl]]/SUM(Table1[ttl])</f>
        <v>4.9632584622973017E-6</v>
      </c>
      <c r="P1245" s="3">
        <f>SUM($O$2:Table1[[#This Row],[pctAllTimeExp]])</f>
        <v>0.99837441421700002</v>
      </c>
      <c r="Q1245" t="b">
        <f>Table1[[#This Row],[cumPctAllTimeExp]]&lt;0.95</f>
        <v>0</v>
      </c>
    </row>
    <row r="1246" spans="1:17" x14ac:dyDescent="0.25">
      <c r="A1246">
        <v>426</v>
      </c>
      <c r="C1246" t="s">
        <v>2508</v>
      </c>
      <c r="E1246" t="s">
        <v>428</v>
      </c>
      <c r="F1246" s="4">
        <v>1501.51</v>
      </c>
      <c r="G1246" s="4">
        <v>0</v>
      </c>
      <c r="H1246" s="4">
        <v>0</v>
      </c>
      <c r="I1246" s="4">
        <v>283.95999999999998</v>
      </c>
      <c r="J1246" s="4">
        <v>120.29</v>
      </c>
      <c r="K1246" s="4">
        <v>551</v>
      </c>
      <c r="L1246" s="4">
        <v>0</v>
      </c>
      <c r="M1246" s="4">
        <v>0</v>
      </c>
      <c r="N1246" s="4">
        <f>SUM(Table1[[#This Row],[2025]:[2018]])</f>
        <v>2456.7600000000002</v>
      </c>
      <c r="O1246" s="2">
        <f>Table1[[#This Row],[ttl]]/SUM(Table1[ttl])</f>
        <v>4.9538820675277671E-6</v>
      </c>
      <c r="P1246" s="3">
        <f>SUM($O$2:Table1[[#This Row],[pctAllTimeExp]])</f>
        <v>0.99837936809906758</v>
      </c>
      <c r="Q1246" t="b">
        <f>Table1[[#This Row],[cumPctAllTimeExp]]&lt;0.95</f>
        <v>0</v>
      </c>
    </row>
    <row r="1247" spans="1:17" x14ac:dyDescent="0.25">
      <c r="A1247">
        <v>1153</v>
      </c>
      <c r="C1247" t="s">
        <v>2508</v>
      </c>
      <c r="E1247" t="s">
        <v>1155</v>
      </c>
      <c r="F1247" s="4">
        <v>0</v>
      </c>
      <c r="G1247" s="4">
        <v>0</v>
      </c>
      <c r="H1247" s="4">
        <v>240</v>
      </c>
      <c r="I1247" s="4">
        <v>480</v>
      </c>
      <c r="J1247" s="4">
        <v>240</v>
      </c>
      <c r="K1247" s="4">
        <v>480</v>
      </c>
      <c r="L1247" s="4">
        <v>480</v>
      </c>
      <c r="M1247" s="4">
        <v>531.52</v>
      </c>
      <c r="N1247" s="4">
        <f>SUM(Table1[[#This Row],[2025]:[2018]])</f>
        <v>2451.52</v>
      </c>
      <c r="O1247" s="2">
        <f>Table1[[#This Row],[ttl]]/SUM(Table1[ttl])</f>
        <v>4.9433159796584404E-6</v>
      </c>
      <c r="P1247" s="3">
        <f>SUM($O$2:Table1[[#This Row],[pctAllTimeExp]])</f>
        <v>0.99838431141504724</v>
      </c>
      <c r="Q1247" t="b">
        <f>Table1[[#This Row],[cumPctAllTimeExp]]&lt;0.95</f>
        <v>0</v>
      </c>
    </row>
    <row r="1248" spans="1:17" x14ac:dyDescent="0.25">
      <c r="A1248">
        <v>902</v>
      </c>
      <c r="C1248" t="s">
        <v>2508</v>
      </c>
      <c r="E1248" t="s">
        <v>904</v>
      </c>
      <c r="F1248" s="4">
        <v>0</v>
      </c>
      <c r="G1248" s="4">
        <v>300</v>
      </c>
      <c r="H1248" s="4">
        <v>0</v>
      </c>
      <c r="I1248" s="4">
        <v>0</v>
      </c>
      <c r="J1248" s="4">
        <v>0</v>
      </c>
      <c r="K1248" s="4">
        <v>800</v>
      </c>
      <c r="L1248" s="4">
        <v>1350</v>
      </c>
      <c r="M1248" s="4">
        <v>0</v>
      </c>
      <c r="N1248" s="4">
        <f>SUM(Table1[[#This Row],[2025]:[2018]])</f>
        <v>2450</v>
      </c>
      <c r="O1248" s="2">
        <f>Table1[[#This Row],[ttl]]/SUM(Table1[ttl])</f>
        <v>4.9402510076047432E-6</v>
      </c>
      <c r="P1248" s="3">
        <f>SUM($O$2:Table1[[#This Row],[pctAllTimeExp]])</f>
        <v>0.99838925166605486</v>
      </c>
      <c r="Q1248" t="b">
        <f>Table1[[#This Row],[cumPctAllTimeExp]]&lt;0.95</f>
        <v>0</v>
      </c>
    </row>
    <row r="1249" spans="1:17" x14ac:dyDescent="0.25">
      <c r="A1249">
        <v>376</v>
      </c>
      <c r="C1249" t="s">
        <v>2508</v>
      </c>
      <c r="E1249" t="s">
        <v>378</v>
      </c>
      <c r="F1249" s="4">
        <v>2435.5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f>SUM(Table1[[#This Row],[2025]:[2018]])</f>
        <v>2435.5</v>
      </c>
      <c r="O1249" s="2">
        <f>Table1[[#This Row],[ttl]]/SUM(Table1[ttl])</f>
        <v>4.9110127873556539E-6</v>
      </c>
      <c r="P1249" s="3">
        <f>SUM($O$2:Table1[[#This Row],[pctAllTimeExp]])</f>
        <v>0.99839416267884218</v>
      </c>
      <c r="Q1249" t="b">
        <f>Table1[[#This Row],[cumPctAllTimeExp]]&lt;0.95</f>
        <v>0</v>
      </c>
    </row>
    <row r="1250" spans="1:17" x14ac:dyDescent="0.25">
      <c r="A1250">
        <v>2306</v>
      </c>
      <c r="C1250" t="s">
        <v>2508</v>
      </c>
      <c r="E1250" t="s">
        <v>2308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2420</v>
      </c>
      <c r="N1250" s="4">
        <f>SUM(Table1[[#This Row],[2025]:[2018]])</f>
        <v>2420</v>
      </c>
      <c r="O1250" s="2">
        <f>Table1[[#This Row],[ttl]]/SUM(Table1[ttl])</f>
        <v>4.8797581381238682E-6</v>
      </c>
      <c r="P1250" s="3">
        <f>SUM($O$2:Table1[[#This Row],[pctAllTimeExp]])</f>
        <v>0.9983990424369803</v>
      </c>
      <c r="Q1250" t="b">
        <f>Table1[[#This Row],[cumPctAllTimeExp]]&lt;0.95</f>
        <v>0</v>
      </c>
    </row>
    <row r="1251" spans="1:17" x14ac:dyDescent="0.25">
      <c r="A1251">
        <v>1647</v>
      </c>
      <c r="C1251" t="s">
        <v>2508</v>
      </c>
      <c r="E1251" t="s">
        <v>1649</v>
      </c>
      <c r="F1251" s="4">
        <v>0</v>
      </c>
      <c r="G1251" s="4">
        <v>0</v>
      </c>
      <c r="H1251" s="4">
        <v>0</v>
      </c>
      <c r="I1251" s="4">
        <v>0</v>
      </c>
      <c r="J1251" s="4">
        <v>12</v>
      </c>
      <c r="K1251" s="4">
        <v>793.36</v>
      </c>
      <c r="L1251" s="4">
        <v>618</v>
      </c>
      <c r="M1251" s="4">
        <v>981.36</v>
      </c>
      <c r="N1251" s="4">
        <f>SUM(Table1[[#This Row],[2025]:[2018]])</f>
        <v>2404.7200000000003</v>
      </c>
      <c r="O1251" s="2">
        <f>Table1[[#This Row],[ttl]]/SUM(Table1[ttl])</f>
        <v>4.8489471032682771E-6</v>
      </c>
      <c r="P1251" s="3">
        <f>SUM($O$2:Table1[[#This Row],[pctAllTimeExp]])</f>
        <v>0.99840389138408359</v>
      </c>
      <c r="Q1251" t="b">
        <f>Table1[[#This Row],[cumPctAllTimeExp]]&lt;0.95</f>
        <v>0</v>
      </c>
    </row>
    <row r="1252" spans="1:17" x14ac:dyDescent="0.25">
      <c r="A1252">
        <v>572</v>
      </c>
      <c r="C1252" t="s">
        <v>2508</v>
      </c>
      <c r="E1252" t="s">
        <v>574</v>
      </c>
      <c r="F1252" s="4">
        <v>480</v>
      </c>
      <c r="G1252" s="4">
        <v>480</v>
      </c>
      <c r="H1252" s="4">
        <v>600</v>
      </c>
      <c r="I1252" s="4">
        <v>480</v>
      </c>
      <c r="J1252" s="4">
        <v>360</v>
      </c>
      <c r="K1252" s="4">
        <v>0</v>
      </c>
      <c r="L1252" s="4">
        <v>0</v>
      </c>
      <c r="M1252" s="4">
        <v>0</v>
      </c>
      <c r="N1252" s="4">
        <f>SUM(Table1[[#This Row],[2025]:[2018]])</f>
        <v>2400</v>
      </c>
      <c r="O1252" s="2">
        <f>Table1[[#This Row],[ttl]]/SUM(Table1[ttl])</f>
        <v>4.8394295584699522E-6</v>
      </c>
      <c r="P1252" s="3">
        <f>SUM($O$2:Table1[[#This Row],[pctAllTimeExp]])</f>
        <v>0.99840873081364201</v>
      </c>
      <c r="Q1252" t="b">
        <f>Table1[[#This Row],[cumPctAllTimeExp]]&lt;0.95</f>
        <v>0</v>
      </c>
    </row>
    <row r="1253" spans="1:17" x14ac:dyDescent="0.25">
      <c r="A1253">
        <v>2038</v>
      </c>
      <c r="C1253" t="s">
        <v>2508</v>
      </c>
      <c r="E1253" t="s">
        <v>2040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2400</v>
      </c>
      <c r="M1253" s="4">
        <v>0</v>
      </c>
      <c r="N1253" s="4">
        <f>SUM(Table1[[#This Row],[2025]:[2018]])</f>
        <v>2400</v>
      </c>
      <c r="O1253" s="2">
        <f>Table1[[#This Row],[ttl]]/SUM(Table1[ttl])</f>
        <v>4.8394295584699522E-6</v>
      </c>
      <c r="P1253" s="3">
        <f>SUM($O$2:Table1[[#This Row],[pctAllTimeExp]])</f>
        <v>0.99841357024320043</v>
      </c>
      <c r="Q1253" t="b">
        <f>Table1[[#This Row],[cumPctAllTimeExp]]&lt;0.95</f>
        <v>0</v>
      </c>
    </row>
    <row r="1254" spans="1:17" x14ac:dyDescent="0.25">
      <c r="A1254">
        <v>2059</v>
      </c>
      <c r="C1254" t="s">
        <v>2508</v>
      </c>
      <c r="E1254" t="s">
        <v>2061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1600</v>
      </c>
      <c r="M1254" s="4">
        <v>800</v>
      </c>
      <c r="N1254" s="4">
        <f>SUM(Table1[[#This Row],[2025]:[2018]])</f>
        <v>2400</v>
      </c>
      <c r="O1254" s="2">
        <f>Table1[[#This Row],[ttl]]/SUM(Table1[ttl])</f>
        <v>4.8394295584699522E-6</v>
      </c>
      <c r="P1254" s="3">
        <f>SUM($O$2:Table1[[#This Row],[pctAllTimeExp]])</f>
        <v>0.99841840967275886</v>
      </c>
      <c r="Q1254" t="b">
        <f>Table1[[#This Row],[cumPctAllTimeExp]]&lt;0.95</f>
        <v>0</v>
      </c>
    </row>
    <row r="1255" spans="1:17" x14ac:dyDescent="0.25">
      <c r="A1255">
        <v>1756</v>
      </c>
      <c r="C1255" t="s">
        <v>2508</v>
      </c>
      <c r="E1255" t="s">
        <v>1758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1502.6</v>
      </c>
      <c r="L1255" s="4">
        <v>535.33000000000004</v>
      </c>
      <c r="M1255" s="4">
        <v>353.24</v>
      </c>
      <c r="N1255" s="4">
        <f>SUM(Table1[[#This Row],[2025]:[2018]])</f>
        <v>2391.17</v>
      </c>
      <c r="O1255" s="2">
        <f>Table1[[#This Row],[ttl]]/SUM(Table1[ttl])</f>
        <v>4.8216244905527485E-6</v>
      </c>
      <c r="P1255" s="3">
        <f>SUM($O$2:Table1[[#This Row],[pctAllTimeExp]])</f>
        <v>0.99842323129724941</v>
      </c>
      <c r="Q1255" t="b">
        <f>Table1[[#This Row],[cumPctAllTimeExp]]&lt;0.95</f>
        <v>0</v>
      </c>
    </row>
    <row r="1256" spans="1:17" x14ac:dyDescent="0.25">
      <c r="A1256">
        <v>671</v>
      </c>
      <c r="C1256" t="s">
        <v>2508</v>
      </c>
      <c r="E1256" t="s">
        <v>673</v>
      </c>
      <c r="F1256" s="4">
        <v>95</v>
      </c>
      <c r="G1256" s="4">
        <v>1015</v>
      </c>
      <c r="H1256" s="4">
        <v>0</v>
      </c>
      <c r="I1256" s="4">
        <v>0</v>
      </c>
      <c r="J1256" s="4">
        <v>1100</v>
      </c>
      <c r="K1256" s="4">
        <v>0</v>
      </c>
      <c r="L1256" s="4">
        <v>0</v>
      </c>
      <c r="M1256" s="4">
        <v>170</v>
      </c>
      <c r="N1256" s="4">
        <f>SUM(Table1[[#This Row],[2025]:[2018]])</f>
        <v>2380</v>
      </c>
      <c r="O1256" s="2">
        <f>Table1[[#This Row],[ttl]]/SUM(Table1[ttl])</f>
        <v>4.7991009788160361E-6</v>
      </c>
      <c r="P1256" s="3">
        <f>SUM($O$2:Table1[[#This Row],[pctAllTimeExp]])</f>
        <v>0.99842803039822825</v>
      </c>
      <c r="Q1256" t="b">
        <f>Table1[[#This Row],[cumPctAllTimeExp]]&lt;0.95</f>
        <v>0</v>
      </c>
    </row>
    <row r="1257" spans="1:17" x14ac:dyDescent="0.25">
      <c r="A1257">
        <v>2039</v>
      </c>
      <c r="C1257" t="s">
        <v>2508</v>
      </c>
      <c r="E1257" t="s">
        <v>2041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2378.5100000000002</v>
      </c>
      <c r="M1257" s="4">
        <v>0</v>
      </c>
      <c r="N1257" s="4">
        <f>SUM(Table1[[#This Row],[2025]:[2018]])</f>
        <v>2378.5100000000002</v>
      </c>
      <c r="O1257" s="2">
        <f>Table1[[#This Row],[ttl]]/SUM(Table1[ttl])</f>
        <v>4.7960964996318195E-6</v>
      </c>
      <c r="P1257" s="3">
        <f>SUM($O$2:Table1[[#This Row],[pctAllTimeExp]])</f>
        <v>0.99843282649472787</v>
      </c>
      <c r="Q1257" t="b">
        <f>Table1[[#This Row],[cumPctAllTimeExp]]&lt;0.95</f>
        <v>0</v>
      </c>
    </row>
    <row r="1258" spans="1:17" x14ac:dyDescent="0.25">
      <c r="A1258">
        <v>2307</v>
      </c>
      <c r="C1258" t="s">
        <v>2508</v>
      </c>
      <c r="E1258" t="s">
        <v>2309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2352</v>
      </c>
      <c r="N1258" s="4">
        <f>SUM(Table1[[#This Row],[2025]:[2018]])</f>
        <v>2352</v>
      </c>
      <c r="O1258" s="2">
        <f>Table1[[#This Row],[ttl]]/SUM(Table1[ttl])</f>
        <v>4.7426409673005537E-6</v>
      </c>
      <c r="P1258" s="3">
        <f>SUM($O$2:Table1[[#This Row],[pctAllTimeExp]])</f>
        <v>0.99843756913569515</v>
      </c>
      <c r="Q1258" t="b">
        <f>Table1[[#This Row],[cumPctAllTimeExp]]&lt;0.95</f>
        <v>0</v>
      </c>
    </row>
    <row r="1259" spans="1:17" x14ac:dyDescent="0.25">
      <c r="A1259">
        <v>2041</v>
      </c>
      <c r="C1259" t="s">
        <v>2508</v>
      </c>
      <c r="E1259" t="s">
        <v>2043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2350</v>
      </c>
      <c r="M1259" s="4">
        <v>0</v>
      </c>
      <c r="N1259" s="4">
        <f>SUM(Table1[[#This Row],[2025]:[2018]])</f>
        <v>2350</v>
      </c>
      <c r="O1259" s="2">
        <f>Table1[[#This Row],[ttl]]/SUM(Table1[ttl])</f>
        <v>4.738608109335162E-6</v>
      </c>
      <c r="P1259" s="3">
        <f>SUM($O$2:Table1[[#This Row],[pctAllTimeExp]])</f>
        <v>0.99844230774380449</v>
      </c>
      <c r="Q1259" t="b">
        <f>Table1[[#This Row],[cumPctAllTimeExp]]&lt;0.95</f>
        <v>0</v>
      </c>
    </row>
    <row r="1260" spans="1:17" x14ac:dyDescent="0.25">
      <c r="A1260">
        <v>549</v>
      </c>
      <c r="C1260" t="s">
        <v>2508</v>
      </c>
      <c r="E1260" t="s">
        <v>551</v>
      </c>
      <c r="F1260" s="4">
        <v>525</v>
      </c>
      <c r="G1260" s="4">
        <v>525</v>
      </c>
      <c r="H1260" s="4">
        <v>450</v>
      </c>
      <c r="I1260" s="4">
        <v>150</v>
      </c>
      <c r="J1260" s="4">
        <v>0</v>
      </c>
      <c r="K1260" s="4">
        <v>375</v>
      </c>
      <c r="L1260" s="4">
        <v>0</v>
      </c>
      <c r="M1260" s="4">
        <v>300</v>
      </c>
      <c r="N1260" s="4">
        <f>SUM(Table1[[#This Row],[2025]:[2018]])</f>
        <v>2325</v>
      </c>
      <c r="O1260" s="2">
        <f>Table1[[#This Row],[ttl]]/SUM(Table1[ttl])</f>
        <v>4.688197384767766E-6</v>
      </c>
      <c r="P1260" s="3">
        <f>SUM($O$2:Table1[[#This Row],[pctAllTimeExp]])</f>
        <v>0.99844699594118924</v>
      </c>
      <c r="Q1260" t="b">
        <f>Table1[[#This Row],[cumPctAllTimeExp]]&lt;0.95</f>
        <v>0</v>
      </c>
    </row>
    <row r="1261" spans="1:17" x14ac:dyDescent="0.25">
      <c r="A1261">
        <v>2308</v>
      </c>
      <c r="C1261" t="s">
        <v>2508</v>
      </c>
      <c r="E1261" t="s">
        <v>2310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2313</v>
      </c>
      <c r="N1261" s="4">
        <f>SUM(Table1[[#This Row],[2025]:[2018]])</f>
        <v>2313</v>
      </c>
      <c r="O1261" s="2">
        <f>Table1[[#This Row],[ttl]]/SUM(Table1[ttl])</f>
        <v>4.6640002369754162E-6</v>
      </c>
      <c r="P1261" s="3">
        <f>SUM($O$2:Table1[[#This Row],[pctAllTimeExp]])</f>
        <v>0.99845165994142626</v>
      </c>
      <c r="Q1261" t="b">
        <f>Table1[[#This Row],[cumPctAllTimeExp]]&lt;0.95</f>
        <v>0</v>
      </c>
    </row>
    <row r="1262" spans="1:17" x14ac:dyDescent="0.25">
      <c r="A1262">
        <v>1918</v>
      </c>
      <c r="C1262" t="s">
        <v>2508</v>
      </c>
      <c r="E1262" t="s">
        <v>1920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88.92</v>
      </c>
      <c r="L1262" s="4">
        <v>1155.96</v>
      </c>
      <c r="M1262" s="4">
        <v>1067.04</v>
      </c>
      <c r="N1262" s="4">
        <f>SUM(Table1[[#This Row],[2025]:[2018]])</f>
        <v>2311.92</v>
      </c>
      <c r="O1262" s="2">
        <f>Table1[[#This Row],[ttl]]/SUM(Table1[ttl])</f>
        <v>4.6618224936741054E-6</v>
      </c>
      <c r="P1262" s="3">
        <f>SUM($O$2:Table1[[#This Row],[pctAllTimeExp]])</f>
        <v>0.99845632176391996</v>
      </c>
      <c r="Q1262" t="b">
        <f>Table1[[#This Row],[cumPctAllTimeExp]]&lt;0.95</f>
        <v>0</v>
      </c>
    </row>
    <row r="1263" spans="1:17" x14ac:dyDescent="0.25">
      <c r="A1263">
        <v>2142</v>
      </c>
      <c r="C1263" t="s">
        <v>2508</v>
      </c>
      <c r="E1263" t="s">
        <v>2144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375</v>
      </c>
      <c r="M1263" s="4">
        <v>1935</v>
      </c>
      <c r="N1263" s="4">
        <f>SUM(Table1[[#This Row],[2025]:[2018]])</f>
        <v>2310</v>
      </c>
      <c r="O1263" s="2">
        <f>Table1[[#This Row],[ttl]]/SUM(Table1[ttl])</f>
        <v>4.657950950027329E-6</v>
      </c>
      <c r="P1263" s="3">
        <f>SUM($O$2:Table1[[#This Row],[pctAllTimeExp]])</f>
        <v>0.99846097971487002</v>
      </c>
      <c r="Q1263" t="b">
        <f>Table1[[#This Row],[cumPctAllTimeExp]]&lt;0.95</f>
        <v>0</v>
      </c>
    </row>
    <row r="1264" spans="1:17" x14ac:dyDescent="0.25">
      <c r="A1264">
        <v>1254</v>
      </c>
      <c r="C1264" t="s">
        <v>2508</v>
      </c>
      <c r="E1264" t="s">
        <v>1256</v>
      </c>
      <c r="F1264" s="4">
        <v>0</v>
      </c>
      <c r="G1264" s="4">
        <v>0</v>
      </c>
      <c r="H1264" s="4">
        <v>0</v>
      </c>
      <c r="I1264" s="4">
        <v>2292</v>
      </c>
      <c r="J1264" s="4">
        <v>0</v>
      </c>
      <c r="K1264" s="4">
        <v>0</v>
      </c>
      <c r="L1264" s="4">
        <v>0</v>
      </c>
      <c r="M1264" s="4">
        <v>0</v>
      </c>
      <c r="N1264" s="4">
        <f>SUM(Table1[[#This Row],[2025]:[2018]])</f>
        <v>2292</v>
      </c>
      <c r="O1264" s="2">
        <f>Table1[[#This Row],[ttl]]/SUM(Table1[ttl])</f>
        <v>4.6216552283388047E-6</v>
      </c>
      <c r="P1264" s="3">
        <f>SUM($O$2:Table1[[#This Row],[pctAllTimeExp]])</f>
        <v>0.99846560137009832</v>
      </c>
      <c r="Q1264" t="b">
        <f>Table1[[#This Row],[cumPctAllTimeExp]]&lt;0.95</f>
        <v>0</v>
      </c>
    </row>
    <row r="1265" spans="1:17" x14ac:dyDescent="0.25">
      <c r="A1265">
        <v>1508</v>
      </c>
      <c r="C1265" t="s">
        <v>2508</v>
      </c>
      <c r="E1265" t="s">
        <v>1510</v>
      </c>
      <c r="F1265" s="4">
        <v>0</v>
      </c>
      <c r="G1265" s="4">
        <v>0</v>
      </c>
      <c r="H1265" s="4">
        <v>0</v>
      </c>
      <c r="I1265" s="4">
        <v>0</v>
      </c>
      <c r="J1265" s="4">
        <v>624.15</v>
      </c>
      <c r="K1265" s="4">
        <v>1645.44</v>
      </c>
      <c r="L1265" s="4">
        <v>0</v>
      </c>
      <c r="M1265" s="4">
        <v>0</v>
      </c>
      <c r="N1265" s="4">
        <f>SUM(Table1[[#This Row],[2025]:[2018]])</f>
        <v>2269.59</v>
      </c>
      <c r="O1265" s="2">
        <f>Table1[[#This Row],[ttl]]/SUM(Table1[ttl])</f>
        <v>4.5764670548365918E-6</v>
      </c>
      <c r="P1265" s="3">
        <f>SUM($O$2:Table1[[#This Row],[pctAllTimeExp]])</f>
        <v>0.99847017783715319</v>
      </c>
      <c r="Q1265" t="b">
        <f>Table1[[#This Row],[cumPctAllTimeExp]]&lt;0.95</f>
        <v>0</v>
      </c>
    </row>
    <row r="1266" spans="1:17" x14ac:dyDescent="0.25">
      <c r="A1266">
        <v>383</v>
      </c>
      <c r="C1266" t="s">
        <v>2508</v>
      </c>
      <c r="E1266" t="s">
        <v>385</v>
      </c>
      <c r="F1266" s="4">
        <v>2262.9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f>SUM(Table1[[#This Row],[2025]:[2018]])</f>
        <v>2262.9</v>
      </c>
      <c r="O1266" s="2">
        <f>Table1[[#This Row],[ttl]]/SUM(Table1[ttl])</f>
        <v>4.5629771449423566E-6</v>
      </c>
      <c r="P1266" s="3">
        <f>SUM($O$2:Table1[[#This Row],[pctAllTimeExp]])</f>
        <v>0.9984747408142981</v>
      </c>
      <c r="Q1266" t="b">
        <f>Table1[[#This Row],[cumPctAllTimeExp]]&lt;0.95</f>
        <v>0</v>
      </c>
    </row>
    <row r="1267" spans="1:17" x14ac:dyDescent="0.25">
      <c r="A1267">
        <v>1473</v>
      </c>
      <c r="C1267" t="s">
        <v>2508</v>
      </c>
      <c r="E1267" t="s">
        <v>1475</v>
      </c>
      <c r="F1267" s="4">
        <v>0</v>
      </c>
      <c r="G1267" s="4">
        <v>0</v>
      </c>
      <c r="H1267" s="4">
        <v>0</v>
      </c>
      <c r="I1267" s="4">
        <v>0</v>
      </c>
      <c r="J1267" s="4">
        <v>1376.66</v>
      </c>
      <c r="K1267" s="4">
        <v>0</v>
      </c>
      <c r="L1267" s="4">
        <v>0</v>
      </c>
      <c r="M1267" s="4">
        <v>877</v>
      </c>
      <c r="N1267" s="4">
        <f>SUM(Table1[[#This Row],[2025]:[2018]])</f>
        <v>2253.66</v>
      </c>
      <c r="O1267" s="2">
        <f>Table1[[#This Row],[ttl]]/SUM(Table1[ttl])</f>
        <v>4.5443453411422464E-6</v>
      </c>
      <c r="P1267" s="3">
        <f>SUM($O$2:Table1[[#This Row],[pctAllTimeExp]])</f>
        <v>0.99847928515963924</v>
      </c>
      <c r="Q1267" t="b">
        <f>Table1[[#This Row],[cumPctAllTimeExp]]&lt;0.95</f>
        <v>0</v>
      </c>
    </row>
    <row r="1268" spans="1:17" x14ac:dyDescent="0.25">
      <c r="A1268">
        <v>384</v>
      </c>
      <c r="C1268" t="s">
        <v>2508</v>
      </c>
      <c r="E1268" t="s">
        <v>386</v>
      </c>
      <c r="F1268" s="4">
        <v>2251.42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f>SUM(Table1[[#This Row],[2025]:[2018]])</f>
        <v>2251.42</v>
      </c>
      <c r="O1268" s="2">
        <f>Table1[[#This Row],[ttl]]/SUM(Table1[ttl])</f>
        <v>4.5398285402210086E-6</v>
      </c>
      <c r="P1268" s="3">
        <f>SUM($O$2:Table1[[#This Row],[pctAllTimeExp]])</f>
        <v>0.99848382498817945</v>
      </c>
      <c r="Q1268" t="b">
        <f>Table1[[#This Row],[cumPctAllTimeExp]]&lt;0.95</f>
        <v>0</v>
      </c>
    </row>
    <row r="1269" spans="1:17" x14ac:dyDescent="0.25">
      <c r="A1269">
        <v>385</v>
      </c>
      <c r="C1269" t="s">
        <v>2508</v>
      </c>
      <c r="E1269" t="s">
        <v>387</v>
      </c>
      <c r="F1269" s="4">
        <v>2250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f>SUM(Table1[[#This Row],[2025]:[2018]])</f>
        <v>2250</v>
      </c>
      <c r="O1269" s="2">
        <f>Table1[[#This Row],[ttl]]/SUM(Table1[ttl])</f>
        <v>4.5369652110655807E-6</v>
      </c>
      <c r="P1269" s="3">
        <f>SUM($O$2:Table1[[#This Row],[pctAllTimeExp]])</f>
        <v>0.99848836195339052</v>
      </c>
      <c r="Q1269" t="b">
        <f>Table1[[#This Row],[cumPctAllTimeExp]]&lt;0.95</f>
        <v>0</v>
      </c>
    </row>
    <row r="1270" spans="1:17" x14ac:dyDescent="0.25">
      <c r="A1270">
        <v>950</v>
      </c>
      <c r="C1270" t="s">
        <v>2508</v>
      </c>
      <c r="E1270" t="s">
        <v>952</v>
      </c>
      <c r="F1270" s="4">
        <v>0</v>
      </c>
      <c r="G1270" s="4">
        <v>22.5</v>
      </c>
      <c r="H1270" s="4">
        <v>0</v>
      </c>
      <c r="I1270" s="4">
        <v>54</v>
      </c>
      <c r="J1270" s="4">
        <v>2173.5</v>
      </c>
      <c r="K1270" s="4">
        <v>0</v>
      </c>
      <c r="L1270" s="4">
        <v>0</v>
      </c>
      <c r="M1270" s="4">
        <v>0</v>
      </c>
      <c r="N1270" s="4">
        <f>SUM(Table1[[#This Row],[2025]:[2018]])</f>
        <v>2250</v>
      </c>
      <c r="O1270" s="2">
        <f>Table1[[#This Row],[ttl]]/SUM(Table1[ttl])</f>
        <v>4.5369652110655807E-6</v>
      </c>
      <c r="P1270" s="3">
        <f>SUM($O$2:Table1[[#This Row],[pctAllTimeExp]])</f>
        <v>0.9984928989186016</v>
      </c>
      <c r="Q1270" t="b">
        <f>Table1[[#This Row],[cumPctAllTimeExp]]&lt;0.95</f>
        <v>0</v>
      </c>
    </row>
    <row r="1271" spans="1:17" x14ac:dyDescent="0.25">
      <c r="A1271">
        <v>1521</v>
      </c>
      <c r="C1271" t="s">
        <v>2508</v>
      </c>
      <c r="E1271" t="s">
        <v>1523</v>
      </c>
      <c r="F1271" s="4">
        <v>0</v>
      </c>
      <c r="G1271" s="4">
        <v>0</v>
      </c>
      <c r="H1271" s="4">
        <v>0</v>
      </c>
      <c r="I1271" s="4">
        <v>0</v>
      </c>
      <c r="J1271" s="4">
        <v>457.4</v>
      </c>
      <c r="K1271" s="4">
        <v>188.37</v>
      </c>
      <c r="L1271" s="4">
        <v>1604</v>
      </c>
      <c r="M1271" s="4">
        <v>0</v>
      </c>
      <c r="N1271" s="4">
        <f>SUM(Table1[[#This Row],[2025]:[2018]])</f>
        <v>2249.77</v>
      </c>
      <c r="O1271" s="2">
        <f>Table1[[#This Row],[ttl]]/SUM(Table1[ttl])</f>
        <v>4.5365014323995605E-6</v>
      </c>
      <c r="P1271" s="3">
        <f>SUM($O$2:Table1[[#This Row],[pctAllTimeExp]])</f>
        <v>0.998497435420034</v>
      </c>
      <c r="Q1271" t="b">
        <f>Table1[[#This Row],[cumPctAllTimeExp]]&lt;0.95</f>
        <v>0</v>
      </c>
    </row>
    <row r="1272" spans="1:17" x14ac:dyDescent="0.25">
      <c r="A1272">
        <v>2309</v>
      </c>
      <c r="C1272" t="s">
        <v>2508</v>
      </c>
      <c r="E1272" t="s">
        <v>2311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2247.61</v>
      </c>
      <c r="N1272" s="4">
        <f>SUM(Table1[[#This Row],[2025]:[2018]])</f>
        <v>2247.61</v>
      </c>
      <c r="O1272" s="2">
        <f>Table1[[#This Row],[ttl]]/SUM(Table1[ttl])</f>
        <v>4.5321459457969372E-6</v>
      </c>
      <c r="P1272" s="3">
        <f>SUM($O$2:Table1[[#This Row],[pctAllTimeExp]])</f>
        <v>0.99850196756597975</v>
      </c>
      <c r="Q1272" t="b">
        <f>Table1[[#This Row],[cumPctAllTimeExp]]&lt;0.95</f>
        <v>0</v>
      </c>
    </row>
    <row r="1273" spans="1:17" x14ac:dyDescent="0.25">
      <c r="A1273">
        <v>2310</v>
      </c>
      <c r="C1273" t="s">
        <v>2508</v>
      </c>
      <c r="E1273" t="s">
        <v>2312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2241.9</v>
      </c>
      <c r="N1273" s="4">
        <f>SUM(Table1[[#This Row],[2025]:[2018]])</f>
        <v>2241.9</v>
      </c>
      <c r="O1273" s="2">
        <f>Table1[[#This Row],[ttl]]/SUM(Table1[ttl])</f>
        <v>4.5206321363057442E-6</v>
      </c>
      <c r="P1273" s="3">
        <f>SUM($O$2:Table1[[#This Row],[pctAllTimeExp]])</f>
        <v>0.99850648819811605</v>
      </c>
      <c r="Q1273" t="b">
        <f>Table1[[#This Row],[cumPctAllTimeExp]]&lt;0.95</f>
        <v>0</v>
      </c>
    </row>
    <row r="1274" spans="1:17" x14ac:dyDescent="0.25">
      <c r="A1274">
        <v>841</v>
      </c>
      <c r="C1274" t="s">
        <v>2508</v>
      </c>
      <c r="E1274" t="s">
        <v>843</v>
      </c>
      <c r="F1274" s="4">
        <v>0</v>
      </c>
      <c r="G1274" s="4">
        <v>896.2</v>
      </c>
      <c r="H1274" s="4">
        <v>1344.3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f>SUM(Table1[[#This Row],[2025]:[2018]])</f>
        <v>2240.5</v>
      </c>
      <c r="O1274" s="2">
        <f>Table1[[#This Row],[ttl]]/SUM(Table1[ttl])</f>
        <v>4.5178091357299704E-6</v>
      </c>
      <c r="P1274" s="3">
        <f>SUM($O$2:Table1[[#This Row],[pctAllTimeExp]])</f>
        <v>0.99851100600725173</v>
      </c>
      <c r="Q1274" t="b">
        <f>Table1[[#This Row],[cumPctAllTimeExp]]&lt;0.95</f>
        <v>0</v>
      </c>
    </row>
    <row r="1275" spans="1:17" x14ac:dyDescent="0.25">
      <c r="A1275">
        <v>2043</v>
      </c>
      <c r="C1275" t="s">
        <v>2508</v>
      </c>
      <c r="E1275" t="s">
        <v>2045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2233</v>
      </c>
      <c r="M1275" s="4">
        <v>0</v>
      </c>
      <c r="N1275" s="4">
        <f>SUM(Table1[[#This Row],[2025]:[2018]])</f>
        <v>2233</v>
      </c>
      <c r="O1275" s="2">
        <f>Table1[[#This Row],[ttl]]/SUM(Table1[ttl])</f>
        <v>4.5026859183597519E-6</v>
      </c>
      <c r="P1275" s="3">
        <f>SUM($O$2:Table1[[#This Row],[pctAllTimeExp]])</f>
        <v>0.99851550869317007</v>
      </c>
      <c r="Q1275" t="b">
        <f>Table1[[#This Row],[cumPctAllTimeExp]]&lt;0.95</f>
        <v>0</v>
      </c>
    </row>
    <row r="1276" spans="1:17" x14ac:dyDescent="0.25">
      <c r="A1276">
        <v>2077</v>
      </c>
      <c r="C1276" t="s">
        <v>2508</v>
      </c>
      <c r="E1276" t="s">
        <v>2079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1160</v>
      </c>
      <c r="M1276" s="4">
        <v>1060</v>
      </c>
      <c r="N1276" s="4">
        <f>SUM(Table1[[#This Row],[2025]:[2018]])</f>
        <v>2220</v>
      </c>
      <c r="O1276" s="2">
        <f>Table1[[#This Row],[ttl]]/SUM(Table1[ttl])</f>
        <v>4.4764723415847058E-6</v>
      </c>
      <c r="P1276" s="3">
        <f>SUM($O$2:Table1[[#This Row],[pctAllTimeExp]])</f>
        <v>0.99851998516551166</v>
      </c>
      <c r="Q1276" t="b">
        <f>Table1[[#This Row],[cumPctAllTimeExp]]&lt;0.95</f>
        <v>0</v>
      </c>
    </row>
    <row r="1277" spans="1:17" x14ac:dyDescent="0.25">
      <c r="A1277">
        <v>1738</v>
      </c>
      <c r="C1277" t="s">
        <v>2508</v>
      </c>
      <c r="E1277" t="s">
        <v>1740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2086.96</v>
      </c>
      <c r="L1277" s="4">
        <v>125</v>
      </c>
      <c r="M1277" s="4">
        <v>0</v>
      </c>
      <c r="N1277" s="4">
        <f>SUM(Table1[[#This Row],[2025]:[2018]])</f>
        <v>2211.96</v>
      </c>
      <c r="O1277" s="2">
        <f>Table1[[#This Row],[ttl]]/SUM(Table1[ttl])</f>
        <v>4.4602602525638314E-6</v>
      </c>
      <c r="P1277" s="3">
        <f>SUM($O$2:Table1[[#This Row],[pctAllTimeExp]])</f>
        <v>0.99852444542576424</v>
      </c>
      <c r="Q1277" t="b">
        <f>Table1[[#This Row],[cumPctAllTimeExp]]&lt;0.95</f>
        <v>0</v>
      </c>
    </row>
    <row r="1278" spans="1:17" x14ac:dyDescent="0.25">
      <c r="A1278">
        <v>798</v>
      </c>
      <c r="C1278" t="s">
        <v>2508</v>
      </c>
      <c r="E1278" t="s">
        <v>800</v>
      </c>
      <c r="F1278" s="4">
        <v>0</v>
      </c>
      <c r="G1278" s="4">
        <v>2200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f>SUM(Table1[[#This Row],[2025]:[2018]])</f>
        <v>2200</v>
      </c>
      <c r="O1278" s="2">
        <f>Table1[[#This Row],[ttl]]/SUM(Table1[ttl])</f>
        <v>4.4361437619307897E-6</v>
      </c>
      <c r="P1278" s="3">
        <f>SUM($O$2:Table1[[#This Row],[pctAllTimeExp]])</f>
        <v>0.99852888156952613</v>
      </c>
      <c r="Q1278" t="b">
        <f>Table1[[#This Row],[cumPctAllTimeExp]]&lt;0.95</f>
        <v>0</v>
      </c>
    </row>
    <row r="1279" spans="1:17" x14ac:dyDescent="0.25">
      <c r="A1279">
        <v>2045</v>
      </c>
      <c r="C1279" t="s">
        <v>2508</v>
      </c>
      <c r="E1279" t="s">
        <v>2047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2193.5300000000002</v>
      </c>
      <c r="M1279" s="4">
        <v>0</v>
      </c>
      <c r="N1279" s="4">
        <f>SUM(Table1[[#This Row],[2025]:[2018]])</f>
        <v>2193.5300000000002</v>
      </c>
      <c r="O1279" s="2">
        <f>Table1[[#This Row],[ttl]]/SUM(Table1[ttl])</f>
        <v>4.4230974664127481E-6</v>
      </c>
      <c r="P1279" s="3">
        <f>SUM($O$2:Table1[[#This Row],[pctAllTimeExp]])</f>
        <v>0.99853330466699253</v>
      </c>
      <c r="Q1279" t="b">
        <f>Table1[[#This Row],[cumPctAllTimeExp]]&lt;0.95</f>
        <v>0</v>
      </c>
    </row>
    <row r="1280" spans="1:17" x14ac:dyDescent="0.25">
      <c r="A1280">
        <v>2311</v>
      </c>
      <c r="C1280" t="s">
        <v>2508</v>
      </c>
      <c r="E1280" t="s">
        <v>2313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2192.86</v>
      </c>
      <c r="N1280" s="4">
        <f>SUM(Table1[[#This Row],[2025]:[2018]])</f>
        <v>2192.86</v>
      </c>
      <c r="O1280" s="2">
        <f>Table1[[#This Row],[ttl]]/SUM(Table1[ttl])</f>
        <v>4.4217464589943414E-6</v>
      </c>
      <c r="P1280" s="3">
        <f>SUM($O$2:Table1[[#This Row],[pctAllTimeExp]])</f>
        <v>0.99853772641345151</v>
      </c>
      <c r="Q1280" t="b">
        <f>Table1[[#This Row],[cumPctAllTimeExp]]&lt;0.95</f>
        <v>0</v>
      </c>
    </row>
    <row r="1281" spans="1:17" x14ac:dyDescent="0.25">
      <c r="A1281">
        <v>2046</v>
      </c>
      <c r="C1281" t="s">
        <v>2508</v>
      </c>
      <c r="E1281" t="s">
        <v>2048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2170</v>
      </c>
      <c r="M1281" s="4">
        <v>0</v>
      </c>
      <c r="N1281" s="4">
        <f>SUM(Table1[[#This Row],[2025]:[2018]])</f>
        <v>2170</v>
      </c>
      <c r="O1281" s="2">
        <f>Table1[[#This Row],[ttl]]/SUM(Table1[ttl])</f>
        <v>4.3756508924499156E-6</v>
      </c>
      <c r="P1281" s="3">
        <f>SUM($O$2:Table1[[#This Row],[pctAllTimeExp]])</f>
        <v>0.99854210206434391</v>
      </c>
      <c r="Q1281" t="b">
        <f>Table1[[#This Row],[cumPctAllTimeExp]]&lt;0.95</f>
        <v>0</v>
      </c>
    </row>
    <row r="1282" spans="1:17" x14ac:dyDescent="0.25">
      <c r="A1282">
        <v>830</v>
      </c>
      <c r="C1282" t="s">
        <v>2508</v>
      </c>
      <c r="E1282" t="s">
        <v>832</v>
      </c>
      <c r="F1282" s="4">
        <v>0</v>
      </c>
      <c r="G1282" s="4">
        <v>1080</v>
      </c>
      <c r="H1282" s="4">
        <v>600</v>
      </c>
      <c r="I1282" s="4">
        <v>300</v>
      </c>
      <c r="J1282" s="4">
        <v>0</v>
      </c>
      <c r="K1282" s="4">
        <v>127.5</v>
      </c>
      <c r="L1282" s="4">
        <v>60</v>
      </c>
      <c r="M1282" s="4">
        <v>0</v>
      </c>
      <c r="N1282" s="4">
        <f>SUM(Table1[[#This Row],[2025]:[2018]])</f>
        <v>2167.5</v>
      </c>
      <c r="O1282" s="2">
        <f>Table1[[#This Row],[ttl]]/SUM(Table1[ttl])</f>
        <v>4.3706098199931761E-6</v>
      </c>
      <c r="P1282" s="3">
        <f>SUM($O$2:Table1[[#This Row],[pctAllTimeExp]])</f>
        <v>0.99854647267416385</v>
      </c>
      <c r="Q1282" t="b">
        <f>Table1[[#This Row],[cumPctAllTimeExp]]&lt;0.95</f>
        <v>0</v>
      </c>
    </row>
    <row r="1283" spans="1:17" x14ac:dyDescent="0.25">
      <c r="A1283">
        <v>521</v>
      </c>
      <c r="C1283" t="s">
        <v>2508</v>
      </c>
      <c r="E1283" t="s">
        <v>523</v>
      </c>
      <c r="F1283" s="4">
        <v>650</v>
      </c>
      <c r="G1283" s="4">
        <v>0</v>
      </c>
      <c r="H1283" s="4">
        <v>0</v>
      </c>
      <c r="I1283" s="4">
        <v>350</v>
      </c>
      <c r="J1283" s="4">
        <v>0</v>
      </c>
      <c r="K1283" s="4">
        <v>580</v>
      </c>
      <c r="L1283" s="4">
        <v>0</v>
      </c>
      <c r="M1283" s="4">
        <v>580</v>
      </c>
      <c r="N1283" s="4">
        <f>SUM(Table1[[#This Row],[2025]:[2018]])</f>
        <v>2160</v>
      </c>
      <c r="O1283" s="2">
        <f>Table1[[#This Row],[ttl]]/SUM(Table1[ttl])</f>
        <v>4.3554866026229575E-6</v>
      </c>
      <c r="P1283" s="3">
        <f>SUM($O$2:Table1[[#This Row],[pctAllTimeExp]])</f>
        <v>0.99855082816076646</v>
      </c>
      <c r="Q1283" t="b">
        <f>Table1[[#This Row],[cumPctAllTimeExp]]&lt;0.95</f>
        <v>0</v>
      </c>
    </row>
    <row r="1284" spans="1:17" x14ac:dyDescent="0.25">
      <c r="A1284">
        <v>1288</v>
      </c>
      <c r="C1284" t="s">
        <v>2508</v>
      </c>
      <c r="E1284" t="s">
        <v>1290</v>
      </c>
      <c r="F1284" s="4">
        <v>0</v>
      </c>
      <c r="G1284" s="4">
        <v>0</v>
      </c>
      <c r="H1284" s="4">
        <v>0</v>
      </c>
      <c r="I1284" s="4">
        <v>869.5</v>
      </c>
      <c r="J1284" s="4">
        <v>0</v>
      </c>
      <c r="K1284" s="4">
        <v>0</v>
      </c>
      <c r="L1284" s="4">
        <v>0</v>
      </c>
      <c r="M1284" s="4">
        <v>1287.5</v>
      </c>
      <c r="N1284" s="4">
        <f>SUM(Table1[[#This Row],[2025]:[2018]])</f>
        <v>2157</v>
      </c>
      <c r="O1284" s="2">
        <f>Table1[[#This Row],[ttl]]/SUM(Table1[ttl])</f>
        <v>4.3494373156748694E-6</v>
      </c>
      <c r="P1284" s="3">
        <f>SUM($O$2:Table1[[#This Row],[pctAllTimeExp]])</f>
        <v>0.9985551775980821</v>
      </c>
      <c r="Q1284" t="b">
        <f>Table1[[#This Row],[cumPctAllTimeExp]]&lt;0.95</f>
        <v>0</v>
      </c>
    </row>
    <row r="1285" spans="1:17" x14ac:dyDescent="0.25">
      <c r="A1285">
        <v>1462</v>
      </c>
      <c r="C1285" t="s">
        <v>2508</v>
      </c>
      <c r="E1285" t="s">
        <v>1464</v>
      </c>
      <c r="F1285" s="4">
        <v>0</v>
      </c>
      <c r="G1285" s="4">
        <v>0</v>
      </c>
      <c r="H1285" s="4">
        <v>0</v>
      </c>
      <c r="I1285" s="4">
        <v>0</v>
      </c>
      <c r="J1285" s="4">
        <v>1967.28</v>
      </c>
      <c r="K1285" s="4">
        <v>0</v>
      </c>
      <c r="L1285" s="4">
        <v>180.9</v>
      </c>
      <c r="M1285" s="4">
        <v>0</v>
      </c>
      <c r="N1285" s="4">
        <f>SUM(Table1[[#This Row],[2025]:[2018]])</f>
        <v>2148.1799999999998</v>
      </c>
      <c r="O1285" s="2">
        <f>Table1[[#This Row],[ttl]]/SUM(Table1[ttl])</f>
        <v>4.3316524120474924E-6</v>
      </c>
      <c r="P1285" s="3">
        <f>SUM($O$2:Table1[[#This Row],[pctAllTimeExp]])</f>
        <v>0.99855950925049419</v>
      </c>
      <c r="Q1285" t="b">
        <f>Table1[[#This Row],[cumPctAllTimeExp]]&lt;0.95</f>
        <v>0</v>
      </c>
    </row>
    <row r="1286" spans="1:17" x14ac:dyDescent="0.25">
      <c r="A1286">
        <v>2312</v>
      </c>
      <c r="C1286" t="s">
        <v>2508</v>
      </c>
      <c r="E1286" t="s">
        <v>2314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2146.15</v>
      </c>
      <c r="N1286" s="4">
        <f>SUM(Table1[[#This Row],[2025]:[2018]])</f>
        <v>2146.15</v>
      </c>
      <c r="O1286" s="2">
        <f>Table1[[#This Row],[ttl]]/SUM(Table1[ttl])</f>
        <v>4.32755906121262E-6</v>
      </c>
      <c r="P1286" s="3">
        <f>SUM($O$2:Table1[[#This Row],[pctAllTimeExp]])</f>
        <v>0.99856383680955541</v>
      </c>
      <c r="Q1286" t="b">
        <f>Table1[[#This Row],[cumPctAllTimeExp]]&lt;0.95</f>
        <v>0</v>
      </c>
    </row>
    <row r="1287" spans="1:17" x14ac:dyDescent="0.25">
      <c r="A1287">
        <v>462</v>
      </c>
      <c r="C1287" t="s">
        <v>2508</v>
      </c>
      <c r="E1287" t="s">
        <v>464</v>
      </c>
      <c r="F1287" s="4">
        <v>1119</v>
      </c>
      <c r="G1287" s="4">
        <v>1022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f>SUM(Table1[[#This Row],[2025]:[2018]])</f>
        <v>2141</v>
      </c>
      <c r="O1287" s="2">
        <f>Table1[[#This Row],[ttl]]/SUM(Table1[ttl])</f>
        <v>4.3171744519517369E-6</v>
      </c>
      <c r="P1287" s="3">
        <f>SUM($O$2:Table1[[#This Row],[pctAllTimeExp]])</f>
        <v>0.99856815398400733</v>
      </c>
      <c r="Q1287" t="b">
        <f>Table1[[#This Row],[cumPctAllTimeExp]]&lt;0.95</f>
        <v>0</v>
      </c>
    </row>
    <row r="1288" spans="1:17" x14ac:dyDescent="0.25">
      <c r="A1288">
        <v>1736</v>
      </c>
      <c r="C1288" t="s">
        <v>2508</v>
      </c>
      <c r="E1288" t="s">
        <v>1738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2140.4</v>
      </c>
      <c r="L1288" s="4">
        <v>0</v>
      </c>
      <c r="M1288" s="4">
        <v>0</v>
      </c>
      <c r="N1288" s="4">
        <f>SUM(Table1[[#This Row],[2025]:[2018]])</f>
        <v>2140.4</v>
      </c>
      <c r="O1288" s="2">
        <f>Table1[[#This Row],[ttl]]/SUM(Table1[ttl])</f>
        <v>4.315964594562119E-6</v>
      </c>
      <c r="P1288" s="3">
        <f>SUM($O$2:Table1[[#This Row],[pctAllTimeExp]])</f>
        <v>0.99857246994860194</v>
      </c>
      <c r="Q1288" t="b">
        <f>Table1[[#This Row],[cumPctAllTimeExp]]&lt;0.95</f>
        <v>0</v>
      </c>
    </row>
    <row r="1289" spans="1:17" x14ac:dyDescent="0.25">
      <c r="A1289">
        <v>388</v>
      </c>
      <c r="C1289" t="s">
        <v>2508</v>
      </c>
      <c r="E1289" t="s">
        <v>390</v>
      </c>
      <c r="F1289" s="4">
        <v>2130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f>SUM(Table1[[#This Row],[2025]:[2018]])</f>
        <v>2130</v>
      </c>
      <c r="O1289" s="2">
        <f>Table1[[#This Row],[ttl]]/SUM(Table1[ttl])</f>
        <v>4.2949937331420826E-6</v>
      </c>
      <c r="P1289" s="3">
        <f>SUM($O$2:Table1[[#This Row],[pctAllTimeExp]])</f>
        <v>0.99857676494233505</v>
      </c>
      <c r="Q1289" t="b">
        <f>Table1[[#This Row],[cumPctAllTimeExp]]&lt;0.95</f>
        <v>0</v>
      </c>
    </row>
    <row r="1290" spans="1:17" x14ac:dyDescent="0.25">
      <c r="A1290">
        <v>800</v>
      </c>
      <c r="C1290" t="s">
        <v>2508</v>
      </c>
      <c r="E1290" t="s">
        <v>802</v>
      </c>
      <c r="F1290" s="4">
        <v>0</v>
      </c>
      <c r="G1290" s="4">
        <v>2125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f>SUM(Table1[[#This Row],[2025]:[2018]])</f>
        <v>2125</v>
      </c>
      <c r="O1290" s="2">
        <f>Table1[[#This Row],[ttl]]/SUM(Table1[ttl])</f>
        <v>4.2849115882286035E-6</v>
      </c>
      <c r="P1290" s="3">
        <f>SUM($O$2:Table1[[#This Row],[pctAllTimeExp]])</f>
        <v>0.99858104985392326</v>
      </c>
      <c r="Q1290" t="b">
        <f>Table1[[#This Row],[cumPctAllTimeExp]]&lt;0.95</f>
        <v>0</v>
      </c>
    </row>
    <row r="1291" spans="1:17" x14ac:dyDescent="0.25">
      <c r="A1291">
        <v>1114</v>
      </c>
      <c r="C1291" t="s">
        <v>2508</v>
      </c>
      <c r="E1291" t="s">
        <v>1116</v>
      </c>
      <c r="F1291" s="4">
        <v>0</v>
      </c>
      <c r="G1291" s="4">
        <v>0</v>
      </c>
      <c r="H1291" s="4">
        <v>623.51</v>
      </c>
      <c r="I1291" s="4">
        <v>0</v>
      </c>
      <c r="J1291" s="4">
        <v>0</v>
      </c>
      <c r="K1291" s="4">
        <v>0</v>
      </c>
      <c r="L1291" s="4">
        <v>999.95</v>
      </c>
      <c r="M1291" s="4">
        <v>499.5</v>
      </c>
      <c r="N1291" s="4">
        <f>SUM(Table1[[#This Row],[2025]:[2018]])</f>
        <v>2122.96</v>
      </c>
      <c r="O1291" s="2">
        <f>Table1[[#This Row],[ttl]]/SUM(Table1[ttl])</f>
        <v>4.2807980731039045E-6</v>
      </c>
      <c r="P1291" s="3">
        <f>SUM($O$2:Table1[[#This Row],[pctAllTimeExp]])</f>
        <v>0.99858533065199639</v>
      </c>
      <c r="Q1291" t="b">
        <f>Table1[[#This Row],[cumPctAllTimeExp]]&lt;0.95</f>
        <v>0</v>
      </c>
    </row>
    <row r="1292" spans="1:17" x14ac:dyDescent="0.25">
      <c r="A1292">
        <v>632</v>
      </c>
      <c r="C1292" t="s">
        <v>2508</v>
      </c>
      <c r="E1292" t="s">
        <v>634</v>
      </c>
      <c r="F1292" s="4">
        <v>200</v>
      </c>
      <c r="G1292" s="4">
        <v>200</v>
      </c>
      <c r="H1292" s="4">
        <v>250</v>
      </c>
      <c r="I1292" s="4">
        <v>200</v>
      </c>
      <c r="J1292" s="4">
        <v>300</v>
      </c>
      <c r="K1292" s="4">
        <v>200</v>
      </c>
      <c r="L1292" s="4">
        <v>600</v>
      </c>
      <c r="M1292" s="4">
        <v>150</v>
      </c>
      <c r="N1292" s="4">
        <f>SUM(Table1[[#This Row],[2025]:[2018]])</f>
        <v>2100</v>
      </c>
      <c r="O1292" s="2">
        <f>Table1[[#This Row],[ttl]]/SUM(Table1[ttl])</f>
        <v>4.2345008636612085E-6</v>
      </c>
      <c r="P1292" s="3">
        <f>SUM($O$2:Table1[[#This Row],[pctAllTimeExp]])</f>
        <v>0.99858956515286001</v>
      </c>
      <c r="Q1292" t="b">
        <f>Table1[[#This Row],[cumPctAllTimeExp]]&lt;0.95</f>
        <v>0</v>
      </c>
    </row>
    <row r="1293" spans="1:17" x14ac:dyDescent="0.25">
      <c r="A1293">
        <v>2069</v>
      </c>
      <c r="C1293" t="s">
        <v>2508</v>
      </c>
      <c r="E1293" t="s">
        <v>2071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1300.32</v>
      </c>
      <c r="M1293" s="4">
        <v>797.4</v>
      </c>
      <c r="N1293" s="4">
        <f>SUM(Table1[[#This Row],[2025]:[2018]])</f>
        <v>2097.7199999999998</v>
      </c>
      <c r="O1293" s="2">
        <f>Table1[[#This Row],[ttl]]/SUM(Table1[ttl])</f>
        <v>4.2299034055806617E-6</v>
      </c>
      <c r="P1293" s="3">
        <f>SUM($O$2:Table1[[#This Row],[pctAllTimeExp]])</f>
        <v>0.99859379505626555</v>
      </c>
      <c r="Q1293" t="b">
        <f>Table1[[#This Row],[cumPctAllTimeExp]]&lt;0.95</f>
        <v>0</v>
      </c>
    </row>
    <row r="1294" spans="1:17" x14ac:dyDescent="0.25">
      <c r="A1294">
        <v>1067</v>
      </c>
      <c r="C1294" t="s">
        <v>2508</v>
      </c>
      <c r="E1294" t="s">
        <v>1069</v>
      </c>
      <c r="F1294" s="4">
        <v>0</v>
      </c>
      <c r="G1294" s="4">
        <v>0</v>
      </c>
      <c r="H1294" s="4">
        <v>2090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f>SUM(Table1[[#This Row],[2025]:[2018]])</f>
        <v>2090</v>
      </c>
      <c r="O1294" s="2">
        <f>Table1[[#This Row],[ttl]]/SUM(Table1[ttl])</f>
        <v>4.2143365738342504E-6</v>
      </c>
      <c r="P1294" s="3">
        <f>SUM($O$2:Table1[[#This Row],[pctAllTimeExp]])</f>
        <v>0.99859800939283938</v>
      </c>
      <c r="Q1294" t="b">
        <f>Table1[[#This Row],[cumPctAllTimeExp]]&lt;0.95</f>
        <v>0</v>
      </c>
    </row>
    <row r="1295" spans="1:17" x14ac:dyDescent="0.25">
      <c r="A1295">
        <v>801</v>
      </c>
      <c r="C1295" t="s">
        <v>2508</v>
      </c>
      <c r="E1295" t="s">
        <v>803</v>
      </c>
      <c r="F1295" s="4">
        <v>0</v>
      </c>
      <c r="G1295" s="4">
        <v>2070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f>SUM(Table1[[#This Row],[2025]:[2018]])</f>
        <v>2070</v>
      </c>
      <c r="O1295" s="2">
        <f>Table1[[#This Row],[ttl]]/SUM(Table1[ttl])</f>
        <v>4.1740079941803343E-6</v>
      </c>
      <c r="P1295" s="3">
        <f>SUM($O$2:Table1[[#This Row],[pctAllTimeExp]])</f>
        <v>0.99860218340083351</v>
      </c>
      <c r="Q1295" t="b">
        <f>Table1[[#This Row],[cumPctAllTimeExp]]&lt;0.95</f>
        <v>0</v>
      </c>
    </row>
    <row r="1296" spans="1:17" x14ac:dyDescent="0.25">
      <c r="A1296">
        <v>1772</v>
      </c>
      <c r="C1296" t="s">
        <v>2508</v>
      </c>
      <c r="E1296" t="s">
        <v>1774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975</v>
      </c>
      <c r="L1296" s="4">
        <v>0</v>
      </c>
      <c r="M1296" s="4">
        <v>1092</v>
      </c>
      <c r="N1296" s="4">
        <f>SUM(Table1[[#This Row],[2025]:[2018]])</f>
        <v>2067</v>
      </c>
      <c r="O1296" s="2">
        <f>Table1[[#This Row],[ttl]]/SUM(Table1[ttl])</f>
        <v>4.1679587072322462E-6</v>
      </c>
      <c r="P1296" s="3">
        <f>SUM($O$2:Table1[[#This Row],[pctAllTimeExp]])</f>
        <v>0.99860635135954079</v>
      </c>
      <c r="Q1296" t="b">
        <f>Table1[[#This Row],[cumPctAllTimeExp]]&lt;0.95</f>
        <v>0</v>
      </c>
    </row>
    <row r="1297" spans="1:17" x14ac:dyDescent="0.25">
      <c r="A1297">
        <v>524</v>
      </c>
      <c r="C1297" t="s">
        <v>2508</v>
      </c>
      <c r="E1297" t="s">
        <v>526</v>
      </c>
      <c r="F1297" s="4">
        <v>615</v>
      </c>
      <c r="G1297" s="4">
        <v>795</v>
      </c>
      <c r="H1297" s="4">
        <v>0</v>
      </c>
      <c r="I1297" s="4">
        <v>650</v>
      </c>
      <c r="J1297" s="4">
        <v>0</v>
      </c>
      <c r="K1297" s="4">
        <v>0</v>
      </c>
      <c r="L1297" s="4">
        <v>0</v>
      </c>
      <c r="M1297" s="4">
        <v>0</v>
      </c>
      <c r="N1297" s="4">
        <f>SUM(Table1[[#This Row],[2025]:[2018]])</f>
        <v>2060</v>
      </c>
      <c r="O1297" s="2">
        <f>Table1[[#This Row],[ttl]]/SUM(Table1[ttl])</f>
        <v>4.1538437043533754E-6</v>
      </c>
      <c r="P1297" s="3">
        <f>SUM($O$2:Table1[[#This Row],[pctAllTimeExp]])</f>
        <v>0.99861050520324512</v>
      </c>
      <c r="Q1297" t="b">
        <f>Table1[[#This Row],[cumPctAllTimeExp]]&lt;0.95</f>
        <v>0</v>
      </c>
    </row>
    <row r="1298" spans="1:17" x14ac:dyDescent="0.25">
      <c r="A1298">
        <v>391</v>
      </c>
      <c r="C1298" t="s">
        <v>2508</v>
      </c>
      <c r="E1298" t="s">
        <v>393</v>
      </c>
      <c r="F1298" s="4">
        <v>2059.5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f>SUM(Table1[[#This Row],[2025]:[2018]])</f>
        <v>2059.5</v>
      </c>
      <c r="O1298" s="2">
        <f>Table1[[#This Row],[ttl]]/SUM(Table1[ttl])</f>
        <v>4.1528354898620277E-6</v>
      </c>
      <c r="P1298" s="3">
        <f>SUM($O$2:Table1[[#This Row],[pctAllTimeExp]])</f>
        <v>0.99861465803873495</v>
      </c>
      <c r="Q1298" t="b">
        <f>Table1[[#This Row],[cumPctAllTimeExp]]&lt;0.95</f>
        <v>0</v>
      </c>
    </row>
    <row r="1299" spans="1:17" x14ac:dyDescent="0.25">
      <c r="A1299">
        <v>595</v>
      </c>
      <c r="C1299" t="s">
        <v>2508</v>
      </c>
      <c r="E1299" t="s">
        <v>597</v>
      </c>
      <c r="F1299" s="4">
        <v>400</v>
      </c>
      <c r="G1299" s="4">
        <v>300</v>
      </c>
      <c r="H1299" s="4">
        <v>1350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f>SUM(Table1[[#This Row],[2025]:[2018]])</f>
        <v>2050</v>
      </c>
      <c r="O1299" s="2">
        <f>Table1[[#This Row],[ttl]]/SUM(Table1[ttl])</f>
        <v>4.1336794145264174E-6</v>
      </c>
      <c r="P1299" s="3">
        <f>SUM($O$2:Table1[[#This Row],[pctAllTimeExp]])</f>
        <v>0.99861879171814949</v>
      </c>
      <c r="Q1299" t="b">
        <f>Table1[[#This Row],[cumPctAllTimeExp]]&lt;0.95</f>
        <v>0</v>
      </c>
    </row>
    <row r="1300" spans="1:17" x14ac:dyDescent="0.25">
      <c r="A1300">
        <v>1740</v>
      </c>
      <c r="C1300" t="s">
        <v>2508</v>
      </c>
      <c r="E1300" t="s">
        <v>1742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2047.93</v>
      </c>
      <c r="L1300" s="4">
        <v>0</v>
      </c>
      <c r="M1300" s="4">
        <v>0</v>
      </c>
      <c r="N1300" s="4">
        <f>SUM(Table1[[#This Row],[2025]:[2018]])</f>
        <v>2047.93</v>
      </c>
      <c r="O1300" s="2">
        <f>Table1[[#This Row],[ttl]]/SUM(Table1[ttl])</f>
        <v>4.1295054065322377E-6</v>
      </c>
      <c r="P1300" s="3">
        <f>SUM($O$2:Table1[[#This Row],[pctAllTimeExp]])</f>
        <v>0.998622921223556</v>
      </c>
      <c r="Q1300" t="b">
        <f>Table1[[#This Row],[cumPctAllTimeExp]]&lt;0.95</f>
        <v>0</v>
      </c>
    </row>
    <row r="1301" spans="1:17" x14ac:dyDescent="0.25">
      <c r="A1301">
        <v>1741</v>
      </c>
      <c r="C1301" t="s">
        <v>2508</v>
      </c>
      <c r="E1301" t="s">
        <v>1743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2036.37</v>
      </c>
      <c r="L1301" s="4">
        <v>0</v>
      </c>
      <c r="M1301" s="4">
        <v>0</v>
      </c>
      <c r="N1301" s="4">
        <f>SUM(Table1[[#This Row],[2025]:[2018]])</f>
        <v>2036.37</v>
      </c>
      <c r="O1301" s="2">
        <f>Table1[[#This Row],[ttl]]/SUM(Table1[ttl])</f>
        <v>4.1061954874922735E-6</v>
      </c>
      <c r="P1301" s="3">
        <f>SUM($O$2:Table1[[#This Row],[pctAllTimeExp]])</f>
        <v>0.99862702741904352</v>
      </c>
      <c r="Q1301" t="b">
        <f>Table1[[#This Row],[cumPctAllTimeExp]]&lt;0.95</f>
        <v>0</v>
      </c>
    </row>
    <row r="1302" spans="1:17" x14ac:dyDescent="0.25">
      <c r="A1302">
        <v>1263</v>
      </c>
      <c r="C1302" t="s">
        <v>2508</v>
      </c>
      <c r="E1302" t="s">
        <v>1265</v>
      </c>
      <c r="F1302" s="4">
        <v>0</v>
      </c>
      <c r="G1302" s="4">
        <v>0</v>
      </c>
      <c r="H1302" s="4">
        <v>0</v>
      </c>
      <c r="I1302" s="4">
        <v>1810</v>
      </c>
      <c r="J1302" s="4">
        <v>30</v>
      </c>
      <c r="K1302" s="4">
        <v>0</v>
      </c>
      <c r="L1302" s="4">
        <v>120</v>
      </c>
      <c r="M1302" s="4">
        <v>75</v>
      </c>
      <c r="N1302" s="4">
        <f>SUM(Table1[[#This Row],[2025]:[2018]])</f>
        <v>2035</v>
      </c>
      <c r="O1302" s="2">
        <f>Table1[[#This Row],[ttl]]/SUM(Table1[ttl])</f>
        <v>4.1034329797859804E-6</v>
      </c>
      <c r="P1302" s="3">
        <f>SUM($O$2:Table1[[#This Row],[pctAllTimeExp]])</f>
        <v>0.99863113085202326</v>
      </c>
      <c r="Q1302" t="b">
        <f>Table1[[#This Row],[cumPctAllTimeExp]]&lt;0.95</f>
        <v>0</v>
      </c>
    </row>
    <row r="1303" spans="1:17" x14ac:dyDescent="0.25">
      <c r="A1303">
        <v>394</v>
      </c>
      <c r="C1303" t="s">
        <v>2508</v>
      </c>
      <c r="E1303" t="s">
        <v>396</v>
      </c>
      <c r="F1303" s="4">
        <v>2028.93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f>SUM(Table1[[#This Row],[2025]:[2018]])</f>
        <v>2028.93</v>
      </c>
      <c r="O1303" s="2">
        <f>Table1[[#This Row],[ttl]]/SUM(Table1[ttl])</f>
        <v>4.0911932558610171E-6</v>
      </c>
      <c r="P1303" s="3">
        <f>SUM($O$2:Table1[[#This Row],[pctAllTimeExp]])</f>
        <v>0.9986352220452791</v>
      </c>
      <c r="Q1303" t="b">
        <f>Table1[[#This Row],[cumPctAllTimeExp]]&lt;0.95</f>
        <v>0</v>
      </c>
    </row>
    <row r="1304" spans="1:17" x14ac:dyDescent="0.25">
      <c r="A1304">
        <v>1290</v>
      </c>
      <c r="C1304" t="s">
        <v>2508</v>
      </c>
      <c r="E1304" t="s">
        <v>1292</v>
      </c>
      <c r="F1304" s="4">
        <v>0</v>
      </c>
      <c r="G1304" s="4">
        <v>0</v>
      </c>
      <c r="H1304" s="4">
        <v>0</v>
      </c>
      <c r="I1304" s="4">
        <v>811</v>
      </c>
      <c r="J1304" s="4">
        <v>0</v>
      </c>
      <c r="K1304" s="4">
        <v>1211</v>
      </c>
      <c r="L1304" s="4">
        <v>0</v>
      </c>
      <c r="M1304" s="4">
        <v>0</v>
      </c>
      <c r="N1304" s="4">
        <f>SUM(Table1[[#This Row],[2025]:[2018]])</f>
        <v>2022</v>
      </c>
      <c r="O1304" s="2">
        <f>Table1[[#This Row],[ttl]]/SUM(Table1[ttl])</f>
        <v>4.0772194030109351E-6</v>
      </c>
      <c r="P1304" s="3">
        <f>SUM($O$2:Table1[[#This Row],[pctAllTimeExp]])</f>
        <v>0.99863929926468209</v>
      </c>
      <c r="Q1304" t="b">
        <f>Table1[[#This Row],[cumPctAllTimeExp]]&lt;0.95</f>
        <v>0</v>
      </c>
    </row>
    <row r="1305" spans="1:17" x14ac:dyDescent="0.25">
      <c r="A1305">
        <v>474</v>
      </c>
      <c r="C1305" t="s">
        <v>2508</v>
      </c>
      <c r="E1305" t="s">
        <v>476</v>
      </c>
      <c r="F1305" s="4">
        <v>1000</v>
      </c>
      <c r="G1305" s="4">
        <v>1000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f>SUM(Table1[[#This Row],[2025]:[2018]])</f>
        <v>2000</v>
      </c>
      <c r="O1305" s="2">
        <f>Table1[[#This Row],[ttl]]/SUM(Table1[ttl])</f>
        <v>4.0328579653916272E-6</v>
      </c>
      <c r="P1305" s="3">
        <f>SUM($O$2:Table1[[#This Row],[pctAllTimeExp]])</f>
        <v>0.99864333212264744</v>
      </c>
      <c r="Q1305" t="b">
        <f>Table1[[#This Row],[cumPctAllTimeExp]]&lt;0.95</f>
        <v>0</v>
      </c>
    </row>
    <row r="1306" spans="1:17" x14ac:dyDescent="0.25">
      <c r="A1306">
        <v>836</v>
      </c>
      <c r="C1306" t="s">
        <v>2508</v>
      </c>
      <c r="E1306" t="s">
        <v>838</v>
      </c>
      <c r="F1306" s="4">
        <v>0</v>
      </c>
      <c r="G1306" s="4">
        <v>1000</v>
      </c>
      <c r="H1306" s="4">
        <v>1000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f>SUM(Table1[[#This Row],[2025]:[2018]])</f>
        <v>2000</v>
      </c>
      <c r="O1306" s="2">
        <f>Table1[[#This Row],[ttl]]/SUM(Table1[ttl])</f>
        <v>4.0328579653916272E-6</v>
      </c>
      <c r="P1306" s="3">
        <f>SUM($O$2:Table1[[#This Row],[pctAllTimeExp]])</f>
        <v>0.9986473649806128</v>
      </c>
      <c r="Q1306" t="b">
        <f>Table1[[#This Row],[cumPctAllTimeExp]]&lt;0.95</f>
        <v>0</v>
      </c>
    </row>
    <row r="1307" spans="1:17" x14ac:dyDescent="0.25">
      <c r="A1307">
        <v>1257</v>
      </c>
      <c r="C1307" t="s">
        <v>2508</v>
      </c>
      <c r="E1307" t="s">
        <v>1259</v>
      </c>
      <c r="F1307" s="4">
        <v>0</v>
      </c>
      <c r="G1307" s="4">
        <v>0</v>
      </c>
      <c r="H1307" s="4">
        <v>0</v>
      </c>
      <c r="I1307" s="4">
        <v>2000</v>
      </c>
      <c r="J1307" s="4">
        <v>0</v>
      </c>
      <c r="K1307" s="4">
        <v>0</v>
      </c>
      <c r="L1307" s="4">
        <v>0</v>
      </c>
      <c r="M1307" s="4">
        <v>0</v>
      </c>
      <c r="N1307" s="4">
        <f>SUM(Table1[[#This Row],[2025]:[2018]])</f>
        <v>2000</v>
      </c>
      <c r="O1307" s="2">
        <f>Table1[[#This Row],[ttl]]/SUM(Table1[ttl])</f>
        <v>4.0328579653916272E-6</v>
      </c>
      <c r="P1307" s="3">
        <f>SUM($O$2:Table1[[#This Row],[pctAllTimeExp]])</f>
        <v>0.99865139783857815</v>
      </c>
      <c r="Q1307" t="b">
        <f>Table1[[#This Row],[cumPctAllTimeExp]]&lt;0.95</f>
        <v>0</v>
      </c>
    </row>
    <row r="1308" spans="1:17" x14ac:dyDescent="0.25">
      <c r="A1308">
        <v>1868</v>
      </c>
      <c r="C1308" t="s">
        <v>2508</v>
      </c>
      <c r="E1308" t="s">
        <v>1870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200</v>
      </c>
      <c r="L1308" s="4">
        <v>1000</v>
      </c>
      <c r="M1308" s="4">
        <v>800</v>
      </c>
      <c r="N1308" s="4">
        <f>SUM(Table1[[#This Row],[2025]:[2018]])</f>
        <v>2000</v>
      </c>
      <c r="O1308" s="2">
        <f>Table1[[#This Row],[ttl]]/SUM(Table1[ttl])</f>
        <v>4.0328579653916272E-6</v>
      </c>
      <c r="P1308" s="3">
        <f>SUM($O$2:Table1[[#This Row],[pctAllTimeExp]])</f>
        <v>0.9986554306965435</v>
      </c>
      <c r="Q1308" t="b">
        <f>Table1[[#This Row],[cumPctAllTimeExp]]&lt;0.95</f>
        <v>0</v>
      </c>
    </row>
    <row r="1309" spans="1:17" x14ac:dyDescent="0.25">
      <c r="A1309">
        <v>2047</v>
      </c>
      <c r="C1309" t="s">
        <v>2508</v>
      </c>
      <c r="E1309" t="s">
        <v>2049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2000</v>
      </c>
      <c r="M1309" s="4">
        <v>0</v>
      </c>
      <c r="N1309" s="4">
        <f>SUM(Table1[[#This Row],[2025]:[2018]])</f>
        <v>2000</v>
      </c>
      <c r="O1309" s="2">
        <f>Table1[[#This Row],[ttl]]/SUM(Table1[ttl])</f>
        <v>4.0328579653916272E-6</v>
      </c>
      <c r="P1309" s="3">
        <f>SUM($O$2:Table1[[#This Row],[pctAllTimeExp]])</f>
        <v>0.99865946355450885</v>
      </c>
      <c r="Q1309" t="b">
        <f>Table1[[#This Row],[cumPctAllTimeExp]]&lt;0.95</f>
        <v>0</v>
      </c>
    </row>
    <row r="1310" spans="1:17" x14ac:dyDescent="0.25">
      <c r="A1310">
        <v>2048</v>
      </c>
      <c r="C1310" t="s">
        <v>2508</v>
      </c>
      <c r="E1310" t="s">
        <v>2050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2000</v>
      </c>
      <c r="M1310" s="4">
        <v>0</v>
      </c>
      <c r="N1310" s="4">
        <f>SUM(Table1[[#This Row],[2025]:[2018]])</f>
        <v>2000</v>
      </c>
      <c r="O1310" s="2">
        <f>Table1[[#This Row],[ttl]]/SUM(Table1[ttl])</f>
        <v>4.0328579653916272E-6</v>
      </c>
      <c r="P1310" s="3">
        <f>SUM($O$2:Table1[[#This Row],[pctAllTimeExp]])</f>
        <v>0.99866349641247421</v>
      </c>
      <c r="Q1310" t="b">
        <f>Table1[[#This Row],[cumPctAllTimeExp]]&lt;0.95</f>
        <v>0</v>
      </c>
    </row>
    <row r="1311" spans="1:17" x14ac:dyDescent="0.25">
      <c r="A1311">
        <v>2049</v>
      </c>
      <c r="C1311" t="s">
        <v>2508</v>
      </c>
      <c r="E1311" t="s">
        <v>2051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2000</v>
      </c>
      <c r="M1311" s="4">
        <v>0</v>
      </c>
      <c r="N1311" s="4">
        <f>SUM(Table1[[#This Row],[2025]:[2018]])</f>
        <v>2000</v>
      </c>
      <c r="O1311" s="2">
        <f>Table1[[#This Row],[ttl]]/SUM(Table1[ttl])</f>
        <v>4.0328579653916272E-6</v>
      </c>
      <c r="P1311" s="3">
        <f>SUM($O$2:Table1[[#This Row],[pctAllTimeExp]])</f>
        <v>0.99866752927043956</v>
      </c>
      <c r="Q1311" t="b">
        <f>Table1[[#This Row],[cumPctAllTimeExp]]&lt;0.95</f>
        <v>0</v>
      </c>
    </row>
    <row r="1312" spans="1:17" x14ac:dyDescent="0.25">
      <c r="A1312">
        <v>2313</v>
      </c>
      <c r="C1312" t="s">
        <v>2508</v>
      </c>
      <c r="E1312" t="s">
        <v>2315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1981.25</v>
      </c>
      <c r="N1312" s="4">
        <f>SUM(Table1[[#This Row],[2025]:[2018]])</f>
        <v>1981.25</v>
      </c>
      <c r="O1312" s="2">
        <f>Table1[[#This Row],[ttl]]/SUM(Table1[ttl])</f>
        <v>3.9950499219660809E-6</v>
      </c>
      <c r="P1312" s="3">
        <f>SUM($O$2:Table1[[#This Row],[pctAllTimeExp]])</f>
        <v>0.99867152432036155</v>
      </c>
      <c r="Q1312" t="b">
        <f>Table1[[#This Row],[cumPctAllTimeExp]]&lt;0.95</f>
        <v>0</v>
      </c>
    </row>
    <row r="1313" spans="1:17" x14ac:dyDescent="0.25">
      <c r="A1313">
        <v>1080</v>
      </c>
      <c r="C1313" t="s">
        <v>2508</v>
      </c>
      <c r="E1313" t="s">
        <v>1082</v>
      </c>
      <c r="F1313" s="4">
        <v>0</v>
      </c>
      <c r="G1313" s="4">
        <v>0</v>
      </c>
      <c r="H1313" s="4">
        <v>1380</v>
      </c>
      <c r="I1313" s="4">
        <v>590</v>
      </c>
      <c r="J1313" s="4">
        <v>0</v>
      </c>
      <c r="K1313" s="4">
        <v>0</v>
      </c>
      <c r="L1313" s="4">
        <v>0</v>
      </c>
      <c r="M1313" s="4">
        <v>0</v>
      </c>
      <c r="N1313" s="4">
        <f>SUM(Table1[[#This Row],[2025]:[2018]])</f>
        <v>1970</v>
      </c>
      <c r="O1313" s="2">
        <f>Table1[[#This Row],[ttl]]/SUM(Table1[ttl])</f>
        <v>3.9723650959107523E-6</v>
      </c>
      <c r="P1313" s="3">
        <f>SUM($O$2:Table1[[#This Row],[pctAllTimeExp]])</f>
        <v>0.99867549668545741</v>
      </c>
      <c r="Q1313" t="b">
        <f>Table1[[#This Row],[cumPctAllTimeExp]]&lt;0.95</f>
        <v>0</v>
      </c>
    </row>
    <row r="1314" spans="1:17" x14ac:dyDescent="0.25">
      <c r="A1314">
        <v>1258</v>
      </c>
      <c r="C1314" t="s">
        <v>2508</v>
      </c>
      <c r="E1314" t="s">
        <v>1260</v>
      </c>
      <c r="F1314" s="4">
        <v>0</v>
      </c>
      <c r="G1314" s="4">
        <v>0</v>
      </c>
      <c r="H1314" s="4">
        <v>0</v>
      </c>
      <c r="I1314" s="4">
        <v>1970</v>
      </c>
      <c r="J1314" s="4">
        <v>0</v>
      </c>
      <c r="K1314" s="4">
        <v>0</v>
      </c>
      <c r="L1314" s="4">
        <v>0</v>
      </c>
      <c r="M1314" s="4">
        <v>0</v>
      </c>
      <c r="N1314" s="4">
        <f>SUM(Table1[[#This Row],[2025]:[2018]])</f>
        <v>1970</v>
      </c>
      <c r="O1314" s="2">
        <f>Table1[[#This Row],[ttl]]/SUM(Table1[ttl])</f>
        <v>3.9723650959107523E-6</v>
      </c>
      <c r="P1314" s="3">
        <f>SUM($O$2:Table1[[#This Row],[pctAllTimeExp]])</f>
        <v>0.99867946905055327</v>
      </c>
      <c r="Q1314" t="b">
        <f>Table1[[#This Row],[cumPctAllTimeExp]]&lt;0.95</f>
        <v>0</v>
      </c>
    </row>
    <row r="1315" spans="1:17" x14ac:dyDescent="0.25">
      <c r="A1315">
        <v>1259</v>
      </c>
      <c r="C1315" t="s">
        <v>2508</v>
      </c>
      <c r="E1315" t="s">
        <v>1261</v>
      </c>
      <c r="F1315" s="4">
        <v>0</v>
      </c>
      <c r="G1315" s="4">
        <v>0</v>
      </c>
      <c r="H1315" s="4">
        <v>0</v>
      </c>
      <c r="I1315" s="4">
        <v>1960</v>
      </c>
      <c r="J1315" s="4">
        <v>0</v>
      </c>
      <c r="K1315" s="4">
        <v>0</v>
      </c>
      <c r="L1315" s="4">
        <v>0</v>
      </c>
      <c r="M1315" s="4">
        <v>0</v>
      </c>
      <c r="N1315" s="4">
        <f>SUM(Table1[[#This Row],[2025]:[2018]])</f>
        <v>1960</v>
      </c>
      <c r="O1315" s="2">
        <f>Table1[[#This Row],[ttl]]/SUM(Table1[ttl])</f>
        <v>3.9522008060837942E-6</v>
      </c>
      <c r="P1315" s="3">
        <f>SUM($O$2:Table1[[#This Row],[pctAllTimeExp]])</f>
        <v>0.99868342125135934</v>
      </c>
      <c r="Q1315" t="b">
        <f>Table1[[#This Row],[cumPctAllTimeExp]]&lt;0.95</f>
        <v>0</v>
      </c>
    </row>
    <row r="1316" spans="1:17" x14ac:dyDescent="0.25">
      <c r="A1316">
        <v>2053</v>
      </c>
      <c r="C1316" t="s">
        <v>2508</v>
      </c>
      <c r="E1316" t="s">
        <v>2055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1951</v>
      </c>
      <c r="M1316" s="4">
        <v>0</v>
      </c>
      <c r="N1316" s="4">
        <f>SUM(Table1[[#This Row],[2025]:[2018]])</f>
        <v>1951</v>
      </c>
      <c r="O1316" s="2">
        <f>Table1[[#This Row],[ttl]]/SUM(Table1[ttl])</f>
        <v>3.9340529452395325E-6</v>
      </c>
      <c r="P1316" s="3">
        <f>SUM($O$2:Table1[[#This Row],[pctAllTimeExp]])</f>
        <v>0.99868735530430452</v>
      </c>
      <c r="Q1316" t="b">
        <f>Table1[[#This Row],[cumPctAllTimeExp]]&lt;0.95</f>
        <v>0</v>
      </c>
    </row>
    <row r="1317" spans="1:17" x14ac:dyDescent="0.25">
      <c r="A1317">
        <v>1140</v>
      </c>
      <c r="C1317" t="s">
        <v>2508</v>
      </c>
      <c r="E1317" t="s">
        <v>1142</v>
      </c>
      <c r="F1317" s="4">
        <v>0</v>
      </c>
      <c r="G1317" s="4">
        <v>0</v>
      </c>
      <c r="H1317" s="4">
        <v>300</v>
      </c>
      <c r="I1317" s="4">
        <v>500</v>
      </c>
      <c r="J1317" s="4">
        <v>500</v>
      </c>
      <c r="K1317" s="4">
        <v>350</v>
      </c>
      <c r="L1317" s="4">
        <v>0</v>
      </c>
      <c r="M1317" s="4">
        <v>300</v>
      </c>
      <c r="N1317" s="4">
        <f>SUM(Table1[[#This Row],[2025]:[2018]])</f>
        <v>1950</v>
      </c>
      <c r="O1317" s="2">
        <f>Table1[[#This Row],[ttl]]/SUM(Table1[ttl])</f>
        <v>3.9320365162568362E-6</v>
      </c>
      <c r="P1317" s="3">
        <f>SUM($O$2:Table1[[#This Row],[pctAllTimeExp]])</f>
        <v>0.9986912873408208</v>
      </c>
      <c r="Q1317" t="b">
        <f>Table1[[#This Row],[cumPctAllTimeExp]]&lt;0.95</f>
        <v>0</v>
      </c>
    </row>
    <row r="1318" spans="1:17" x14ac:dyDescent="0.25">
      <c r="A1318">
        <v>804</v>
      </c>
      <c r="C1318" t="s">
        <v>2508</v>
      </c>
      <c r="E1318" t="s">
        <v>806</v>
      </c>
      <c r="F1318" s="4">
        <v>0</v>
      </c>
      <c r="G1318" s="4">
        <v>1930.88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f>SUM(Table1[[#This Row],[2025]:[2018]])</f>
        <v>1930.88</v>
      </c>
      <c r="O1318" s="2">
        <f>Table1[[#This Row],[ttl]]/SUM(Table1[ttl])</f>
        <v>3.893482394107693E-6</v>
      </c>
      <c r="P1318" s="3">
        <f>SUM($O$2:Table1[[#This Row],[pctAllTimeExp]])</f>
        <v>0.99869518082321496</v>
      </c>
      <c r="Q1318" t="b">
        <f>Table1[[#This Row],[cumPctAllTimeExp]]&lt;0.95</f>
        <v>0</v>
      </c>
    </row>
    <row r="1319" spans="1:17" x14ac:dyDescent="0.25">
      <c r="A1319">
        <v>1743</v>
      </c>
      <c r="C1319" t="s">
        <v>2508</v>
      </c>
      <c r="E1319" t="s">
        <v>1745</v>
      </c>
      <c r="F1319" s="4">
        <v>0</v>
      </c>
      <c r="G1319" s="4">
        <v>0</v>
      </c>
      <c r="H1319" s="4">
        <v>0</v>
      </c>
      <c r="I1319" s="4">
        <v>0</v>
      </c>
      <c r="J1319" s="4">
        <v>0</v>
      </c>
      <c r="K1319" s="4">
        <v>1928.86</v>
      </c>
      <c r="L1319" s="4">
        <v>0</v>
      </c>
      <c r="M1319" s="4">
        <v>0</v>
      </c>
      <c r="N1319" s="4">
        <f>SUM(Table1[[#This Row],[2025]:[2018]])</f>
        <v>1928.86</v>
      </c>
      <c r="O1319" s="2">
        <f>Table1[[#This Row],[ttl]]/SUM(Table1[ttl])</f>
        <v>3.8894092075626463E-6</v>
      </c>
      <c r="P1319" s="3">
        <f>SUM($O$2:Table1[[#This Row],[pctAllTimeExp]])</f>
        <v>0.99869907023242255</v>
      </c>
      <c r="Q1319" t="b">
        <f>Table1[[#This Row],[cumPctAllTimeExp]]&lt;0.95</f>
        <v>0</v>
      </c>
    </row>
    <row r="1320" spans="1:17" x14ac:dyDescent="0.25">
      <c r="A1320">
        <v>1886</v>
      </c>
      <c r="C1320" t="s">
        <v>2508</v>
      </c>
      <c r="E1320" t="s">
        <v>1888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164.06</v>
      </c>
      <c r="L1320" s="4">
        <v>0</v>
      </c>
      <c r="M1320" s="4">
        <v>1761.34</v>
      </c>
      <c r="N1320" s="4">
        <f>SUM(Table1[[#This Row],[2025]:[2018]])</f>
        <v>1925.3999999999999</v>
      </c>
      <c r="O1320" s="2">
        <f>Table1[[#This Row],[ttl]]/SUM(Table1[ttl])</f>
        <v>3.8824323632825194E-6</v>
      </c>
      <c r="P1320" s="3">
        <f>SUM($O$2:Table1[[#This Row],[pctAllTimeExp]])</f>
        <v>0.99870295266478581</v>
      </c>
      <c r="Q1320" t="b">
        <f>Table1[[#This Row],[cumPctAllTimeExp]]&lt;0.95</f>
        <v>0</v>
      </c>
    </row>
    <row r="1321" spans="1:17" x14ac:dyDescent="0.25">
      <c r="A1321">
        <v>805</v>
      </c>
      <c r="C1321" t="s">
        <v>2508</v>
      </c>
      <c r="E1321" t="s">
        <v>807</v>
      </c>
      <c r="F1321" s="4">
        <v>0</v>
      </c>
      <c r="G1321" s="4">
        <v>1925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f>SUM(Table1[[#This Row],[2025]:[2018]])</f>
        <v>1925</v>
      </c>
      <c r="O1321" s="2">
        <f>Table1[[#This Row],[ttl]]/SUM(Table1[ttl])</f>
        <v>3.8816257916894411E-6</v>
      </c>
      <c r="P1321" s="3">
        <f>SUM($O$2:Table1[[#This Row],[pctAllTimeExp]])</f>
        <v>0.99870683429057749</v>
      </c>
      <c r="Q1321" t="b">
        <f>Table1[[#This Row],[cumPctAllTimeExp]]&lt;0.95</f>
        <v>0</v>
      </c>
    </row>
    <row r="1322" spans="1:17" x14ac:dyDescent="0.25">
      <c r="A1322">
        <v>1260</v>
      </c>
      <c r="C1322" t="s">
        <v>2508</v>
      </c>
      <c r="E1322" t="s">
        <v>1262</v>
      </c>
      <c r="F1322" s="4">
        <v>0</v>
      </c>
      <c r="G1322" s="4">
        <v>0</v>
      </c>
      <c r="H1322" s="4">
        <v>0</v>
      </c>
      <c r="I1322" s="4">
        <v>1900.3</v>
      </c>
      <c r="J1322" s="4">
        <v>0</v>
      </c>
      <c r="K1322" s="4">
        <v>0</v>
      </c>
      <c r="L1322" s="4">
        <v>0</v>
      </c>
      <c r="M1322" s="4">
        <v>0</v>
      </c>
      <c r="N1322" s="4">
        <f>SUM(Table1[[#This Row],[2025]:[2018]])</f>
        <v>1900.3</v>
      </c>
      <c r="O1322" s="2">
        <f>Table1[[#This Row],[ttl]]/SUM(Table1[ttl])</f>
        <v>3.8318199958168541E-6</v>
      </c>
      <c r="P1322" s="3">
        <f>SUM($O$2:Table1[[#This Row],[pctAllTimeExp]])</f>
        <v>0.99871066611057335</v>
      </c>
      <c r="Q1322" t="b">
        <f>Table1[[#This Row],[cumPctAllTimeExp]]&lt;0.95</f>
        <v>0</v>
      </c>
    </row>
    <row r="1323" spans="1:17" x14ac:dyDescent="0.25">
      <c r="A1323">
        <v>593</v>
      </c>
      <c r="C1323" t="s">
        <v>2508</v>
      </c>
      <c r="E1323" t="s">
        <v>595</v>
      </c>
      <c r="F1323" s="4">
        <v>400</v>
      </c>
      <c r="G1323" s="4">
        <v>400</v>
      </c>
      <c r="H1323" s="4">
        <v>0</v>
      </c>
      <c r="I1323" s="4">
        <v>800</v>
      </c>
      <c r="J1323" s="4">
        <v>0</v>
      </c>
      <c r="K1323" s="4">
        <v>0</v>
      </c>
      <c r="L1323" s="4">
        <v>0</v>
      </c>
      <c r="M1323" s="4">
        <v>300</v>
      </c>
      <c r="N1323" s="4">
        <f>SUM(Table1[[#This Row],[2025]:[2018]])</f>
        <v>1900</v>
      </c>
      <c r="O1323" s="2">
        <f>Table1[[#This Row],[ttl]]/SUM(Table1[ttl])</f>
        <v>3.831215067122046E-6</v>
      </c>
      <c r="P1323" s="3">
        <f>SUM($O$2:Table1[[#This Row],[pctAllTimeExp]])</f>
        <v>0.99871449732564044</v>
      </c>
      <c r="Q1323" t="b">
        <f>Table1[[#This Row],[cumPctAllTimeExp]]&lt;0.95</f>
        <v>0</v>
      </c>
    </row>
    <row r="1324" spans="1:17" x14ac:dyDescent="0.25">
      <c r="A1324">
        <v>839</v>
      </c>
      <c r="C1324" t="s">
        <v>2508</v>
      </c>
      <c r="E1324" t="s">
        <v>841</v>
      </c>
      <c r="F1324" s="4">
        <v>0</v>
      </c>
      <c r="G1324" s="4">
        <v>950</v>
      </c>
      <c r="H1324" s="4">
        <v>950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f>SUM(Table1[[#This Row],[2025]:[2018]])</f>
        <v>1900</v>
      </c>
      <c r="O1324" s="2">
        <f>Table1[[#This Row],[ttl]]/SUM(Table1[ttl])</f>
        <v>3.831215067122046E-6</v>
      </c>
      <c r="P1324" s="3">
        <f>SUM($O$2:Table1[[#This Row],[pctAllTimeExp]])</f>
        <v>0.99871832854070752</v>
      </c>
      <c r="Q1324" t="b">
        <f>Table1[[#This Row],[cumPctAllTimeExp]]&lt;0.95</f>
        <v>0</v>
      </c>
    </row>
    <row r="1325" spans="1:17" x14ac:dyDescent="0.25">
      <c r="A1325">
        <v>877</v>
      </c>
      <c r="C1325" t="s">
        <v>2508</v>
      </c>
      <c r="E1325" t="s">
        <v>879</v>
      </c>
      <c r="F1325" s="4">
        <v>0</v>
      </c>
      <c r="G1325" s="4">
        <v>500</v>
      </c>
      <c r="H1325" s="4">
        <v>475</v>
      </c>
      <c r="I1325" s="4">
        <v>475</v>
      </c>
      <c r="J1325" s="4">
        <v>0</v>
      </c>
      <c r="K1325" s="4">
        <v>0</v>
      </c>
      <c r="L1325" s="4">
        <v>0</v>
      </c>
      <c r="M1325" s="4">
        <v>450</v>
      </c>
      <c r="N1325" s="4">
        <f>SUM(Table1[[#This Row],[2025]:[2018]])</f>
        <v>1900</v>
      </c>
      <c r="O1325" s="2">
        <f>Table1[[#This Row],[ttl]]/SUM(Table1[ttl])</f>
        <v>3.831215067122046E-6</v>
      </c>
      <c r="P1325" s="3">
        <f>SUM($O$2:Table1[[#This Row],[pctAllTimeExp]])</f>
        <v>0.99872215975577461</v>
      </c>
      <c r="Q1325" t="b">
        <f>Table1[[#This Row],[cumPctAllTimeExp]]&lt;0.95</f>
        <v>0</v>
      </c>
    </row>
    <row r="1326" spans="1:17" x14ac:dyDescent="0.25">
      <c r="A1326">
        <v>1262</v>
      </c>
      <c r="C1326" t="s">
        <v>2508</v>
      </c>
      <c r="E1326" t="s">
        <v>1264</v>
      </c>
      <c r="F1326" s="4">
        <v>0</v>
      </c>
      <c r="G1326" s="4">
        <v>0</v>
      </c>
      <c r="H1326" s="4">
        <v>0</v>
      </c>
      <c r="I1326" s="4">
        <v>1875</v>
      </c>
      <c r="J1326" s="4">
        <v>0</v>
      </c>
      <c r="K1326" s="4">
        <v>0</v>
      </c>
      <c r="L1326" s="4">
        <v>0</v>
      </c>
      <c r="M1326" s="4">
        <v>0</v>
      </c>
      <c r="N1326" s="4">
        <f>SUM(Table1[[#This Row],[2025]:[2018]])</f>
        <v>1875</v>
      </c>
      <c r="O1326" s="2">
        <f>Table1[[#This Row],[ttl]]/SUM(Table1[ttl])</f>
        <v>3.7808043425546505E-6</v>
      </c>
      <c r="P1326" s="3">
        <f>SUM($O$2:Table1[[#This Row],[pctAllTimeExp]])</f>
        <v>0.99872594056011721</v>
      </c>
      <c r="Q1326" t="b">
        <f>Table1[[#This Row],[cumPctAllTimeExp]]&lt;0.95</f>
        <v>0</v>
      </c>
    </row>
    <row r="1327" spans="1:17" x14ac:dyDescent="0.25">
      <c r="A1327">
        <v>1345</v>
      </c>
      <c r="C1327" t="s">
        <v>2508</v>
      </c>
      <c r="E1327" t="s">
        <v>1347</v>
      </c>
      <c r="F1327" s="4">
        <v>0</v>
      </c>
      <c r="G1327" s="4">
        <v>0</v>
      </c>
      <c r="H1327" s="4">
        <v>0</v>
      </c>
      <c r="I1327" s="4">
        <v>270</v>
      </c>
      <c r="J1327" s="4">
        <v>320</v>
      </c>
      <c r="K1327" s="4">
        <v>437.49</v>
      </c>
      <c r="L1327" s="4">
        <v>480</v>
      </c>
      <c r="M1327" s="4">
        <v>360</v>
      </c>
      <c r="N1327" s="4">
        <f>SUM(Table1[[#This Row],[2025]:[2018]])</f>
        <v>1867.49</v>
      </c>
      <c r="O1327" s="2">
        <f>Table1[[#This Row],[ttl]]/SUM(Table1[ttl])</f>
        <v>3.7656609608946049E-6</v>
      </c>
      <c r="P1327" s="3">
        <f>SUM($O$2:Table1[[#This Row],[pctAllTimeExp]])</f>
        <v>0.99872970622107815</v>
      </c>
      <c r="Q1327" t="b">
        <f>Table1[[#This Row],[cumPctAllTimeExp]]&lt;0.95</f>
        <v>0</v>
      </c>
    </row>
    <row r="1328" spans="1:17" x14ac:dyDescent="0.25">
      <c r="A1328">
        <v>1530</v>
      </c>
      <c r="C1328" t="s">
        <v>2508</v>
      </c>
      <c r="E1328" t="s">
        <v>1532</v>
      </c>
      <c r="F1328" s="4">
        <v>0</v>
      </c>
      <c r="G1328" s="4">
        <v>0</v>
      </c>
      <c r="H1328" s="4">
        <v>0</v>
      </c>
      <c r="I1328" s="4">
        <v>0</v>
      </c>
      <c r="J1328" s="4">
        <v>400</v>
      </c>
      <c r="K1328" s="4">
        <v>550</v>
      </c>
      <c r="L1328" s="4">
        <v>0</v>
      </c>
      <c r="M1328" s="4">
        <v>900</v>
      </c>
      <c r="N1328" s="4">
        <f>SUM(Table1[[#This Row],[2025]:[2018]])</f>
        <v>1850</v>
      </c>
      <c r="O1328" s="2">
        <f>Table1[[#This Row],[ttl]]/SUM(Table1[ttl])</f>
        <v>3.7303936179872549E-6</v>
      </c>
      <c r="P1328" s="3">
        <f>SUM($O$2:Table1[[#This Row],[pctAllTimeExp]])</f>
        <v>0.99873343661469616</v>
      </c>
      <c r="Q1328" t="b">
        <f>Table1[[#This Row],[cumPctAllTimeExp]]&lt;0.95</f>
        <v>0</v>
      </c>
    </row>
    <row r="1329" spans="1:17" x14ac:dyDescent="0.25">
      <c r="A1329">
        <v>1744</v>
      </c>
      <c r="C1329" t="s">
        <v>2508</v>
      </c>
      <c r="E1329" t="s">
        <v>1746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1845</v>
      </c>
      <c r="L1329" s="4">
        <v>0</v>
      </c>
      <c r="M1329" s="4">
        <v>0</v>
      </c>
      <c r="N1329" s="4">
        <f>SUM(Table1[[#This Row],[2025]:[2018]])</f>
        <v>1845</v>
      </c>
      <c r="O1329" s="2">
        <f>Table1[[#This Row],[ttl]]/SUM(Table1[ttl])</f>
        <v>3.7203114730737759E-6</v>
      </c>
      <c r="P1329" s="3">
        <f>SUM($O$2:Table1[[#This Row],[pctAllTimeExp]])</f>
        <v>0.99873715692616927</v>
      </c>
      <c r="Q1329" t="b">
        <f>Table1[[#This Row],[cumPctAllTimeExp]]&lt;0.95</f>
        <v>0</v>
      </c>
    </row>
    <row r="1330" spans="1:17" x14ac:dyDescent="0.25">
      <c r="A1330">
        <v>2314</v>
      </c>
      <c r="C1330" t="s">
        <v>2508</v>
      </c>
      <c r="E1330" t="s">
        <v>2316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1831</v>
      </c>
      <c r="N1330" s="4">
        <f>SUM(Table1[[#This Row],[2025]:[2018]])</f>
        <v>1831</v>
      </c>
      <c r="O1330" s="2">
        <f>Table1[[#This Row],[ttl]]/SUM(Table1[ttl])</f>
        <v>3.6920814673160343E-6</v>
      </c>
      <c r="P1330" s="3">
        <f>SUM($O$2:Table1[[#This Row],[pctAllTimeExp]])</f>
        <v>0.9987408490076366</v>
      </c>
      <c r="Q1330" t="b">
        <f>Table1[[#This Row],[cumPctAllTimeExp]]&lt;0.95</f>
        <v>0</v>
      </c>
    </row>
    <row r="1331" spans="1:17" x14ac:dyDescent="0.25">
      <c r="A1331">
        <v>845</v>
      </c>
      <c r="C1331" t="s">
        <v>2508</v>
      </c>
      <c r="E1331" t="s">
        <v>847</v>
      </c>
      <c r="F1331" s="4">
        <v>0</v>
      </c>
      <c r="G1331" s="4">
        <v>808</v>
      </c>
      <c r="H1331" s="4">
        <v>1022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f>SUM(Table1[[#This Row],[2025]:[2018]])</f>
        <v>1830</v>
      </c>
      <c r="O1331" s="2">
        <f>Table1[[#This Row],[ttl]]/SUM(Table1[ttl])</f>
        <v>3.6900650383333389E-6</v>
      </c>
      <c r="P1331" s="3">
        <f>SUM($O$2:Table1[[#This Row],[pctAllTimeExp]])</f>
        <v>0.99874453907267491</v>
      </c>
      <c r="Q1331" t="b">
        <f>Table1[[#This Row],[cumPctAllTimeExp]]&lt;0.95</f>
        <v>0</v>
      </c>
    </row>
    <row r="1332" spans="1:17" x14ac:dyDescent="0.25">
      <c r="A1332">
        <v>604</v>
      </c>
      <c r="C1332" t="s">
        <v>2508</v>
      </c>
      <c r="E1332" t="s">
        <v>606</v>
      </c>
      <c r="F1332" s="4">
        <v>325</v>
      </c>
      <c r="G1332" s="4">
        <v>300</v>
      </c>
      <c r="H1332" s="4">
        <v>300</v>
      </c>
      <c r="I1332" s="4">
        <v>300</v>
      </c>
      <c r="J1332" s="4">
        <v>0</v>
      </c>
      <c r="K1332" s="4">
        <v>0</v>
      </c>
      <c r="L1332" s="4">
        <v>300</v>
      </c>
      <c r="M1332" s="4">
        <v>300</v>
      </c>
      <c r="N1332" s="4">
        <f>SUM(Table1[[#This Row],[2025]:[2018]])</f>
        <v>1825</v>
      </c>
      <c r="O1332" s="2">
        <f>Table1[[#This Row],[ttl]]/SUM(Table1[ttl])</f>
        <v>3.6799828934198594E-6</v>
      </c>
      <c r="P1332" s="3">
        <f>SUM($O$2:Table1[[#This Row],[pctAllTimeExp]])</f>
        <v>0.99874821905556832</v>
      </c>
      <c r="Q1332" t="b">
        <f>Table1[[#This Row],[cumPctAllTimeExp]]&lt;0.95</f>
        <v>0</v>
      </c>
    </row>
    <row r="1333" spans="1:17" x14ac:dyDescent="0.25">
      <c r="A1333">
        <v>1374</v>
      </c>
      <c r="C1333" t="s">
        <v>2508</v>
      </c>
      <c r="E1333" t="s">
        <v>1376</v>
      </c>
      <c r="F1333" s="4">
        <v>0</v>
      </c>
      <c r="G1333" s="4">
        <v>0</v>
      </c>
      <c r="H1333" s="4">
        <v>0</v>
      </c>
      <c r="I1333" s="4">
        <v>120</v>
      </c>
      <c r="J1333" s="4">
        <v>480</v>
      </c>
      <c r="K1333" s="4">
        <v>480</v>
      </c>
      <c r="L1333" s="4">
        <v>480</v>
      </c>
      <c r="M1333" s="4">
        <v>262</v>
      </c>
      <c r="N1333" s="4">
        <f>SUM(Table1[[#This Row],[2025]:[2018]])</f>
        <v>1822</v>
      </c>
      <c r="O1333" s="2">
        <f>Table1[[#This Row],[ttl]]/SUM(Table1[ttl])</f>
        <v>3.6739336064717722E-6</v>
      </c>
      <c r="P1333" s="3">
        <f>SUM($O$2:Table1[[#This Row],[pctAllTimeExp]])</f>
        <v>0.99875189298917477</v>
      </c>
      <c r="Q1333" t="b">
        <f>Table1[[#This Row],[cumPctAllTimeExp]]&lt;0.95</f>
        <v>0</v>
      </c>
    </row>
    <row r="1334" spans="1:17" x14ac:dyDescent="0.25">
      <c r="A1334">
        <v>1484</v>
      </c>
      <c r="C1334" t="s">
        <v>2508</v>
      </c>
      <c r="E1334" t="s">
        <v>1486</v>
      </c>
      <c r="F1334" s="4">
        <v>0</v>
      </c>
      <c r="G1334" s="4">
        <v>0</v>
      </c>
      <c r="H1334" s="4">
        <v>0</v>
      </c>
      <c r="I1334" s="4">
        <v>0</v>
      </c>
      <c r="J1334" s="4">
        <v>1044.5</v>
      </c>
      <c r="K1334" s="4">
        <v>682</v>
      </c>
      <c r="L1334" s="4">
        <v>90</v>
      </c>
      <c r="M1334" s="4">
        <v>0</v>
      </c>
      <c r="N1334" s="4">
        <f>SUM(Table1[[#This Row],[2025]:[2018]])</f>
        <v>1816.5</v>
      </c>
      <c r="O1334" s="2">
        <f>Table1[[#This Row],[ttl]]/SUM(Table1[ttl])</f>
        <v>3.662843247066945E-6</v>
      </c>
      <c r="P1334" s="3">
        <f>SUM($O$2:Table1[[#This Row],[pctAllTimeExp]])</f>
        <v>0.99875555583242182</v>
      </c>
      <c r="Q1334" t="b">
        <f>Table1[[#This Row],[cumPctAllTimeExp]]&lt;0.95</f>
        <v>0</v>
      </c>
    </row>
    <row r="1335" spans="1:17" x14ac:dyDescent="0.25">
      <c r="A1335">
        <v>414</v>
      </c>
      <c r="C1335" t="s">
        <v>2508</v>
      </c>
      <c r="E1335" t="s">
        <v>416</v>
      </c>
      <c r="F1335" s="4">
        <v>1662.5</v>
      </c>
      <c r="G1335" s="4">
        <v>153.16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f>SUM(Table1[[#This Row],[2025]:[2018]])</f>
        <v>1815.66</v>
      </c>
      <c r="O1335" s="2">
        <f>Table1[[#This Row],[ttl]]/SUM(Table1[ttl])</f>
        <v>3.6611494467214811E-6</v>
      </c>
      <c r="P1335" s="3">
        <f>SUM($O$2:Table1[[#This Row],[pctAllTimeExp]])</f>
        <v>0.99875921698186854</v>
      </c>
      <c r="Q1335" t="b">
        <f>Table1[[#This Row],[cumPctAllTimeExp]]&lt;0.95</f>
        <v>0</v>
      </c>
    </row>
    <row r="1336" spans="1:17" x14ac:dyDescent="0.25">
      <c r="A1336">
        <v>402</v>
      </c>
      <c r="C1336" t="s">
        <v>2508</v>
      </c>
      <c r="E1336" t="s">
        <v>404</v>
      </c>
      <c r="F1336" s="4">
        <v>1810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f>SUM(Table1[[#This Row],[2025]:[2018]])</f>
        <v>1810</v>
      </c>
      <c r="O1336" s="2">
        <f>Table1[[#This Row],[ttl]]/SUM(Table1[ttl])</f>
        <v>3.6497364586794224E-6</v>
      </c>
      <c r="P1336" s="3">
        <f>SUM($O$2:Table1[[#This Row],[pctAllTimeExp]])</f>
        <v>0.99876286671832726</v>
      </c>
      <c r="Q1336" t="b">
        <f>Table1[[#This Row],[cumPctAllTimeExp]]&lt;0.95</f>
        <v>0</v>
      </c>
    </row>
    <row r="1337" spans="1:17" x14ac:dyDescent="0.25">
      <c r="A1337">
        <v>403</v>
      </c>
      <c r="C1337" t="s">
        <v>2508</v>
      </c>
      <c r="E1337" t="s">
        <v>405</v>
      </c>
      <c r="F1337" s="4">
        <v>1800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f>SUM(Table1[[#This Row],[2025]:[2018]])</f>
        <v>1800</v>
      </c>
      <c r="O1337" s="2">
        <f>Table1[[#This Row],[ttl]]/SUM(Table1[ttl])</f>
        <v>3.6295721688524643E-6</v>
      </c>
      <c r="P1337" s="3">
        <f>SUM($O$2:Table1[[#This Row],[pctAllTimeExp]])</f>
        <v>0.99876649629049608</v>
      </c>
      <c r="Q1337" t="b">
        <f>Table1[[#This Row],[cumPctAllTimeExp]]&lt;0.95</f>
        <v>0</v>
      </c>
    </row>
    <row r="1338" spans="1:17" x14ac:dyDescent="0.25">
      <c r="A1338">
        <v>571</v>
      </c>
      <c r="C1338" t="s">
        <v>2508</v>
      </c>
      <c r="E1338" t="s">
        <v>573</v>
      </c>
      <c r="F1338" s="4">
        <v>480</v>
      </c>
      <c r="G1338" s="4">
        <v>480</v>
      </c>
      <c r="H1338" s="4">
        <v>480</v>
      </c>
      <c r="I1338" s="4">
        <v>360</v>
      </c>
      <c r="J1338" s="4">
        <v>0</v>
      </c>
      <c r="K1338" s="4">
        <v>0</v>
      </c>
      <c r="L1338" s="4">
        <v>0</v>
      </c>
      <c r="M1338" s="4">
        <v>0</v>
      </c>
      <c r="N1338" s="4">
        <f>SUM(Table1[[#This Row],[2025]:[2018]])</f>
        <v>1800</v>
      </c>
      <c r="O1338" s="2">
        <f>Table1[[#This Row],[ttl]]/SUM(Table1[ttl])</f>
        <v>3.6295721688524643E-6</v>
      </c>
      <c r="P1338" s="3">
        <f>SUM($O$2:Table1[[#This Row],[pctAllTimeExp]])</f>
        <v>0.99877012586266489</v>
      </c>
      <c r="Q1338" t="b">
        <f>Table1[[#This Row],[cumPctAllTimeExp]]&lt;0.95</f>
        <v>0</v>
      </c>
    </row>
    <row r="1339" spans="1:17" x14ac:dyDescent="0.25">
      <c r="A1339">
        <v>1464</v>
      </c>
      <c r="C1339" t="s">
        <v>2508</v>
      </c>
      <c r="E1339" t="s">
        <v>1466</v>
      </c>
      <c r="F1339" s="4">
        <v>0</v>
      </c>
      <c r="G1339" s="4">
        <v>0</v>
      </c>
      <c r="H1339" s="4">
        <v>0</v>
      </c>
      <c r="I1339" s="4">
        <v>0</v>
      </c>
      <c r="J1339" s="4">
        <v>1800</v>
      </c>
      <c r="K1339" s="4">
        <v>0</v>
      </c>
      <c r="L1339" s="4">
        <v>0</v>
      </c>
      <c r="M1339" s="4">
        <v>0</v>
      </c>
      <c r="N1339" s="4">
        <f>SUM(Table1[[#This Row],[2025]:[2018]])</f>
        <v>1800</v>
      </c>
      <c r="O1339" s="2">
        <f>Table1[[#This Row],[ttl]]/SUM(Table1[ttl])</f>
        <v>3.6295721688524643E-6</v>
      </c>
      <c r="P1339" s="3">
        <f>SUM($O$2:Table1[[#This Row],[pctAllTimeExp]])</f>
        <v>0.99877375543483371</v>
      </c>
      <c r="Q1339" t="b">
        <f>Table1[[#This Row],[cumPctAllTimeExp]]&lt;0.95</f>
        <v>0</v>
      </c>
    </row>
    <row r="1340" spans="1:17" x14ac:dyDescent="0.25">
      <c r="A1340">
        <v>1510</v>
      </c>
      <c r="C1340" t="s">
        <v>2508</v>
      </c>
      <c r="E1340" t="s">
        <v>1512</v>
      </c>
      <c r="F1340" s="4">
        <v>0</v>
      </c>
      <c r="G1340" s="4">
        <v>0</v>
      </c>
      <c r="H1340" s="4">
        <v>0</v>
      </c>
      <c r="I1340" s="4">
        <v>0</v>
      </c>
      <c r="J1340" s="4">
        <v>600</v>
      </c>
      <c r="K1340" s="4">
        <v>0</v>
      </c>
      <c r="L1340" s="4">
        <v>0</v>
      </c>
      <c r="M1340" s="4">
        <v>1200</v>
      </c>
      <c r="N1340" s="4">
        <f>SUM(Table1[[#This Row],[2025]:[2018]])</f>
        <v>1800</v>
      </c>
      <c r="O1340" s="2">
        <f>Table1[[#This Row],[ttl]]/SUM(Table1[ttl])</f>
        <v>3.6295721688524643E-6</v>
      </c>
      <c r="P1340" s="3">
        <f>SUM($O$2:Table1[[#This Row],[pctAllTimeExp]])</f>
        <v>0.99877738500700253</v>
      </c>
      <c r="Q1340" t="b">
        <f>Table1[[#This Row],[cumPctAllTimeExp]]&lt;0.95</f>
        <v>0</v>
      </c>
    </row>
    <row r="1341" spans="1:17" x14ac:dyDescent="0.25">
      <c r="A1341">
        <v>808</v>
      </c>
      <c r="C1341" t="s">
        <v>2508</v>
      </c>
      <c r="E1341" t="s">
        <v>810</v>
      </c>
      <c r="F1341" s="4">
        <v>0</v>
      </c>
      <c r="G1341" s="4">
        <v>1799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f>SUM(Table1[[#This Row],[2025]:[2018]])</f>
        <v>1799</v>
      </c>
      <c r="O1341" s="2">
        <f>Table1[[#This Row],[ttl]]/SUM(Table1[ttl])</f>
        <v>3.6275557398697684E-6</v>
      </c>
      <c r="P1341" s="3">
        <f>SUM($O$2:Table1[[#This Row],[pctAllTimeExp]])</f>
        <v>0.99878101256274243</v>
      </c>
      <c r="Q1341" t="b">
        <f>Table1[[#This Row],[cumPctAllTimeExp]]&lt;0.95</f>
        <v>0</v>
      </c>
    </row>
    <row r="1342" spans="1:17" x14ac:dyDescent="0.25">
      <c r="A1342">
        <v>1068</v>
      </c>
      <c r="C1342" t="s">
        <v>2508</v>
      </c>
      <c r="E1342" t="s">
        <v>1070</v>
      </c>
      <c r="F1342" s="4">
        <v>0</v>
      </c>
      <c r="G1342" s="4">
        <v>0</v>
      </c>
      <c r="H1342" s="4">
        <v>1794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f>SUM(Table1[[#This Row],[2025]:[2018]])</f>
        <v>1794</v>
      </c>
      <c r="O1342" s="2">
        <f>Table1[[#This Row],[ttl]]/SUM(Table1[ttl])</f>
        <v>3.6174735949562894E-6</v>
      </c>
      <c r="P1342" s="3">
        <f>SUM($O$2:Table1[[#This Row],[pctAllTimeExp]])</f>
        <v>0.99878463003633744</v>
      </c>
      <c r="Q1342" t="b">
        <f>Table1[[#This Row],[cumPctAllTimeExp]]&lt;0.95</f>
        <v>0</v>
      </c>
    </row>
    <row r="1343" spans="1:17" x14ac:dyDescent="0.25">
      <c r="A1343">
        <v>573</v>
      </c>
      <c r="C1343" t="s">
        <v>2508</v>
      </c>
      <c r="E1343" t="s">
        <v>575</v>
      </c>
      <c r="F1343" s="4">
        <v>477</v>
      </c>
      <c r="G1343" s="4">
        <v>458</v>
      </c>
      <c r="H1343" s="4">
        <v>0</v>
      </c>
      <c r="I1343" s="4">
        <v>365.5</v>
      </c>
      <c r="J1343" s="4">
        <v>181.25</v>
      </c>
      <c r="K1343" s="4">
        <v>0</v>
      </c>
      <c r="L1343" s="4">
        <v>0</v>
      </c>
      <c r="M1343" s="4">
        <v>309</v>
      </c>
      <c r="N1343" s="4">
        <f>SUM(Table1[[#This Row],[2025]:[2018]])</f>
        <v>1790.75</v>
      </c>
      <c r="O1343" s="2">
        <f>Table1[[#This Row],[ttl]]/SUM(Table1[ttl])</f>
        <v>3.6109202007625279E-6</v>
      </c>
      <c r="P1343" s="3">
        <f>SUM($O$2:Table1[[#This Row],[pctAllTimeExp]])</f>
        <v>0.99878824095653818</v>
      </c>
      <c r="Q1343" t="b">
        <f>Table1[[#This Row],[cumPctAllTimeExp]]&lt;0.95</f>
        <v>0</v>
      </c>
    </row>
    <row r="1344" spans="1:17" x14ac:dyDescent="0.25">
      <c r="A1344">
        <v>615</v>
      </c>
      <c r="C1344" t="s">
        <v>2508</v>
      </c>
      <c r="E1344" t="s">
        <v>617</v>
      </c>
      <c r="F1344" s="4">
        <v>275</v>
      </c>
      <c r="G1344" s="4">
        <v>470</v>
      </c>
      <c r="H1344" s="4">
        <v>0</v>
      </c>
      <c r="I1344" s="4">
        <v>0</v>
      </c>
      <c r="J1344" s="4">
        <v>0</v>
      </c>
      <c r="K1344" s="4">
        <v>605</v>
      </c>
      <c r="L1344" s="4">
        <v>220</v>
      </c>
      <c r="M1344" s="4">
        <v>220</v>
      </c>
      <c r="N1344" s="4">
        <f>SUM(Table1[[#This Row],[2025]:[2018]])</f>
        <v>1790</v>
      </c>
      <c r="O1344" s="2">
        <f>Table1[[#This Row],[ttl]]/SUM(Table1[ttl])</f>
        <v>3.6094078790255063E-6</v>
      </c>
      <c r="P1344" s="3">
        <f>SUM($O$2:Table1[[#This Row],[pctAllTimeExp]])</f>
        <v>0.9987918503644172</v>
      </c>
      <c r="Q1344" t="b">
        <f>Table1[[#This Row],[cumPctAllTimeExp]]&lt;0.95</f>
        <v>0</v>
      </c>
    </row>
    <row r="1345" spans="1:17" x14ac:dyDescent="0.25">
      <c r="A1345">
        <v>450</v>
      </c>
      <c r="C1345" t="s">
        <v>2508</v>
      </c>
      <c r="E1345" t="s">
        <v>452</v>
      </c>
      <c r="F1345" s="4">
        <v>1219.95</v>
      </c>
      <c r="G1345" s="4">
        <v>559.79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f>SUM(Table1[[#This Row],[2025]:[2018]])</f>
        <v>1779.74</v>
      </c>
      <c r="O1345" s="2">
        <f>Table1[[#This Row],[ttl]]/SUM(Table1[ttl])</f>
        <v>3.5887193176630469E-6</v>
      </c>
      <c r="P1345" s="3">
        <f>SUM($O$2:Table1[[#This Row],[pctAllTimeExp]])</f>
        <v>0.99879543908373492</v>
      </c>
      <c r="Q1345" t="b">
        <f>Table1[[#This Row],[cumPctAllTimeExp]]&lt;0.95</f>
        <v>0</v>
      </c>
    </row>
    <row r="1346" spans="1:17" x14ac:dyDescent="0.25">
      <c r="A1346">
        <v>1096</v>
      </c>
      <c r="C1346" t="s">
        <v>2508</v>
      </c>
      <c r="E1346" t="s">
        <v>1098</v>
      </c>
      <c r="F1346" s="4">
        <v>0</v>
      </c>
      <c r="G1346" s="4">
        <v>0</v>
      </c>
      <c r="H1346" s="4">
        <v>855</v>
      </c>
      <c r="I1346" s="4">
        <v>0</v>
      </c>
      <c r="J1346" s="4">
        <v>0</v>
      </c>
      <c r="K1346" s="4">
        <v>0</v>
      </c>
      <c r="L1346" s="4">
        <v>595</v>
      </c>
      <c r="M1346" s="4">
        <v>325</v>
      </c>
      <c r="N1346" s="4">
        <f>SUM(Table1[[#This Row],[2025]:[2018]])</f>
        <v>1775</v>
      </c>
      <c r="O1346" s="2">
        <f>Table1[[#This Row],[ttl]]/SUM(Table1[ttl])</f>
        <v>3.5791614442850688E-6</v>
      </c>
      <c r="P1346" s="3">
        <f>SUM($O$2:Table1[[#This Row],[pctAllTimeExp]])</f>
        <v>0.99879901824517925</v>
      </c>
      <c r="Q1346" t="b">
        <f>Table1[[#This Row],[cumPctAllTimeExp]]&lt;0.95</f>
        <v>0</v>
      </c>
    </row>
    <row r="1347" spans="1:17" x14ac:dyDescent="0.25">
      <c r="A1347">
        <v>1128</v>
      </c>
      <c r="C1347" t="s">
        <v>2508</v>
      </c>
      <c r="E1347" t="s">
        <v>1130</v>
      </c>
      <c r="F1347" s="4">
        <v>0</v>
      </c>
      <c r="G1347" s="4">
        <v>0</v>
      </c>
      <c r="H1347" s="4">
        <v>408.25</v>
      </c>
      <c r="I1347" s="4">
        <v>171.97</v>
      </c>
      <c r="J1347" s="4">
        <v>0</v>
      </c>
      <c r="K1347" s="4">
        <v>0</v>
      </c>
      <c r="L1347" s="4">
        <v>673.13</v>
      </c>
      <c r="M1347" s="4">
        <v>518.15</v>
      </c>
      <c r="N1347" s="4">
        <f>SUM(Table1[[#This Row],[2025]:[2018]])</f>
        <v>1771.5</v>
      </c>
      <c r="O1347" s="2">
        <f>Table1[[#This Row],[ttl]]/SUM(Table1[ttl])</f>
        <v>3.5721039428456334E-6</v>
      </c>
      <c r="P1347" s="3">
        <f>SUM($O$2:Table1[[#This Row],[pctAllTimeExp]])</f>
        <v>0.99880259034912211</v>
      </c>
      <c r="Q1347" t="b">
        <f>Table1[[#This Row],[cumPctAllTimeExp]]&lt;0.95</f>
        <v>0</v>
      </c>
    </row>
    <row r="1348" spans="1:17" x14ac:dyDescent="0.25">
      <c r="A1348">
        <v>2132</v>
      </c>
      <c r="C1348" t="s">
        <v>2508</v>
      </c>
      <c r="E1348" t="s">
        <v>2134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435</v>
      </c>
      <c r="M1348" s="4">
        <v>1316.27</v>
      </c>
      <c r="N1348" s="4">
        <f>SUM(Table1[[#This Row],[2025]:[2018]])</f>
        <v>1751.27</v>
      </c>
      <c r="O1348" s="2">
        <f>Table1[[#This Row],[ttl]]/SUM(Table1[ttl])</f>
        <v>3.5313115845256971E-6</v>
      </c>
      <c r="P1348" s="3">
        <f>SUM($O$2:Table1[[#This Row],[pctAllTimeExp]])</f>
        <v>0.99880612166070659</v>
      </c>
      <c r="Q1348" t="b">
        <f>Table1[[#This Row],[cumPctAllTimeExp]]&lt;0.95</f>
        <v>0</v>
      </c>
    </row>
    <row r="1349" spans="1:17" x14ac:dyDescent="0.25">
      <c r="A1349">
        <v>410</v>
      </c>
      <c r="C1349" t="s">
        <v>2508</v>
      </c>
      <c r="E1349" t="s">
        <v>412</v>
      </c>
      <c r="F1349" s="4">
        <v>1750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f>SUM(Table1[[#This Row],[2025]:[2018]])</f>
        <v>1750</v>
      </c>
      <c r="O1349" s="2">
        <f>Table1[[#This Row],[ttl]]/SUM(Table1[ttl])</f>
        <v>3.5287507197176737E-6</v>
      </c>
      <c r="P1349" s="3">
        <f>SUM($O$2:Table1[[#This Row],[pctAllTimeExp]])</f>
        <v>0.99880965041142633</v>
      </c>
      <c r="Q1349" t="b">
        <f>Table1[[#This Row],[cumPctAllTimeExp]]&lt;0.95</f>
        <v>0</v>
      </c>
    </row>
    <row r="1350" spans="1:17" x14ac:dyDescent="0.25">
      <c r="A1350">
        <v>809</v>
      </c>
      <c r="C1350" t="s">
        <v>2508</v>
      </c>
      <c r="E1350" t="s">
        <v>811</v>
      </c>
      <c r="F1350" s="4">
        <v>0</v>
      </c>
      <c r="G1350" s="4">
        <v>1750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f>SUM(Table1[[#This Row],[2025]:[2018]])</f>
        <v>1750</v>
      </c>
      <c r="O1350" s="2">
        <f>Table1[[#This Row],[ttl]]/SUM(Table1[ttl])</f>
        <v>3.5287507197176737E-6</v>
      </c>
      <c r="P1350" s="3">
        <f>SUM($O$2:Table1[[#This Row],[pctAllTimeExp]])</f>
        <v>0.99881317916214607</v>
      </c>
      <c r="Q1350" t="b">
        <f>Table1[[#This Row],[cumPctAllTimeExp]]&lt;0.95</f>
        <v>0</v>
      </c>
    </row>
    <row r="1351" spans="1:17" x14ac:dyDescent="0.25">
      <c r="A1351">
        <v>1069</v>
      </c>
      <c r="C1351" t="s">
        <v>2508</v>
      </c>
      <c r="E1351" t="s">
        <v>1071</v>
      </c>
      <c r="F1351" s="4">
        <v>0</v>
      </c>
      <c r="G1351" s="4">
        <v>0</v>
      </c>
      <c r="H1351" s="4">
        <v>1750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f>SUM(Table1[[#This Row],[2025]:[2018]])</f>
        <v>1750</v>
      </c>
      <c r="O1351" s="2">
        <f>Table1[[#This Row],[ttl]]/SUM(Table1[ttl])</f>
        <v>3.5287507197176737E-6</v>
      </c>
      <c r="P1351" s="3">
        <f>SUM($O$2:Table1[[#This Row],[pctAllTimeExp]])</f>
        <v>0.99881670791286581</v>
      </c>
      <c r="Q1351" t="b">
        <f>Table1[[#This Row],[cumPctAllTimeExp]]&lt;0.95</f>
        <v>0</v>
      </c>
    </row>
    <row r="1352" spans="1:17" x14ac:dyDescent="0.25">
      <c r="A1352">
        <v>1265</v>
      </c>
      <c r="C1352" t="s">
        <v>2508</v>
      </c>
      <c r="E1352" t="s">
        <v>1267</v>
      </c>
      <c r="F1352" s="4">
        <v>0</v>
      </c>
      <c r="G1352" s="4">
        <v>0</v>
      </c>
      <c r="H1352" s="4">
        <v>0</v>
      </c>
      <c r="I1352" s="4">
        <v>1750</v>
      </c>
      <c r="J1352" s="4">
        <v>0</v>
      </c>
      <c r="K1352" s="4">
        <v>0</v>
      </c>
      <c r="L1352" s="4">
        <v>0</v>
      </c>
      <c r="M1352" s="4">
        <v>0</v>
      </c>
      <c r="N1352" s="4">
        <f>SUM(Table1[[#This Row],[2025]:[2018]])</f>
        <v>1750</v>
      </c>
      <c r="O1352" s="2">
        <f>Table1[[#This Row],[ttl]]/SUM(Table1[ttl])</f>
        <v>3.5287507197176737E-6</v>
      </c>
      <c r="P1352" s="3">
        <f>SUM($O$2:Table1[[#This Row],[pctAllTimeExp]])</f>
        <v>0.99882023666358555</v>
      </c>
      <c r="Q1352" t="b">
        <f>Table1[[#This Row],[cumPctAllTimeExp]]&lt;0.95</f>
        <v>0</v>
      </c>
    </row>
    <row r="1353" spans="1:17" x14ac:dyDescent="0.25">
      <c r="A1353">
        <v>1276</v>
      </c>
      <c r="C1353" t="s">
        <v>2508</v>
      </c>
      <c r="E1353" t="s">
        <v>1278</v>
      </c>
      <c r="F1353" s="4">
        <v>0</v>
      </c>
      <c r="G1353" s="4">
        <v>0</v>
      </c>
      <c r="H1353" s="4">
        <v>0</v>
      </c>
      <c r="I1353" s="4">
        <v>1225</v>
      </c>
      <c r="J1353" s="4">
        <v>525</v>
      </c>
      <c r="K1353" s="4">
        <v>0</v>
      </c>
      <c r="L1353" s="4">
        <v>0</v>
      </c>
      <c r="M1353" s="4">
        <v>0</v>
      </c>
      <c r="N1353" s="4">
        <f>SUM(Table1[[#This Row],[2025]:[2018]])</f>
        <v>1750</v>
      </c>
      <c r="O1353" s="2">
        <f>Table1[[#This Row],[ttl]]/SUM(Table1[ttl])</f>
        <v>3.5287507197176737E-6</v>
      </c>
      <c r="P1353" s="3">
        <f>SUM($O$2:Table1[[#This Row],[pctAllTimeExp]])</f>
        <v>0.99882376541430529</v>
      </c>
      <c r="Q1353" t="b">
        <f>Table1[[#This Row],[cumPctAllTimeExp]]&lt;0.95</f>
        <v>0</v>
      </c>
    </row>
    <row r="1354" spans="1:17" x14ac:dyDescent="0.25">
      <c r="A1354">
        <v>2315</v>
      </c>
      <c r="C1354" t="s">
        <v>2508</v>
      </c>
      <c r="E1354" t="s">
        <v>2317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1743</v>
      </c>
      <c r="N1354" s="4">
        <f>SUM(Table1[[#This Row],[2025]:[2018]])</f>
        <v>1743</v>
      </c>
      <c r="O1354" s="2">
        <f>Table1[[#This Row],[ttl]]/SUM(Table1[ttl])</f>
        <v>3.5146357168388029E-6</v>
      </c>
      <c r="P1354" s="3">
        <f>SUM($O$2:Table1[[#This Row],[pctAllTimeExp]])</f>
        <v>0.99882728005002208</v>
      </c>
      <c r="Q1354" t="b">
        <f>Table1[[#This Row],[cumPctAllTimeExp]]&lt;0.95</f>
        <v>0</v>
      </c>
    </row>
    <row r="1355" spans="1:17" x14ac:dyDescent="0.25">
      <c r="A1355">
        <v>1319</v>
      </c>
      <c r="C1355" t="s">
        <v>2508</v>
      </c>
      <c r="E1355" t="s">
        <v>1321</v>
      </c>
      <c r="F1355" s="4">
        <v>0</v>
      </c>
      <c r="G1355" s="4">
        <v>0</v>
      </c>
      <c r="H1355" s="4">
        <v>0</v>
      </c>
      <c r="I1355" s="4">
        <v>440</v>
      </c>
      <c r="J1355" s="4">
        <v>0</v>
      </c>
      <c r="K1355" s="4">
        <v>435</v>
      </c>
      <c r="L1355" s="4">
        <v>435</v>
      </c>
      <c r="M1355" s="4">
        <v>425</v>
      </c>
      <c r="N1355" s="4">
        <f>SUM(Table1[[#This Row],[2025]:[2018]])</f>
        <v>1735</v>
      </c>
      <c r="O1355" s="2">
        <f>Table1[[#This Row],[ttl]]/SUM(Table1[ttl])</f>
        <v>3.4985042849772362E-6</v>
      </c>
      <c r="P1355" s="3">
        <f>SUM($O$2:Table1[[#This Row],[pctAllTimeExp]])</f>
        <v>0.99883077855430702</v>
      </c>
      <c r="Q1355" t="b">
        <f>Table1[[#This Row],[cumPctAllTimeExp]]&lt;0.95</f>
        <v>0</v>
      </c>
    </row>
    <row r="1356" spans="1:17" x14ac:dyDescent="0.25">
      <c r="A1356">
        <v>575</v>
      </c>
      <c r="C1356" t="s">
        <v>2508</v>
      </c>
      <c r="E1356" t="s">
        <v>577</v>
      </c>
      <c r="F1356" s="4">
        <v>463.09</v>
      </c>
      <c r="G1356" s="4">
        <v>0</v>
      </c>
      <c r="H1356" s="4">
        <v>1267.2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f>SUM(Table1[[#This Row],[2025]:[2018]])</f>
        <v>1730.29</v>
      </c>
      <c r="O1356" s="2">
        <f>Table1[[#This Row],[ttl]]/SUM(Table1[ttl])</f>
        <v>3.4890069044687392E-6</v>
      </c>
      <c r="P1356" s="3">
        <f>SUM($O$2:Table1[[#This Row],[pctAllTimeExp]])</f>
        <v>0.99883426756121152</v>
      </c>
      <c r="Q1356" t="b">
        <f>Table1[[#This Row],[cumPctAllTimeExp]]&lt;0.95</f>
        <v>0</v>
      </c>
    </row>
    <row r="1357" spans="1:17" x14ac:dyDescent="0.25">
      <c r="A1357">
        <v>411</v>
      </c>
      <c r="C1357" t="s">
        <v>2508</v>
      </c>
      <c r="E1357" t="s">
        <v>413</v>
      </c>
      <c r="F1357" s="4">
        <v>1722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f>SUM(Table1[[#This Row],[2025]:[2018]])</f>
        <v>1722</v>
      </c>
      <c r="O1357" s="2">
        <f>Table1[[#This Row],[ttl]]/SUM(Table1[ttl])</f>
        <v>3.4722907082021909E-6</v>
      </c>
      <c r="P1357" s="3">
        <f>SUM($O$2:Table1[[#This Row],[pctAllTimeExp]])</f>
        <v>0.9988377398519197</v>
      </c>
      <c r="Q1357" t="b">
        <f>Table1[[#This Row],[cumPctAllTimeExp]]&lt;0.95</f>
        <v>0</v>
      </c>
    </row>
    <row r="1358" spans="1:17" x14ac:dyDescent="0.25">
      <c r="A1358">
        <v>1266</v>
      </c>
      <c r="C1358" t="s">
        <v>2508</v>
      </c>
      <c r="E1358" t="s">
        <v>1268</v>
      </c>
      <c r="F1358" s="4">
        <v>0</v>
      </c>
      <c r="G1358" s="4">
        <v>0</v>
      </c>
      <c r="H1358" s="4">
        <v>0</v>
      </c>
      <c r="I1358" s="4">
        <v>1720</v>
      </c>
      <c r="J1358" s="4">
        <v>0</v>
      </c>
      <c r="K1358" s="4">
        <v>0</v>
      </c>
      <c r="L1358" s="4">
        <v>0</v>
      </c>
      <c r="M1358" s="4">
        <v>0</v>
      </c>
      <c r="N1358" s="4">
        <f>SUM(Table1[[#This Row],[2025]:[2018]])</f>
        <v>1720</v>
      </c>
      <c r="O1358" s="2">
        <f>Table1[[#This Row],[ttl]]/SUM(Table1[ttl])</f>
        <v>3.4682578502367992E-6</v>
      </c>
      <c r="P1358" s="3">
        <f>SUM($O$2:Table1[[#This Row],[pctAllTimeExp]])</f>
        <v>0.99884120810976995</v>
      </c>
      <c r="Q1358" t="b">
        <f>Table1[[#This Row],[cumPctAllTimeExp]]&lt;0.95</f>
        <v>0</v>
      </c>
    </row>
    <row r="1359" spans="1:17" x14ac:dyDescent="0.25">
      <c r="A1359">
        <v>1465</v>
      </c>
      <c r="C1359" t="s">
        <v>2508</v>
      </c>
      <c r="E1359" t="s">
        <v>1467</v>
      </c>
      <c r="F1359" s="4">
        <v>0</v>
      </c>
      <c r="G1359" s="4">
        <v>0</v>
      </c>
      <c r="H1359" s="4">
        <v>0</v>
      </c>
      <c r="I1359" s="4">
        <v>0</v>
      </c>
      <c r="J1359" s="4">
        <v>1713.64</v>
      </c>
      <c r="K1359" s="4">
        <v>0</v>
      </c>
      <c r="L1359" s="4">
        <v>0</v>
      </c>
      <c r="M1359" s="4">
        <v>0</v>
      </c>
      <c r="N1359" s="4">
        <f>SUM(Table1[[#This Row],[2025]:[2018]])</f>
        <v>1713.64</v>
      </c>
      <c r="O1359" s="2">
        <f>Table1[[#This Row],[ttl]]/SUM(Table1[ttl])</f>
        <v>3.455433361906854E-6</v>
      </c>
      <c r="P1359" s="3">
        <f>SUM($O$2:Table1[[#This Row],[pctAllTimeExp]])</f>
        <v>0.99884466354313184</v>
      </c>
      <c r="Q1359" t="b">
        <f>Table1[[#This Row],[cumPctAllTimeExp]]&lt;0.95</f>
        <v>0</v>
      </c>
    </row>
    <row r="1360" spans="1:17" x14ac:dyDescent="0.25">
      <c r="A1360">
        <v>412</v>
      </c>
      <c r="C1360" t="s">
        <v>2508</v>
      </c>
      <c r="E1360" t="s">
        <v>414</v>
      </c>
      <c r="F1360" s="4">
        <v>1707.74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f>SUM(Table1[[#This Row],[2025]:[2018]])</f>
        <v>1707.74</v>
      </c>
      <c r="O1360" s="2">
        <f>Table1[[#This Row],[ttl]]/SUM(Table1[ttl])</f>
        <v>3.4435364309089485E-6</v>
      </c>
      <c r="P1360" s="3">
        <f>SUM($O$2:Table1[[#This Row],[pctAllTimeExp]])</f>
        <v>0.99884810707956273</v>
      </c>
      <c r="Q1360" t="b">
        <f>Table1[[#This Row],[cumPctAllTimeExp]]&lt;0.95</f>
        <v>0</v>
      </c>
    </row>
    <row r="1361" spans="1:17" x14ac:dyDescent="0.25">
      <c r="A1361">
        <v>810</v>
      </c>
      <c r="C1361" t="s">
        <v>2508</v>
      </c>
      <c r="E1361" t="s">
        <v>812</v>
      </c>
      <c r="F1361" s="4">
        <v>0</v>
      </c>
      <c r="G1361" s="4">
        <v>1707.2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f>SUM(Table1[[#This Row],[2025]:[2018]])</f>
        <v>1707.2</v>
      </c>
      <c r="O1361" s="2">
        <f>Table1[[#This Row],[ttl]]/SUM(Table1[ttl])</f>
        <v>3.4424475592582931E-6</v>
      </c>
      <c r="P1361" s="3">
        <f>SUM($O$2:Table1[[#This Row],[pctAllTimeExp]])</f>
        <v>0.99885154952712196</v>
      </c>
      <c r="Q1361" t="b">
        <f>Table1[[#This Row],[cumPctAllTimeExp]]&lt;0.95</f>
        <v>0</v>
      </c>
    </row>
    <row r="1362" spans="1:17" x14ac:dyDescent="0.25">
      <c r="A1362">
        <v>812</v>
      </c>
      <c r="C1362" t="s">
        <v>2508</v>
      </c>
      <c r="E1362" t="s">
        <v>814</v>
      </c>
      <c r="F1362" s="4">
        <v>0</v>
      </c>
      <c r="G1362" s="4">
        <v>1700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f>SUM(Table1[[#This Row],[2025]:[2018]])</f>
        <v>1700</v>
      </c>
      <c r="O1362" s="2">
        <f>Table1[[#This Row],[ttl]]/SUM(Table1[ttl])</f>
        <v>3.4279292705828831E-6</v>
      </c>
      <c r="P1362" s="3">
        <f>SUM($O$2:Table1[[#This Row],[pctAllTimeExp]])</f>
        <v>0.99885497745639251</v>
      </c>
      <c r="Q1362" t="b">
        <f>Table1[[#This Row],[cumPctAllTimeExp]]&lt;0.95</f>
        <v>0</v>
      </c>
    </row>
    <row r="1363" spans="1:17" x14ac:dyDescent="0.25">
      <c r="A1363">
        <v>1118</v>
      </c>
      <c r="C1363" t="s">
        <v>2508</v>
      </c>
      <c r="E1363" t="s">
        <v>1120</v>
      </c>
      <c r="F1363" s="4">
        <v>0</v>
      </c>
      <c r="G1363" s="4">
        <v>0</v>
      </c>
      <c r="H1363" s="4">
        <v>600</v>
      </c>
      <c r="I1363" s="4">
        <v>600</v>
      </c>
      <c r="J1363" s="4">
        <v>0</v>
      </c>
      <c r="K1363" s="4">
        <v>500</v>
      </c>
      <c r="L1363" s="4">
        <v>0</v>
      </c>
      <c r="M1363" s="4">
        <v>0</v>
      </c>
      <c r="N1363" s="4">
        <f>SUM(Table1[[#This Row],[2025]:[2018]])</f>
        <v>1700</v>
      </c>
      <c r="O1363" s="2">
        <f>Table1[[#This Row],[ttl]]/SUM(Table1[ttl])</f>
        <v>3.4279292705828831E-6</v>
      </c>
      <c r="P1363" s="3">
        <f>SUM($O$2:Table1[[#This Row],[pctAllTimeExp]])</f>
        <v>0.99885840538566306</v>
      </c>
      <c r="Q1363" t="b">
        <f>Table1[[#This Row],[cumPctAllTimeExp]]&lt;0.95</f>
        <v>0</v>
      </c>
    </row>
    <row r="1364" spans="1:17" x14ac:dyDescent="0.25">
      <c r="A1364">
        <v>1835</v>
      </c>
      <c r="C1364" t="s">
        <v>2508</v>
      </c>
      <c r="E1364" t="s">
        <v>1837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300</v>
      </c>
      <c r="L1364" s="4">
        <v>300</v>
      </c>
      <c r="M1364" s="4">
        <v>1100</v>
      </c>
      <c r="N1364" s="4">
        <f>SUM(Table1[[#This Row],[2025]:[2018]])</f>
        <v>1700</v>
      </c>
      <c r="O1364" s="2">
        <f>Table1[[#This Row],[ttl]]/SUM(Table1[ttl])</f>
        <v>3.4279292705828831E-6</v>
      </c>
      <c r="P1364" s="3">
        <f>SUM($O$2:Table1[[#This Row],[pctAllTimeExp]])</f>
        <v>0.99886183331493361</v>
      </c>
      <c r="Q1364" t="b">
        <f>Table1[[#This Row],[cumPctAllTimeExp]]&lt;0.95</f>
        <v>0</v>
      </c>
    </row>
    <row r="1365" spans="1:17" x14ac:dyDescent="0.25">
      <c r="A1365">
        <v>2081</v>
      </c>
      <c r="C1365" t="s">
        <v>2508</v>
      </c>
      <c r="E1365" t="s">
        <v>2083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1000</v>
      </c>
      <c r="M1365" s="4">
        <v>700</v>
      </c>
      <c r="N1365" s="4">
        <f>SUM(Table1[[#This Row],[2025]:[2018]])</f>
        <v>1700</v>
      </c>
      <c r="O1365" s="2">
        <f>Table1[[#This Row],[ttl]]/SUM(Table1[ttl])</f>
        <v>3.4279292705828831E-6</v>
      </c>
      <c r="P1365" s="3">
        <f>SUM($O$2:Table1[[#This Row],[pctAllTimeExp]])</f>
        <v>0.99886526124420416</v>
      </c>
      <c r="Q1365" t="b">
        <f>Table1[[#This Row],[cumPctAllTimeExp]]&lt;0.95</f>
        <v>0</v>
      </c>
    </row>
    <row r="1366" spans="1:17" x14ac:dyDescent="0.25">
      <c r="A1366">
        <v>1748</v>
      </c>
      <c r="C1366" t="s">
        <v>2508</v>
      </c>
      <c r="E1366" t="s">
        <v>1750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1688</v>
      </c>
      <c r="L1366" s="4">
        <v>0</v>
      </c>
      <c r="M1366" s="4">
        <v>0</v>
      </c>
      <c r="N1366" s="4">
        <f>SUM(Table1[[#This Row],[2025]:[2018]])</f>
        <v>1688</v>
      </c>
      <c r="O1366" s="2">
        <f>Table1[[#This Row],[ttl]]/SUM(Table1[ttl])</f>
        <v>3.4037321227905333E-6</v>
      </c>
      <c r="P1366" s="3">
        <f>SUM($O$2:Table1[[#This Row],[pctAllTimeExp]])</f>
        <v>0.99886866497632698</v>
      </c>
      <c r="Q1366" t="b">
        <f>Table1[[#This Row],[cumPctAllTimeExp]]&lt;0.95</f>
        <v>0</v>
      </c>
    </row>
    <row r="1367" spans="1:17" x14ac:dyDescent="0.25">
      <c r="A1367">
        <v>2055</v>
      </c>
      <c r="C1367" t="s">
        <v>2508</v>
      </c>
      <c r="E1367" t="s">
        <v>2057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1682.86</v>
      </c>
      <c r="M1367" s="4">
        <v>0</v>
      </c>
      <c r="N1367" s="4">
        <f>SUM(Table1[[#This Row],[2025]:[2018]])</f>
        <v>1682.86</v>
      </c>
      <c r="O1367" s="2">
        <f>Table1[[#This Row],[ttl]]/SUM(Table1[ttl])</f>
        <v>3.3933676778194764E-6</v>
      </c>
      <c r="P1367" s="3">
        <f>SUM($O$2:Table1[[#This Row],[pctAllTimeExp]])</f>
        <v>0.99887205834400483</v>
      </c>
      <c r="Q1367" t="b">
        <f>Table1[[#This Row],[cumPctAllTimeExp]]&lt;0.95</f>
        <v>0</v>
      </c>
    </row>
    <row r="1368" spans="1:17" x14ac:dyDescent="0.25">
      <c r="A1368">
        <v>1088</v>
      </c>
      <c r="C1368" t="s">
        <v>2508</v>
      </c>
      <c r="E1368" t="s">
        <v>1090</v>
      </c>
      <c r="F1368" s="4">
        <v>0</v>
      </c>
      <c r="G1368" s="4">
        <v>0</v>
      </c>
      <c r="H1368" s="4">
        <v>989.82</v>
      </c>
      <c r="I1368" s="4">
        <v>392.34</v>
      </c>
      <c r="J1368" s="4">
        <v>0</v>
      </c>
      <c r="K1368" s="4">
        <v>294.32</v>
      </c>
      <c r="L1368" s="4">
        <v>0</v>
      </c>
      <c r="M1368" s="4">
        <v>0</v>
      </c>
      <c r="N1368" s="4">
        <f>SUM(Table1[[#This Row],[2025]:[2018]])</f>
        <v>1676.48</v>
      </c>
      <c r="O1368" s="2">
        <f>Table1[[#This Row],[ttl]]/SUM(Table1[ttl])</f>
        <v>3.3805028609098776E-6</v>
      </c>
      <c r="P1368" s="3">
        <f>SUM($O$2:Table1[[#This Row],[pctAllTimeExp]])</f>
        <v>0.99887543884686569</v>
      </c>
      <c r="Q1368" t="b">
        <f>Table1[[#This Row],[cumPctAllTimeExp]]&lt;0.95</f>
        <v>0</v>
      </c>
    </row>
    <row r="1369" spans="1:17" x14ac:dyDescent="0.25">
      <c r="A1369">
        <v>1749</v>
      </c>
      <c r="C1369" t="s">
        <v>2508</v>
      </c>
      <c r="E1369" t="s">
        <v>1751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1675</v>
      </c>
      <c r="L1369" s="4">
        <v>0</v>
      </c>
      <c r="M1369" s="4">
        <v>0</v>
      </c>
      <c r="N1369" s="4">
        <f>SUM(Table1[[#This Row],[2025]:[2018]])</f>
        <v>1675</v>
      </c>
      <c r="O1369" s="2">
        <f>Table1[[#This Row],[ttl]]/SUM(Table1[ttl])</f>
        <v>3.3775185460154876E-6</v>
      </c>
      <c r="P1369" s="3">
        <f>SUM($O$2:Table1[[#This Row],[pctAllTimeExp]])</f>
        <v>0.99887881636541176</v>
      </c>
      <c r="Q1369" t="b">
        <f>Table1[[#This Row],[cumPctAllTimeExp]]&lt;0.95</f>
        <v>0</v>
      </c>
    </row>
    <row r="1370" spans="1:17" x14ac:dyDescent="0.25">
      <c r="A1370">
        <v>2094</v>
      </c>
      <c r="C1370" t="s">
        <v>2508</v>
      </c>
      <c r="E1370" t="s">
        <v>2096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762.72</v>
      </c>
      <c r="M1370" s="4">
        <v>912.02</v>
      </c>
      <c r="N1370" s="4">
        <f>SUM(Table1[[#This Row],[2025]:[2018]])</f>
        <v>1674.74</v>
      </c>
      <c r="O1370" s="2">
        <f>Table1[[#This Row],[ttl]]/SUM(Table1[ttl])</f>
        <v>3.3769942744799867E-6</v>
      </c>
      <c r="P1370" s="3">
        <f>SUM($O$2:Table1[[#This Row],[pctAllTimeExp]])</f>
        <v>0.9988821933596862</v>
      </c>
      <c r="Q1370" t="b">
        <f>Table1[[#This Row],[cumPctAllTimeExp]]&lt;0.95</f>
        <v>0</v>
      </c>
    </row>
    <row r="1371" spans="1:17" x14ac:dyDescent="0.25">
      <c r="A1371">
        <v>2056</v>
      </c>
      <c r="C1371" t="s">
        <v>2508</v>
      </c>
      <c r="E1371" t="s">
        <v>2058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1672.79</v>
      </c>
      <c r="M1371" s="4">
        <v>0</v>
      </c>
      <c r="N1371" s="4">
        <f>SUM(Table1[[#This Row],[2025]:[2018]])</f>
        <v>1672.79</v>
      </c>
      <c r="O1371" s="2">
        <f>Table1[[#This Row],[ttl]]/SUM(Table1[ttl])</f>
        <v>3.3730622379637296E-6</v>
      </c>
      <c r="P1371" s="3">
        <f>SUM($O$2:Table1[[#This Row],[pctAllTimeExp]])</f>
        <v>0.99888556642192416</v>
      </c>
      <c r="Q1371" t="b">
        <f>Table1[[#This Row],[cumPctAllTimeExp]]&lt;0.95</f>
        <v>0</v>
      </c>
    </row>
    <row r="1372" spans="1:17" x14ac:dyDescent="0.25">
      <c r="A1372">
        <v>1778</v>
      </c>
      <c r="C1372" t="s">
        <v>2508</v>
      </c>
      <c r="E1372" t="s">
        <v>1780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876</v>
      </c>
      <c r="L1372" s="4">
        <v>784.45</v>
      </c>
      <c r="M1372" s="4">
        <v>0</v>
      </c>
      <c r="N1372" s="4">
        <f>SUM(Table1[[#This Row],[2025]:[2018]])</f>
        <v>1660.45</v>
      </c>
      <c r="O1372" s="2">
        <f>Table1[[#This Row],[ttl]]/SUM(Table1[ttl])</f>
        <v>3.3481795043172636E-6</v>
      </c>
      <c r="P1372" s="3">
        <f>SUM($O$2:Table1[[#This Row],[pctAllTimeExp]])</f>
        <v>0.99888891460142848</v>
      </c>
      <c r="Q1372" t="b">
        <f>Table1[[#This Row],[cumPctAllTimeExp]]&lt;0.95</f>
        <v>0</v>
      </c>
    </row>
    <row r="1373" spans="1:17" x14ac:dyDescent="0.25">
      <c r="A1373">
        <v>2057</v>
      </c>
      <c r="C1373" t="s">
        <v>2508</v>
      </c>
      <c r="E1373" t="s">
        <v>2059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1659.73</v>
      </c>
      <c r="M1373" s="4">
        <v>0</v>
      </c>
      <c r="N1373" s="4">
        <f>SUM(Table1[[#This Row],[2025]:[2018]])</f>
        <v>1659.73</v>
      </c>
      <c r="O1373" s="2">
        <f>Table1[[#This Row],[ttl]]/SUM(Table1[ttl])</f>
        <v>3.3467276754497226E-6</v>
      </c>
      <c r="P1373" s="3">
        <f>SUM($O$2:Table1[[#This Row],[pctAllTimeExp]])</f>
        <v>0.99889226132910391</v>
      </c>
      <c r="Q1373" t="b">
        <f>Table1[[#This Row],[cumPctAllTimeExp]]&lt;0.95</f>
        <v>0</v>
      </c>
    </row>
    <row r="1374" spans="1:17" x14ac:dyDescent="0.25">
      <c r="A1374">
        <v>2316</v>
      </c>
      <c r="C1374" t="s">
        <v>2508</v>
      </c>
      <c r="E1374" t="s">
        <v>2318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1650.97</v>
      </c>
      <c r="N1374" s="4">
        <f>SUM(Table1[[#This Row],[2025]:[2018]])</f>
        <v>1650.97</v>
      </c>
      <c r="O1374" s="2">
        <f>Table1[[#This Row],[ttl]]/SUM(Table1[ttl])</f>
        <v>3.3290637575613073E-6</v>
      </c>
      <c r="P1374" s="3">
        <f>SUM($O$2:Table1[[#This Row],[pctAllTimeExp]])</f>
        <v>0.99889559039286147</v>
      </c>
      <c r="Q1374" t="b">
        <f>Table1[[#This Row],[cumPctAllTimeExp]]&lt;0.95</f>
        <v>0</v>
      </c>
    </row>
    <row r="1375" spans="1:17" x14ac:dyDescent="0.25">
      <c r="A1375">
        <v>559</v>
      </c>
      <c r="C1375" t="s">
        <v>2508</v>
      </c>
      <c r="E1375" t="s">
        <v>561</v>
      </c>
      <c r="F1375" s="4">
        <v>500</v>
      </c>
      <c r="G1375" s="4">
        <v>0</v>
      </c>
      <c r="H1375" s="4">
        <v>0</v>
      </c>
      <c r="I1375" s="4">
        <v>400</v>
      </c>
      <c r="J1375" s="4">
        <v>0</v>
      </c>
      <c r="K1375" s="4">
        <v>600</v>
      </c>
      <c r="L1375" s="4">
        <v>0</v>
      </c>
      <c r="M1375" s="4">
        <v>150</v>
      </c>
      <c r="N1375" s="4">
        <f>SUM(Table1[[#This Row],[2025]:[2018]])</f>
        <v>1650</v>
      </c>
      <c r="O1375" s="2">
        <f>Table1[[#This Row],[ttl]]/SUM(Table1[ttl])</f>
        <v>3.3271078214480921E-6</v>
      </c>
      <c r="P1375" s="3">
        <f>SUM($O$2:Table1[[#This Row],[pctAllTimeExp]])</f>
        <v>0.99889891750068294</v>
      </c>
      <c r="Q1375" t="b">
        <f>Table1[[#This Row],[cumPctAllTimeExp]]&lt;0.95</f>
        <v>0</v>
      </c>
    </row>
    <row r="1376" spans="1:17" x14ac:dyDescent="0.25">
      <c r="A1376">
        <v>1124</v>
      </c>
      <c r="C1376" t="s">
        <v>2508</v>
      </c>
      <c r="E1376" t="s">
        <v>1126</v>
      </c>
      <c r="F1376" s="4">
        <v>0</v>
      </c>
      <c r="G1376" s="4">
        <v>0</v>
      </c>
      <c r="H1376" s="4">
        <v>450</v>
      </c>
      <c r="I1376" s="4">
        <v>200</v>
      </c>
      <c r="J1376" s="4">
        <v>0</v>
      </c>
      <c r="K1376" s="4">
        <v>1000</v>
      </c>
      <c r="L1376" s="4">
        <v>0</v>
      </c>
      <c r="M1376" s="4">
        <v>0</v>
      </c>
      <c r="N1376" s="4">
        <f>SUM(Table1[[#This Row],[2025]:[2018]])</f>
        <v>1650</v>
      </c>
      <c r="O1376" s="2">
        <f>Table1[[#This Row],[ttl]]/SUM(Table1[ttl])</f>
        <v>3.3271078214480921E-6</v>
      </c>
      <c r="P1376" s="3">
        <f>SUM($O$2:Table1[[#This Row],[pctAllTimeExp]])</f>
        <v>0.99890224460850441</v>
      </c>
      <c r="Q1376" t="b">
        <f>Table1[[#This Row],[cumPctAllTimeExp]]&lt;0.95</f>
        <v>0</v>
      </c>
    </row>
    <row r="1377" spans="1:17" x14ac:dyDescent="0.25">
      <c r="A1377">
        <v>1125</v>
      </c>
      <c r="C1377" t="s">
        <v>2508</v>
      </c>
      <c r="E1377" t="s">
        <v>1127</v>
      </c>
      <c r="F1377" s="4">
        <v>0</v>
      </c>
      <c r="G1377" s="4">
        <v>0</v>
      </c>
      <c r="H1377" s="4">
        <v>450</v>
      </c>
      <c r="I1377" s="4">
        <v>200</v>
      </c>
      <c r="J1377" s="4">
        <v>0</v>
      </c>
      <c r="K1377" s="4">
        <v>400</v>
      </c>
      <c r="L1377" s="4">
        <v>400</v>
      </c>
      <c r="M1377" s="4">
        <v>200</v>
      </c>
      <c r="N1377" s="4">
        <f>SUM(Table1[[#This Row],[2025]:[2018]])</f>
        <v>1650</v>
      </c>
      <c r="O1377" s="2">
        <f>Table1[[#This Row],[ttl]]/SUM(Table1[ttl])</f>
        <v>3.3271078214480921E-6</v>
      </c>
      <c r="P1377" s="3">
        <f>SUM($O$2:Table1[[#This Row],[pctAllTimeExp]])</f>
        <v>0.99890557171632588</v>
      </c>
      <c r="Q1377" t="b">
        <f>Table1[[#This Row],[cumPctAllTimeExp]]&lt;0.95</f>
        <v>0</v>
      </c>
    </row>
    <row r="1378" spans="1:17" x14ac:dyDescent="0.25">
      <c r="A1378">
        <v>888</v>
      </c>
      <c r="C1378" t="s">
        <v>2508</v>
      </c>
      <c r="E1378" t="s">
        <v>890</v>
      </c>
      <c r="F1378" s="4">
        <v>0</v>
      </c>
      <c r="G1378" s="4">
        <v>408</v>
      </c>
      <c r="H1378" s="4">
        <v>829.56</v>
      </c>
      <c r="I1378" s="4">
        <v>264</v>
      </c>
      <c r="J1378" s="4">
        <v>0</v>
      </c>
      <c r="K1378" s="4">
        <v>0</v>
      </c>
      <c r="L1378" s="4">
        <v>141</v>
      </c>
      <c r="M1378" s="4">
        <v>0</v>
      </c>
      <c r="N1378" s="4">
        <f>SUM(Table1[[#This Row],[2025]:[2018]])</f>
        <v>1642.56</v>
      </c>
      <c r="O1378" s="2">
        <f>Table1[[#This Row],[ttl]]/SUM(Table1[ttl])</f>
        <v>3.3121055898168352E-6</v>
      </c>
      <c r="P1378" s="3">
        <f>SUM($O$2:Table1[[#This Row],[pctAllTimeExp]])</f>
        <v>0.99890888382191567</v>
      </c>
      <c r="Q1378" t="b">
        <f>Table1[[#This Row],[cumPctAllTimeExp]]&lt;0.95</f>
        <v>0</v>
      </c>
    </row>
    <row r="1379" spans="1:17" x14ac:dyDescent="0.25">
      <c r="A1379">
        <v>496</v>
      </c>
      <c r="C1379" t="s">
        <v>2508</v>
      </c>
      <c r="E1379" t="s">
        <v>498</v>
      </c>
      <c r="F1379" s="4">
        <v>825.75</v>
      </c>
      <c r="G1379" s="4">
        <v>0</v>
      </c>
      <c r="H1379" s="4">
        <v>809.82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f>SUM(Table1[[#This Row],[2025]:[2018]])</f>
        <v>1635.5700000000002</v>
      </c>
      <c r="O1379" s="2">
        <f>Table1[[#This Row],[ttl]]/SUM(Table1[ttl])</f>
        <v>3.2980107512277919E-6</v>
      </c>
      <c r="P1379" s="3">
        <f>SUM($O$2:Table1[[#This Row],[pctAllTimeExp]])</f>
        <v>0.99891218183266695</v>
      </c>
      <c r="Q1379" t="b">
        <f>Table1[[#This Row],[cumPctAllTimeExp]]&lt;0.95</f>
        <v>0</v>
      </c>
    </row>
    <row r="1380" spans="1:17" x14ac:dyDescent="0.25">
      <c r="A1380">
        <v>1195</v>
      </c>
      <c r="C1380" t="s">
        <v>2508</v>
      </c>
      <c r="E1380" t="s">
        <v>1197</v>
      </c>
      <c r="F1380" s="4">
        <v>0</v>
      </c>
      <c r="G1380" s="4">
        <v>0</v>
      </c>
      <c r="H1380" s="4">
        <v>14</v>
      </c>
      <c r="I1380" s="4">
        <v>481.14</v>
      </c>
      <c r="J1380" s="4">
        <v>0</v>
      </c>
      <c r="K1380" s="4">
        <v>632.27</v>
      </c>
      <c r="L1380" s="4">
        <v>14</v>
      </c>
      <c r="M1380" s="4">
        <v>478.68</v>
      </c>
      <c r="N1380" s="4">
        <f>SUM(Table1[[#This Row],[2025]:[2018]])</f>
        <v>1620.09</v>
      </c>
      <c r="O1380" s="2">
        <f>Table1[[#This Row],[ttl]]/SUM(Table1[ttl])</f>
        <v>3.2667964305756603E-6</v>
      </c>
      <c r="P1380" s="3">
        <f>SUM($O$2:Table1[[#This Row],[pctAllTimeExp]])</f>
        <v>0.99891544862909754</v>
      </c>
      <c r="Q1380" t="b">
        <f>Table1[[#This Row],[cumPctAllTimeExp]]&lt;0.95</f>
        <v>0</v>
      </c>
    </row>
    <row r="1381" spans="1:17" x14ac:dyDescent="0.25">
      <c r="A1381">
        <v>1752</v>
      </c>
      <c r="C1381" t="s">
        <v>2508</v>
      </c>
      <c r="E1381" t="s">
        <v>1754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1606.22</v>
      </c>
      <c r="L1381" s="4">
        <v>0</v>
      </c>
      <c r="M1381" s="4">
        <v>0</v>
      </c>
      <c r="N1381" s="4">
        <f>SUM(Table1[[#This Row],[2025]:[2018]])</f>
        <v>1606.22</v>
      </c>
      <c r="O1381" s="2">
        <f>Table1[[#This Row],[ttl]]/SUM(Table1[ttl])</f>
        <v>3.2388285605856696E-6</v>
      </c>
      <c r="P1381" s="3">
        <f>SUM($O$2:Table1[[#This Row],[pctAllTimeExp]])</f>
        <v>0.99891868745765811</v>
      </c>
      <c r="Q1381" t="b">
        <f>Table1[[#This Row],[cumPctAllTimeExp]]&lt;0.95</f>
        <v>0</v>
      </c>
    </row>
    <row r="1382" spans="1:17" x14ac:dyDescent="0.25">
      <c r="A1382">
        <v>2058</v>
      </c>
      <c r="C1382" t="s">
        <v>2508</v>
      </c>
      <c r="E1382" t="s">
        <v>2060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1601.81</v>
      </c>
      <c r="M1382" s="4">
        <v>0</v>
      </c>
      <c r="N1382" s="4">
        <f>SUM(Table1[[#This Row],[2025]:[2018]])</f>
        <v>1601.81</v>
      </c>
      <c r="O1382" s="2">
        <f>Table1[[#This Row],[ttl]]/SUM(Table1[ttl])</f>
        <v>3.2299361087719811E-6</v>
      </c>
      <c r="P1382" s="3">
        <f>SUM($O$2:Table1[[#This Row],[pctAllTimeExp]])</f>
        <v>0.9989219173937669</v>
      </c>
      <c r="Q1382" t="b">
        <f>Table1[[#This Row],[cumPctAllTimeExp]]&lt;0.95</f>
        <v>0</v>
      </c>
    </row>
    <row r="1383" spans="1:17" x14ac:dyDescent="0.25">
      <c r="A1383">
        <v>499</v>
      </c>
      <c r="C1383" t="s">
        <v>2508</v>
      </c>
      <c r="E1383" t="s">
        <v>501</v>
      </c>
      <c r="F1383" s="4">
        <v>800</v>
      </c>
      <c r="G1383" s="4">
        <v>800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f>SUM(Table1[[#This Row],[2025]:[2018]])</f>
        <v>1600</v>
      </c>
      <c r="O1383" s="2">
        <f>Table1[[#This Row],[ttl]]/SUM(Table1[ttl])</f>
        <v>3.2262863723133014E-6</v>
      </c>
      <c r="P1383" s="3">
        <f>SUM($O$2:Table1[[#This Row],[pctAllTimeExp]])</f>
        <v>0.99892514368013918</v>
      </c>
      <c r="Q1383" t="b">
        <f>Table1[[#This Row],[cumPctAllTimeExp]]&lt;0.95</f>
        <v>0</v>
      </c>
    </row>
    <row r="1384" spans="1:17" x14ac:dyDescent="0.25">
      <c r="A1384">
        <v>1117</v>
      </c>
      <c r="C1384" t="s">
        <v>2508</v>
      </c>
      <c r="E1384" t="s">
        <v>1119</v>
      </c>
      <c r="F1384" s="4">
        <v>0</v>
      </c>
      <c r="G1384" s="4">
        <v>0</v>
      </c>
      <c r="H1384" s="4">
        <v>600</v>
      </c>
      <c r="I1384" s="4">
        <v>500</v>
      </c>
      <c r="J1384" s="4">
        <v>0</v>
      </c>
      <c r="K1384" s="4">
        <v>0</v>
      </c>
      <c r="L1384" s="4">
        <v>0</v>
      </c>
      <c r="M1384" s="4">
        <v>500</v>
      </c>
      <c r="N1384" s="4">
        <f>SUM(Table1[[#This Row],[2025]:[2018]])</f>
        <v>1600</v>
      </c>
      <c r="O1384" s="2">
        <f>Table1[[#This Row],[ttl]]/SUM(Table1[ttl])</f>
        <v>3.2262863723133014E-6</v>
      </c>
      <c r="P1384" s="3">
        <f>SUM($O$2:Table1[[#This Row],[pctAllTimeExp]])</f>
        <v>0.99892836996651146</v>
      </c>
      <c r="Q1384" t="b">
        <f>Table1[[#This Row],[cumPctAllTimeExp]]&lt;0.95</f>
        <v>0</v>
      </c>
    </row>
    <row r="1385" spans="1:17" x14ac:dyDescent="0.25">
      <c r="A1385">
        <v>1347</v>
      </c>
      <c r="C1385" t="s">
        <v>2508</v>
      </c>
      <c r="E1385" t="s">
        <v>1349</v>
      </c>
      <c r="F1385" s="4">
        <v>0</v>
      </c>
      <c r="G1385" s="4">
        <v>0</v>
      </c>
      <c r="H1385" s="4">
        <v>0</v>
      </c>
      <c r="I1385" s="4">
        <v>240</v>
      </c>
      <c r="J1385" s="4">
        <v>480</v>
      </c>
      <c r="K1385" s="4">
        <v>480</v>
      </c>
      <c r="L1385" s="4">
        <v>400</v>
      </c>
      <c r="M1385" s="4">
        <v>0</v>
      </c>
      <c r="N1385" s="4">
        <f>SUM(Table1[[#This Row],[2025]:[2018]])</f>
        <v>1600</v>
      </c>
      <c r="O1385" s="2">
        <f>Table1[[#This Row],[ttl]]/SUM(Table1[ttl])</f>
        <v>3.2262863723133014E-6</v>
      </c>
      <c r="P1385" s="3">
        <f>SUM($O$2:Table1[[#This Row],[pctAllTimeExp]])</f>
        <v>0.99893159625288375</v>
      </c>
      <c r="Q1385" t="b">
        <f>Table1[[#This Row],[cumPctAllTimeExp]]&lt;0.95</f>
        <v>0</v>
      </c>
    </row>
    <row r="1386" spans="1:17" x14ac:dyDescent="0.25">
      <c r="A1386">
        <v>2317</v>
      </c>
      <c r="C1386" t="s">
        <v>2508</v>
      </c>
      <c r="E1386" t="s">
        <v>2319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1600</v>
      </c>
      <c r="N1386" s="4">
        <f>SUM(Table1[[#This Row],[2025]:[2018]])</f>
        <v>1600</v>
      </c>
      <c r="O1386" s="2">
        <f>Table1[[#This Row],[ttl]]/SUM(Table1[ttl])</f>
        <v>3.2262863723133014E-6</v>
      </c>
      <c r="P1386" s="3">
        <f>SUM($O$2:Table1[[#This Row],[pctAllTimeExp]])</f>
        <v>0.99893482253925603</v>
      </c>
      <c r="Q1386" t="b">
        <f>Table1[[#This Row],[cumPctAllTimeExp]]&lt;0.95</f>
        <v>0</v>
      </c>
    </row>
    <row r="1387" spans="1:17" x14ac:dyDescent="0.25">
      <c r="A1387">
        <v>1269</v>
      </c>
      <c r="C1387" t="s">
        <v>2508</v>
      </c>
      <c r="E1387" t="s">
        <v>1271</v>
      </c>
      <c r="F1387" s="4">
        <v>0</v>
      </c>
      <c r="G1387" s="4">
        <v>0</v>
      </c>
      <c r="H1387" s="4">
        <v>0</v>
      </c>
      <c r="I1387" s="4">
        <v>1577.35</v>
      </c>
      <c r="J1387" s="4">
        <v>0</v>
      </c>
      <c r="K1387" s="4">
        <v>0</v>
      </c>
      <c r="L1387" s="4">
        <v>0</v>
      </c>
      <c r="M1387" s="4">
        <v>0</v>
      </c>
      <c r="N1387" s="4">
        <f>SUM(Table1[[#This Row],[2025]:[2018]])</f>
        <v>1577.35</v>
      </c>
      <c r="O1387" s="2">
        <f>Table1[[#This Row],[ttl]]/SUM(Table1[ttl])</f>
        <v>3.1806142558552414E-6</v>
      </c>
      <c r="P1387" s="3">
        <f>SUM($O$2:Table1[[#This Row],[pctAllTimeExp]])</f>
        <v>0.99893800315351189</v>
      </c>
      <c r="Q1387" t="b">
        <f>Table1[[#This Row],[cumPctAllTimeExp]]&lt;0.95</f>
        <v>0</v>
      </c>
    </row>
    <row r="1388" spans="1:17" x14ac:dyDescent="0.25">
      <c r="A1388">
        <v>889</v>
      </c>
      <c r="C1388" t="s">
        <v>2508</v>
      </c>
      <c r="E1388" t="s">
        <v>891</v>
      </c>
      <c r="F1388" s="4">
        <v>0</v>
      </c>
      <c r="G1388" s="4">
        <v>400</v>
      </c>
      <c r="H1388" s="4">
        <v>0</v>
      </c>
      <c r="I1388" s="4">
        <v>200</v>
      </c>
      <c r="J1388" s="4">
        <v>0</v>
      </c>
      <c r="K1388" s="4">
        <v>625</v>
      </c>
      <c r="L1388" s="4">
        <v>0</v>
      </c>
      <c r="M1388" s="4">
        <v>350</v>
      </c>
      <c r="N1388" s="4">
        <f>SUM(Table1[[#This Row],[2025]:[2018]])</f>
        <v>1575</v>
      </c>
      <c r="O1388" s="2">
        <f>Table1[[#This Row],[ttl]]/SUM(Table1[ttl])</f>
        <v>3.1758756477459063E-6</v>
      </c>
      <c r="P1388" s="3">
        <f>SUM($O$2:Table1[[#This Row],[pctAllTimeExp]])</f>
        <v>0.99894117902915969</v>
      </c>
      <c r="Q1388" t="b">
        <f>Table1[[#This Row],[cumPctAllTimeExp]]&lt;0.95</f>
        <v>0</v>
      </c>
    </row>
    <row r="1389" spans="1:17" x14ac:dyDescent="0.25">
      <c r="A1389">
        <v>1753</v>
      </c>
      <c r="C1389" t="s">
        <v>2508</v>
      </c>
      <c r="E1389" t="s">
        <v>1755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1558.05</v>
      </c>
      <c r="L1389" s="4">
        <v>0</v>
      </c>
      <c r="M1389" s="4">
        <v>0</v>
      </c>
      <c r="N1389" s="4">
        <f>SUM(Table1[[#This Row],[2025]:[2018]])</f>
        <v>1558.05</v>
      </c>
      <c r="O1389" s="2">
        <f>Table1[[#This Row],[ttl]]/SUM(Table1[ttl])</f>
        <v>3.1416971764892122E-6</v>
      </c>
      <c r="P1389" s="3">
        <f>SUM($O$2:Table1[[#This Row],[pctAllTimeExp]])</f>
        <v>0.99894432072633621</v>
      </c>
      <c r="Q1389" t="b">
        <f>Table1[[#This Row],[cumPctAllTimeExp]]&lt;0.95</f>
        <v>0</v>
      </c>
    </row>
    <row r="1390" spans="1:17" x14ac:dyDescent="0.25">
      <c r="A1390">
        <v>2061</v>
      </c>
      <c r="C1390" t="s">
        <v>2508</v>
      </c>
      <c r="E1390" t="s">
        <v>2063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1557.2</v>
      </c>
      <c r="M1390" s="4">
        <v>0</v>
      </c>
      <c r="N1390" s="4">
        <f>SUM(Table1[[#This Row],[2025]:[2018]])</f>
        <v>1557.2</v>
      </c>
      <c r="O1390" s="2">
        <f>Table1[[#This Row],[ttl]]/SUM(Table1[ttl])</f>
        <v>3.1399832118539208E-6</v>
      </c>
      <c r="P1390" s="3">
        <f>SUM($O$2:Table1[[#This Row],[pctAllTimeExp]])</f>
        <v>0.9989474607095481</v>
      </c>
      <c r="Q1390" t="b">
        <f>Table1[[#This Row],[cumPctAllTimeExp]]&lt;0.95</f>
        <v>0</v>
      </c>
    </row>
    <row r="1391" spans="1:17" x14ac:dyDescent="0.25">
      <c r="A1391">
        <v>1467</v>
      </c>
      <c r="C1391" t="s">
        <v>2508</v>
      </c>
      <c r="E1391" t="s">
        <v>1469</v>
      </c>
      <c r="F1391" s="4">
        <v>0</v>
      </c>
      <c r="G1391" s="4">
        <v>0</v>
      </c>
      <c r="H1391" s="4">
        <v>0</v>
      </c>
      <c r="I1391" s="4">
        <v>0</v>
      </c>
      <c r="J1391" s="4">
        <v>1550</v>
      </c>
      <c r="K1391" s="4">
        <v>0</v>
      </c>
      <c r="L1391" s="4">
        <v>0</v>
      </c>
      <c r="M1391" s="4">
        <v>0</v>
      </c>
      <c r="N1391" s="4">
        <f>SUM(Table1[[#This Row],[2025]:[2018]])</f>
        <v>1550</v>
      </c>
      <c r="O1391" s="2">
        <f>Table1[[#This Row],[ttl]]/SUM(Table1[ttl])</f>
        <v>3.1254649231785108E-6</v>
      </c>
      <c r="P1391" s="3">
        <f>SUM($O$2:Table1[[#This Row],[pctAllTimeExp]])</f>
        <v>0.9989505861744713</v>
      </c>
      <c r="Q1391" t="b">
        <f>Table1[[#This Row],[cumPctAllTimeExp]]&lt;0.95</f>
        <v>0</v>
      </c>
    </row>
    <row r="1392" spans="1:17" x14ac:dyDescent="0.25">
      <c r="A1392">
        <v>1755</v>
      </c>
      <c r="C1392" t="s">
        <v>2508</v>
      </c>
      <c r="E1392" t="s">
        <v>1757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1525</v>
      </c>
      <c r="L1392" s="4">
        <v>0</v>
      </c>
      <c r="M1392" s="4">
        <v>0</v>
      </c>
      <c r="N1392" s="4">
        <f>SUM(Table1[[#This Row],[2025]:[2018]])</f>
        <v>1525</v>
      </c>
      <c r="O1392" s="2">
        <f>Table1[[#This Row],[ttl]]/SUM(Table1[ttl])</f>
        <v>3.0750541986111157E-6</v>
      </c>
      <c r="P1392" s="3">
        <f>SUM($O$2:Table1[[#This Row],[pctAllTimeExp]])</f>
        <v>0.99895366122866991</v>
      </c>
      <c r="Q1392" t="b">
        <f>Table1[[#This Row],[cumPctAllTimeExp]]&lt;0.95</f>
        <v>0</v>
      </c>
    </row>
    <row r="1393" spans="1:17" x14ac:dyDescent="0.25">
      <c r="A1393">
        <v>581</v>
      </c>
      <c r="C1393" t="s">
        <v>2508</v>
      </c>
      <c r="E1393" t="s">
        <v>583</v>
      </c>
      <c r="F1393" s="4">
        <v>440</v>
      </c>
      <c r="G1393" s="4">
        <v>480</v>
      </c>
      <c r="H1393" s="4">
        <v>480</v>
      </c>
      <c r="I1393" s="4">
        <v>120</v>
      </c>
      <c r="J1393" s="4">
        <v>0</v>
      </c>
      <c r="K1393" s="4">
        <v>0</v>
      </c>
      <c r="L1393" s="4">
        <v>0</v>
      </c>
      <c r="M1393" s="4">
        <v>0</v>
      </c>
      <c r="N1393" s="4">
        <f>SUM(Table1[[#This Row],[2025]:[2018]])</f>
        <v>1520</v>
      </c>
      <c r="O1393" s="2">
        <f>Table1[[#This Row],[ttl]]/SUM(Table1[ttl])</f>
        <v>3.0649720536976367E-6</v>
      </c>
      <c r="P1393" s="3">
        <f>SUM($O$2:Table1[[#This Row],[pctAllTimeExp]])</f>
        <v>0.99895672620072362</v>
      </c>
      <c r="Q1393" t="b">
        <f>Table1[[#This Row],[cumPctAllTimeExp]]&lt;0.95</f>
        <v>0</v>
      </c>
    </row>
    <row r="1394" spans="1:17" x14ac:dyDescent="0.25">
      <c r="A1394">
        <v>424</v>
      </c>
      <c r="C1394" t="s">
        <v>2508</v>
      </c>
      <c r="E1394" t="s">
        <v>426</v>
      </c>
      <c r="F1394" s="4">
        <v>1518.98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f>SUM(Table1[[#This Row],[2025]:[2018]])</f>
        <v>1518.98</v>
      </c>
      <c r="O1394" s="2">
        <f>Table1[[#This Row],[ttl]]/SUM(Table1[ttl])</f>
        <v>3.0629152961352868E-6</v>
      </c>
      <c r="P1394" s="3">
        <f>SUM($O$2:Table1[[#This Row],[pctAllTimeExp]])</f>
        <v>0.99895978911601979</v>
      </c>
      <c r="Q1394" t="b">
        <f>Table1[[#This Row],[cumPctAllTimeExp]]&lt;0.95</f>
        <v>0</v>
      </c>
    </row>
    <row r="1395" spans="1:17" x14ac:dyDescent="0.25">
      <c r="A1395">
        <v>428</v>
      </c>
      <c r="C1395" t="s">
        <v>2508</v>
      </c>
      <c r="E1395" t="s">
        <v>430</v>
      </c>
      <c r="F1395" s="4">
        <v>1500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f>SUM(Table1[[#This Row],[2025]:[2018]])</f>
        <v>1500</v>
      </c>
      <c r="O1395" s="2">
        <f>Table1[[#This Row],[ttl]]/SUM(Table1[ttl])</f>
        <v>3.0246434740437202E-6</v>
      </c>
      <c r="P1395" s="3">
        <f>SUM($O$2:Table1[[#This Row],[pctAllTimeExp]])</f>
        <v>0.99896281375949381</v>
      </c>
      <c r="Q1395" t="b">
        <f>Table1[[#This Row],[cumPctAllTimeExp]]&lt;0.95</f>
        <v>0</v>
      </c>
    </row>
    <row r="1396" spans="1:17" x14ac:dyDescent="0.25">
      <c r="A1396">
        <v>429</v>
      </c>
      <c r="C1396" t="s">
        <v>2508</v>
      </c>
      <c r="E1396" t="s">
        <v>431</v>
      </c>
      <c r="F1396" s="4">
        <v>1500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f>SUM(Table1[[#This Row],[2025]:[2018]])</f>
        <v>1500</v>
      </c>
      <c r="O1396" s="2">
        <f>Table1[[#This Row],[ttl]]/SUM(Table1[ttl])</f>
        <v>3.0246434740437202E-6</v>
      </c>
      <c r="P1396" s="3">
        <f>SUM($O$2:Table1[[#This Row],[pctAllTimeExp]])</f>
        <v>0.99896583840296782</v>
      </c>
      <c r="Q1396" t="b">
        <f>Table1[[#This Row],[cumPctAllTimeExp]]&lt;0.95</f>
        <v>0</v>
      </c>
    </row>
    <row r="1397" spans="1:17" x14ac:dyDescent="0.25">
      <c r="A1397">
        <v>430</v>
      </c>
      <c r="C1397" t="s">
        <v>2508</v>
      </c>
      <c r="E1397" t="s">
        <v>432</v>
      </c>
      <c r="F1397" s="4">
        <v>1500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f>SUM(Table1[[#This Row],[2025]:[2018]])</f>
        <v>1500</v>
      </c>
      <c r="O1397" s="2">
        <f>Table1[[#This Row],[ttl]]/SUM(Table1[ttl])</f>
        <v>3.0246434740437202E-6</v>
      </c>
      <c r="P1397" s="3">
        <f>SUM($O$2:Table1[[#This Row],[pctAllTimeExp]])</f>
        <v>0.99896886304644184</v>
      </c>
      <c r="Q1397" t="b">
        <f>Table1[[#This Row],[cumPctAllTimeExp]]&lt;0.95</f>
        <v>0</v>
      </c>
    </row>
    <row r="1398" spans="1:17" x14ac:dyDescent="0.25">
      <c r="A1398">
        <v>611</v>
      </c>
      <c r="C1398" t="s">
        <v>2508</v>
      </c>
      <c r="E1398" t="s">
        <v>613</v>
      </c>
      <c r="F1398" s="4">
        <v>300</v>
      </c>
      <c r="G1398" s="4">
        <v>300</v>
      </c>
      <c r="H1398" s="4">
        <v>300</v>
      </c>
      <c r="I1398" s="4">
        <v>300</v>
      </c>
      <c r="J1398" s="4">
        <v>0</v>
      </c>
      <c r="K1398" s="4">
        <v>0</v>
      </c>
      <c r="L1398" s="4">
        <v>300</v>
      </c>
      <c r="M1398" s="4">
        <v>0</v>
      </c>
      <c r="N1398" s="4">
        <f>SUM(Table1[[#This Row],[2025]:[2018]])</f>
        <v>1500</v>
      </c>
      <c r="O1398" s="2">
        <f>Table1[[#This Row],[ttl]]/SUM(Table1[ttl])</f>
        <v>3.0246434740437202E-6</v>
      </c>
      <c r="P1398" s="3">
        <f>SUM($O$2:Table1[[#This Row],[pctAllTimeExp]])</f>
        <v>0.99897188768991585</v>
      </c>
      <c r="Q1398" t="b">
        <f>Table1[[#This Row],[cumPctAllTimeExp]]&lt;0.95</f>
        <v>0</v>
      </c>
    </row>
    <row r="1399" spans="1:17" x14ac:dyDescent="0.25">
      <c r="A1399">
        <v>849</v>
      </c>
      <c r="C1399" t="s">
        <v>2508</v>
      </c>
      <c r="E1399" t="s">
        <v>851</v>
      </c>
      <c r="F1399" s="4">
        <v>0</v>
      </c>
      <c r="G1399" s="4">
        <v>750</v>
      </c>
      <c r="H1399" s="4">
        <v>750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f>SUM(Table1[[#This Row],[2025]:[2018]])</f>
        <v>1500</v>
      </c>
      <c r="O1399" s="2">
        <f>Table1[[#This Row],[ttl]]/SUM(Table1[ttl])</f>
        <v>3.0246434740437202E-6</v>
      </c>
      <c r="P1399" s="3">
        <f>SUM($O$2:Table1[[#This Row],[pctAllTimeExp]])</f>
        <v>0.99897491233338986</v>
      </c>
      <c r="Q1399" t="b">
        <f>Table1[[#This Row],[cumPctAllTimeExp]]&lt;0.95</f>
        <v>0</v>
      </c>
    </row>
    <row r="1400" spans="1:17" x14ac:dyDescent="0.25">
      <c r="A1400">
        <v>875</v>
      </c>
      <c r="C1400" t="s">
        <v>2508</v>
      </c>
      <c r="E1400" t="s">
        <v>877</v>
      </c>
      <c r="F1400" s="4">
        <v>0</v>
      </c>
      <c r="G1400" s="4">
        <v>500</v>
      </c>
      <c r="H1400" s="4">
        <v>0</v>
      </c>
      <c r="I1400" s="4">
        <v>500</v>
      </c>
      <c r="J1400" s="4">
        <v>0</v>
      </c>
      <c r="K1400" s="4">
        <v>0</v>
      </c>
      <c r="L1400" s="4">
        <v>0</v>
      </c>
      <c r="M1400" s="4">
        <v>500</v>
      </c>
      <c r="N1400" s="4">
        <f>SUM(Table1[[#This Row],[2025]:[2018]])</f>
        <v>1500</v>
      </c>
      <c r="O1400" s="2">
        <f>Table1[[#This Row],[ttl]]/SUM(Table1[ttl])</f>
        <v>3.0246434740437202E-6</v>
      </c>
      <c r="P1400" s="3">
        <f>SUM($O$2:Table1[[#This Row],[pctAllTimeExp]])</f>
        <v>0.99897793697686388</v>
      </c>
      <c r="Q1400" t="b">
        <f>Table1[[#This Row],[cumPctAllTimeExp]]&lt;0.95</f>
        <v>0</v>
      </c>
    </row>
    <row r="1401" spans="1:17" x14ac:dyDescent="0.25">
      <c r="A1401">
        <v>1104</v>
      </c>
      <c r="C1401" t="s">
        <v>2508</v>
      </c>
      <c r="E1401" t="s">
        <v>1106</v>
      </c>
      <c r="F1401" s="4">
        <v>0</v>
      </c>
      <c r="G1401" s="4">
        <v>0</v>
      </c>
      <c r="H1401" s="4">
        <v>750</v>
      </c>
      <c r="I1401" s="4">
        <v>750</v>
      </c>
      <c r="J1401" s="4">
        <v>0</v>
      </c>
      <c r="K1401" s="4">
        <v>0</v>
      </c>
      <c r="L1401" s="4">
        <v>0</v>
      </c>
      <c r="M1401" s="4">
        <v>0</v>
      </c>
      <c r="N1401" s="4">
        <f>SUM(Table1[[#This Row],[2025]:[2018]])</f>
        <v>1500</v>
      </c>
      <c r="O1401" s="2">
        <f>Table1[[#This Row],[ttl]]/SUM(Table1[ttl])</f>
        <v>3.0246434740437202E-6</v>
      </c>
      <c r="P1401" s="3">
        <f>SUM($O$2:Table1[[#This Row],[pctAllTimeExp]])</f>
        <v>0.99898096162033789</v>
      </c>
      <c r="Q1401" t="b">
        <f>Table1[[#This Row],[cumPctAllTimeExp]]&lt;0.95</f>
        <v>0</v>
      </c>
    </row>
    <row r="1402" spans="1:17" x14ac:dyDescent="0.25">
      <c r="A1402">
        <v>1468</v>
      </c>
      <c r="C1402" t="s">
        <v>2508</v>
      </c>
      <c r="E1402" t="s">
        <v>1470</v>
      </c>
      <c r="F1402" s="4">
        <v>0</v>
      </c>
      <c r="G1402" s="4">
        <v>0</v>
      </c>
      <c r="H1402" s="4">
        <v>0</v>
      </c>
      <c r="I1402" s="4">
        <v>0</v>
      </c>
      <c r="J1402" s="4">
        <v>1500</v>
      </c>
      <c r="K1402" s="4">
        <v>0</v>
      </c>
      <c r="L1402" s="4">
        <v>0</v>
      </c>
      <c r="M1402" s="4">
        <v>0</v>
      </c>
      <c r="N1402" s="4">
        <f>SUM(Table1[[#This Row],[2025]:[2018]])</f>
        <v>1500</v>
      </c>
      <c r="O1402" s="2">
        <f>Table1[[#This Row],[ttl]]/SUM(Table1[ttl])</f>
        <v>3.0246434740437202E-6</v>
      </c>
      <c r="P1402" s="3">
        <f>SUM($O$2:Table1[[#This Row],[pctAllTimeExp]])</f>
        <v>0.99898398626381191</v>
      </c>
      <c r="Q1402" t="b">
        <f>Table1[[#This Row],[cumPctAllTimeExp]]&lt;0.95</f>
        <v>0</v>
      </c>
    </row>
    <row r="1403" spans="1:17" x14ac:dyDescent="0.25">
      <c r="A1403">
        <v>2098</v>
      </c>
      <c r="C1403" t="s">
        <v>2508</v>
      </c>
      <c r="E1403" t="s">
        <v>2100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750</v>
      </c>
      <c r="M1403" s="4">
        <v>750</v>
      </c>
      <c r="N1403" s="4">
        <f>SUM(Table1[[#This Row],[2025]:[2018]])</f>
        <v>1500</v>
      </c>
      <c r="O1403" s="2">
        <f>Table1[[#This Row],[ttl]]/SUM(Table1[ttl])</f>
        <v>3.0246434740437202E-6</v>
      </c>
      <c r="P1403" s="3">
        <f>SUM($O$2:Table1[[#This Row],[pctAllTimeExp]])</f>
        <v>0.99898701090728592</v>
      </c>
      <c r="Q1403" t="b">
        <f>Table1[[#This Row],[cumPctAllTimeExp]]&lt;0.95</f>
        <v>0</v>
      </c>
    </row>
    <row r="1404" spans="1:17" x14ac:dyDescent="0.25">
      <c r="A1404">
        <v>2318</v>
      </c>
      <c r="C1404" t="s">
        <v>2508</v>
      </c>
      <c r="E1404" t="s">
        <v>2320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1500</v>
      </c>
      <c r="N1404" s="4">
        <f>SUM(Table1[[#This Row],[2025]:[2018]])</f>
        <v>1500</v>
      </c>
      <c r="O1404" s="2">
        <f>Table1[[#This Row],[ttl]]/SUM(Table1[ttl])</f>
        <v>3.0246434740437202E-6</v>
      </c>
      <c r="P1404" s="3">
        <f>SUM($O$2:Table1[[#This Row],[pctAllTimeExp]])</f>
        <v>0.99899003555075994</v>
      </c>
      <c r="Q1404" t="b">
        <f>Table1[[#This Row],[cumPctAllTimeExp]]&lt;0.95</f>
        <v>0</v>
      </c>
    </row>
    <row r="1405" spans="1:17" x14ac:dyDescent="0.25">
      <c r="A1405">
        <v>431</v>
      </c>
      <c r="C1405" t="s">
        <v>2508</v>
      </c>
      <c r="E1405" t="s">
        <v>433</v>
      </c>
      <c r="F1405" s="4">
        <v>1499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f>SUM(Table1[[#This Row],[2025]:[2018]])</f>
        <v>1499</v>
      </c>
      <c r="O1405" s="2">
        <f>Table1[[#This Row],[ttl]]/SUM(Table1[ttl])</f>
        <v>3.0226270450610243E-6</v>
      </c>
      <c r="P1405" s="3">
        <f>SUM($O$2:Table1[[#This Row],[pctAllTimeExp]])</f>
        <v>0.99899305817780504</v>
      </c>
      <c r="Q1405" t="b">
        <f>Table1[[#This Row],[cumPctAllTimeExp]]&lt;0.95</f>
        <v>0</v>
      </c>
    </row>
    <row r="1406" spans="1:17" x14ac:dyDescent="0.25">
      <c r="A1406">
        <v>2319</v>
      </c>
      <c r="C1406" t="s">
        <v>2508</v>
      </c>
      <c r="E1406" t="s">
        <v>2321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1495</v>
      </c>
      <c r="N1406" s="4">
        <f>SUM(Table1[[#This Row],[2025]:[2018]])</f>
        <v>1495</v>
      </c>
      <c r="O1406" s="2">
        <f>Table1[[#This Row],[ttl]]/SUM(Table1[ttl])</f>
        <v>3.0145613291302412E-6</v>
      </c>
      <c r="P1406" s="3">
        <f>SUM($O$2:Table1[[#This Row],[pctAllTimeExp]])</f>
        <v>0.99899607273913416</v>
      </c>
      <c r="Q1406" t="b">
        <f>Table1[[#This Row],[cumPctAllTimeExp]]&lt;0.95</f>
        <v>0</v>
      </c>
    </row>
    <row r="1407" spans="1:17" x14ac:dyDescent="0.25">
      <c r="A1407">
        <v>1469</v>
      </c>
      <c r="C1407" t="s">
        <v>2508</v>
      </c>
      <c r="E1407" t="s">
        <v>1471</v>
      </c>
      <c r="F1407" s="4">
        <v>0</v>
      </c>
      <c r="G1407" s="4">
        <v>0</v>
      </c>
      <c r="H1407" s="4">
        <v>0</v>
      </c>
      <c r="I1407" s="4">
        <v>0</v>
      </c>
      <c r="J1407" s="4">
        <v>1490</v>
      </c>
      <c r="K1407" s="4">
        <v>0</v>
      </c>
      <c r="L1407" s="4">
        <v>0</v>
      </c>
      <c r="M1407" s="4">
        <v>0</v>
      </c>
      <c r="N1407" s="4">
        <f>SUM(Table1[[#This Row],[2025]:[2018]])</f>
        <v>1490</v>
      </c>
      <c r="O1407" s="2">
        <f>Table1[[#This Row],[ttl]]/SUM(Table1[ttl])</f>
        <v>3.0044791842167622E-6</v>
      </c>
      <c r="P1407" s="3">
        <f>SUM($O$2:Table1[[#This Row],[pctAllTimeExp]])</f>
        <v>0.99899907721831838</v>
      </c>
      <c r="Q1407" t="b">
        <f>Table1[[#This Row],[cumPctAllTimeExp]]&lt;0.95</f>
        <v>0</v>
      </c>
    </row>
    <row r="1408" spans="1:17" x14ac:dyDescent="0.25">
      <c r="A1408">
        <v>2062</v>
      </c>
      <c r="C1408" t="s">
        <v>2508</v>
      </c>
      <c r="E1408" t="s">
        <v>2064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1476.1</v>
      </c>
      <c r="M1408" s="4">
        <v>0</v>
      </c>
      <c r="N1408" s="4">
        <f>SUM(Table1[[#This Row],[2025]:[2018]])</f>
        <v>1476.1</v>
      </c>
      <c r="O1408" s="2">
        <f>Table1[[#This Row],[ttl]]/SUM(Table1[ttl])</f>
        <v>2.9764508213572899E-6</v>
      </c>
      <c r="P1408" s="3">
        <f>SUM($O$2:Table1[[#This Row],[pctAllTimeExp]])</f>
        <v>0.99900205366913974</v>
      </c>
      <c r="Q1408" t="b">
        <f>Table1[[#This Row],[cumPctAllTimeExp]]&lt;0.95</f>
        <v>0</v>
      </c>
    </row>
    <row r="1409" spans="1:17" x14ac:dyDescent="0.25">
      <c r="A1409">
        <v>872</v>
      </c>
      <c r="C1409" t="s">
        <v>2508</v>
      </c>
      <c r="E1409" t="s">
        <v>874</v>
      </c>
      <c r="F1409" s="4">
        <v>0</v>
      </c>
      <c r="G1409" s="4">
        <v>547.4</v>
      </c>
      <c r="H1409" s="4">
        <v>924.72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f>SUM(Table1[[#This Row],[2025]:[2018]])</f>
        <v>1472.12</v>
      </c>
      <c r="O1409" s="2">
        <f>Table1[[#This Row],[ttl]]/SUM(Table1[ttl])</f>
        <v>2.9684254340061609E-6</v>
      </c>
      <c r="P1409" s="3">
        <f>SUM($O$2:Table1[[#This Row],[pctAllTimeExp]])</f>
        <v>0.99900502209457376</v>
      </c>
      <c r="Q1409" t="b">
        <f>Table1[[#This Row],[cumPctAllTimeExp]]&lt;0.95</f>
        <v>0</v>
      </c>
    </row>
    <row r="1410" spans="1:17" x14ac:dyDescent="0.25">
      <c r="A1410">
        <v>1485</v>
      </c>
      <c r="C1410" t="s">
        <v>2508</v>
      </c>
      <c r="E1410" t="s">
        <v>1487</v>
      </c>
      <c r="F1410" s="4">
        <v>0</v>
      </c>
      <c r="G1410" s="4">
        <v>0</v>
      </c>
      <c r="H1410" s="4">
        <v>0</v>
      </c>
      <c r="I1410" s="4">
        <v>0</v>
      </c>
      <c r="J1410" s="4">
        <v>1026.28</v>
      </c>
      <c r="K1410" s="4">
        <v>0</v>
      </c>
      <c r="L1410" s="4">
        <v>0</v>
      </c>
      <c r="M1410" s="4">
        <v>444.1</v>
      </c>
      <c r="N1410" s="4">
        <f>SUM(Table1[[#This Row],[2025]:[2018]])</f>
        <v>1470.38</v>
      </c>
      <c r="O1410" s="2">
        <f>Table1[[#This Row],[ttl]]/SUM(Table1[ttl])</f>
        <v>2.9649168475762704E-6</v>
      </c>
      <c r="P1410" s="3">
        <f>SUM($O$2:Table1[[#This Row],[pctAllTimeExp]])</f>
        <v>0.99900798701142135</v>
      </c>
      <c r="Q1410" t="b">
        <f>Table1[[#This Row],[cumPctAllTimeExp]]&lt;0.95</f>
        <v>0</v>
      </c>
    </row>
    <row r="1411" spans="1:17" x14ac:dyDescent="0.25">
      <c r="A1411">
        <v>1758</v>
      </c>
      <c r="C1411" t="s">
        <v>2508</v>
      </c>
      <c r="E1411" t="s">
        <v>1760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1470</v>
      </c>
      <c r="L1411" s="4">
        <v>0</v>
      </c>
      <c r="M1411" s="4">
        <v>0</v>
      </c>
      <c r="N1411" s="4">
        <f>SUM(Table1[[#This Row],[2025]:[2018]])</f>
        <v>1470</v>
      </c>
      <c r="O1411" s="2">
        <f>Table1[[#This Row],[ttl]]/SUM(Table1[ttl])</f>
        <v>2.9641506045628457E-6</v>
      </c>
      <c r="P1411" s="3">
        <f>SUM($O$2:Table1[[#This Row],[pctAllTimeExp]])</f>
        <v>0.99901095116202587</v>
      </c>
      <c r="Q1411" t="b">
        <f>Table1[[#This Row],[cumPctAllTimeExp]]&lt;0.95</f>
        <v>0</v>
      </c>
    </row>
    <row r="1412" spans="1:17" x14ac:dyDescent="0.25">
      <c r="A1412">
        <v>1078</v>
      </c>
      <c r="C1412" t="s">
        <v>2508</v>
      </c>
      <c r="E1412" t="s">
        <v>1080</v>
      </c>
      <c r="F1412" s="4">
        <v>0</v>
      </c>
      <c r="G1412" s="4">
        <v>0</v>
      </c>
      <c r="H1412" s="4">
        <v>1467.6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f>SUM(Table1[[#This Row],[2025]:[2018]])</f>
        <v>1467.6</v>
      </c>
      <c r="O1412" s="2">
        <f>Table1[[#This Row],[ttl]]/SUM(Table1[ttl])</f>
        <v>2.9593111750043755E-6</v>
      </c>
      <c r="P1412" s="3">
        <f>SUM($O$2:Table1[[#This Row],[pctAllTimeExp]])</f>
        <v>0.99901391047320087</v>
      </c>
      <c r="Q1412" t="b">
        <f>Table1[[#This Row],[cumPctAllTimeExp]]&lt;0.95</f>
        <v>0</v>
      </c>
    </row>
    <row r="1413" spans="1:17" x14ac:dyDescent="0.25">
      <c r="A1413">
        <v>2064</v>
      </c>
      <c r="C1413" t="s">
        <v>2508</v>
      </c>
      <c r="E1413" t="s">
        <v>2066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1467.5</v>
      </c>
      <c r="M1413" s="4">
        <v>0</v>
      </c>
      <c r="N1413" s="4">
        <f>SUM(Table1[[#This Row],[2025]:[2018]])</f>
        <v>1467.5</v>
      </c>
      <c r="O1413" s="2">
        <f>Table1[[#This Row],[ttl]]/SUM(Table1[ttl])</f>
        <v>2.9591095321061062E-6</v>
      </c>
      <c r="P1413" s="3">
        <f>SUM($O$2:Table1[[#This Row],[pctAllTimeExp]])</f>
        <v>0.99901686958273295</v>
      </c>
      <c r="Q1413" t="b">
        <f>Table1[[#This Row],[cumPctAllTimeExp]]&lt;0.95</f>
        <v>0</v>
      </c>
    </row>
    <row r="1414" spans="1:17" x14ac:dyDescent="0.25">
      <c r="A1414">
        <v>2320</v>
      </c>
      <c r="C1414" t="s">
        <v>2508</v>
      </c>
      <c r="E1414" t="s">
        <v>2322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1463.25</v>
      </c>
      <c r="N1414" s="4">
        <f>SUM(Table1[[#This Row],[2025]:[2018]])</f>
        <v>1463.25</v>
      </c>
      <c r="O1414" s="2">
        <f>Table1[[#This Row],[ttl]]/SUM(Table1[ttl])</f>
        <v>2.9505397089296492E-6</v>
      </c>
      <c r="P1414" s="3">
        <f>SUM($O$2:Table1[[#This Row],[pctAllTimeExp]])</f>
        <v>0.99901982012244184</v>
      </c>
      <c r="Q1414" t="b">
        <f>Table1[[#This Row],[cumPctAllTimeExp]]&lt;0.95</f>
        <v>0</v>
      </c>
    </row>
    <row r="1415" spans="1:17" x14ac:dyDescent="0.25">
      <c r="A1415">
        <v>1089</v>
      </c>
      <c r="C1415" t="s">
        <v>2508</v>
      </c>
      <c r="E1415" t="s">
        <v>1091</v>
      </c>
      <c r="F1415" s="4">
        <v>0</v>
      </c>
      <c r="G1415" s="4">
        <v>0</v>
      </c>
      <c r="H1415" s="4">
        <v>980</v>
      </c>
      <c r="I1415" s="4">
        <v>480</v>
      </c>
      <c r="J1415" s="4">
        <v>0</v>
      </c>
      <c r="K1415" s="4">
        <v>0</v>
      </c>
      <c r="L1415" s="4">
        <v>0</v>
      </c>
      <c r="M1415" s="4">
        <v>0</v>
      </c>
      <c r="N1415" s="4">
        <f>SUM(Table1[[#This Row],[2025]:[2018]])</f>
        <v>1460</v>
      </c>
      <c r="O1415" s="2">
        <f>Table1[[#This Row],[ttl]]/SUM(Table1[ttl])</f>
        <v>2.9439863147358876E-6</v>
      </c>
      <c r="P1415" s="3">
        <f>SUM($O$2:Table1[[#This Row],[pctAllTimeExp]])</f>
        <v>0.99902276410875657</v>
      </c>
      <c r="Q1415" t="b">
        <f>Table1[[#This Row],[cumPctAllTimeExp]]&lt;0.95</f>
        <v>0</v>
      </c>
    </row>
    <row r="1416" spans="1:17" x14ac:dyDescent="0.25">
      <c r="A1416">
        <v>1759</v>
      </c>
      <c r="C1416" t="s">
        <v>2508</v>
      </c>
      <c r="E1416" t="s">
        <v>1761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1456.2</v>
      </c>
      <c r="L1416" s="4">
        <v>0</v>
      </c>
      <c r="M1416" s="4">
        <v>0</v>
      </c>
      <c r="N1416" s="4">
        <f>SUM(Table1[[#This Row],[2025]:[2018]])</f>
        <v>1456.2</v>
      </c>
      <c r="O1416" s="2">
        <f>Table1[[#This Row],[ttl]]/SUM(Table1[ttl])</f>
        <v>2.9363238846016437E-6</v>
      </c>
      <c r="P1416" s="3">
        <f>SUM($O$2:Table1[[#This Row],[pctAllTimeExp]])</f>
        <v>0.99902570043264116</v>
      </c>
      <c r="Q1416" t="b">
        <f>Table1[[#This Row],[cumPctAllTimeExp]]&lt;0.95</f>
        <v>0</v>
      </c>
    </row>
    <row r="1417" spans="1:17" x14ac:dyDescent="0.25">
      <c r="A1417">
        <v>1470</v>
      </c>
      <c r="C1417" t="s">
        <v>2508</v>
      </c>
      <c r="E1417" t="s">
        <v>1472</v>
      </c>
      <c r="F1417" s="4">
        <v>0</v>
      </c>
      <c r="G1417" s="4">
        <v>0</v>
      </c>
      <c r="H1417" s="4">
        <v>0</v>
      </c>
      <c r="I1417" s="4">
        <v>0</v>
      </c>
      <c r="J1417" s="4">
        <v>1456</v>
      </c>
      <c r="K1417" s="4">
        <v>0</v>
      </c>
      <c r="L1417" s="4">
        <v>0</v>
      </c>
      <c r="M1417" s="4">
        <v>0</v>
      </c>
      <c r="N1417" s="4">
        <f>SUM(Table1[[#This Row],[2025]:[2018]])</f>
        <v>1456</v>
      </c>
      <c r="O1417" s="2">
        <f>Table1[[#This Row],[ttl]]/SUM(Table1[ttl])</f>
        <v>2.9359205988051045E-6</v>
      </c>
      <c r="P1417" s="3">
        <f>SUM($O$2:Table1[[#This Row],[pctAllTimeExp]])</f>
        <v>0.99902863635324002</v>
      </c>
      <c r="Q1417" t="b">
        <f>Table1[[#This Row],[cumPctAllTimeExp]]&lt;0.95</f>
        <v>0</v>
      </c>
    </row>
    <row r="1418" spans="1:17" x14ac:dyDescent="0.25">
      <c r="A1418">
        <v>560</v>
      </c>
      <c r="C1418" t="s">
        <v>2508</v>
      </c>
      <c r="E1418" t="s">
        <v>562</v>
      </c>
      <c r="F1418" s="4">
        <v>500</v>
      </c>
      <c r="G1418" s="4">
        <v>250</v>
      </c>
      <c r="H1418" s="4">
        <v>500</v>
      </c>
      <c r="I1418" s="4">
        <v>0</v>
      </c>
      <c r="J1418" s="4">
        <v>200</v>
      </c>
      <c r="K1418" s="4">
        <v>0</v>
      </c>
      <c r="L1418" s="4">
        <v>0</v>
      </c>
      <c r="M1418" s="4">
        <v>0</v>
      </c>
      <c r="N1418" s="4">
        <f>SUM(Table1[[#This Row],[2025]:[2018]])</f>
        <v>1450</v>
      </c>
      <c r="O1418" s="2">
        <f>Table1[[#This Row],[ttl]]/SUM(Table1[ttl])</f>
        <v>2.9238220249089296E-6</v>
      </c>
      <c r="P1418" s="3">
        <f>SUM($O$2:Table1[[#This Row],[pctAllTimeExp]])</f>
        <v>0.99903156017526495</v>
      </c>
      <c r="Q1418" t="b">
        <f>Table1[[#This Row],[cumPctAllTimeExp]]&lt;0.95</f>
        <v>0</v>
      </c>
    </row>
    <row r="1419" spans="1:17" x14ac:dyDescent="0.25">
      <c r="A1419">
        <v>935</v>
      </c>
      <c r="C1419" t="s">
        <v>2508</v>
      </c>
      <c r="E1419" t="s">
        <v>937</v>
      </c>
      <c r="F1419" s="4">
        <v>0</v>
      </c>
      <c r="G1419" s="4">
        <v>100</v>
      </c>
      <c r="H1419" s="4">
        <v>100</v>
      </c>
      <c r="I1419" s="4">
        <v>100</v>
      </c>
      <c r="J1419" s="4">
        <v>0</v>
      </c>
      <c r="K1419" s="4">
        <v>400</v>
      </c>
      <c r="L1419" s="4">
        <v>500</v>
      </c>
      <c r="M1419" s="4">
        <v>250</v>
      </c>
      <c r="N1419" s="4">
        <f>SUM(Table1[[#This Row],[2025]:[2018]])</f>
        <v>1450</v>
      </c>
      <c r="O1419" s="2">
        <f>Table1[[#This Row],[ttl]]/SUM(Table1[ttl])</f>
        <v>2.9238220249089296E-6</v>
      </c>
      <c r="P1419" s="3">
        <f>SUM($O$2:Table1[[#This Row],[pctAllTimeExp]])</f>
        <v>0.99903448399728989</v>
      </c>
      <c r="Q1419" t="b">
        <f>Table1[[#This Row],[cumPctAllTimeExp]]&lt;0.95</f>
        <v>0</v>
      </c>
    </row>
    <row r="1420" spans="1:17" x14ac:dyDescent="0.25">
      <c r="A1420">
        <v>2100</v>
      </c>
      <c r="C1420" t="s">
        <v>2508</v>
      </c>
      <c r="E1420" t="s">
        <v>2102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700</v>
      </c>
      <c r="M1420" s="4">
        <v>750</v>
      </c>
      <c r="N1420" s="4">
        <f>SUM(Table1[[#This Row],[2025]:[2018]])</f>
        <v>1450</v>
      </c>
      <c r="O1420" s="2">
        <f>Table1[[#This Row],[ttl]]/SUM(Table1[ttl])</f>
        <v>2.9238220249089296E-6</v>
      </c>
      <c r="P1420" s="3">
        <f>SUM($O$2:Table1[[#This Row],[pctAllTimeExp]])</f>
        <v>0.99903740781931483</v>
      </c>
      <c r="Q1420" t="b">
        <f>Table1[[#This Row],[cumPctAllTimeExp]]&lt;0.95</f>
        <v>0</v>
      </c>
    </row>
    <row r="1421" spans="1:17" x14ac:dyDescent="0.25">
      <c r="A1421">
        <v>818</v>
      </c>
      <c r="C1421" t="s">
        <v>2508</v>
      </c>
      <c r="E1421" t="s">
        <v>820</v>
      </c>
      <c r="F1421" s="4">
        <v>0</v>
      </c>
      <c r="G1421" s="4">
        <v>1445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f>SUM(Table1[[#This Row],[2025]:[2018]])</f>
        <v>1445</v>
      </c>
      <c r="O1421" s="2">
        <f>Table1[[#This Row],[ttl]]/SUM(Table1[ttl])</f>
        <v>2.9137398799954506E-6</v>
      </c>
      <c r="P1421" s="3">
        <f>SUM($O$2:Table1[[#This Row],[pctAllTimeExp]])</f>
        <v>0.99904032155919487</v>
      </c>
      <c r="Q1421" t="b">
        <f>Table1[[#This Row],[cumPctAllTimeExp]]&lt;0.95</f>
        <v>0</v>
      </c>
    </row>
    <row r="1422" spans="1:17" x14ac:dyDescent="0.25">
      <c r="A1422">
        <v>432</v>
      </c>
      <c r="C1422" t="s">
        <v>2508</v>
      </c>
      <c r="E1422" t="s">
        <v>434</v>
      </c>
      <c r="F1422" s="4">
        <v>1444.76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f>SUM(Table1[[#This Row],[2025]:[2018]])</f>
        <v>1444.76</v>
      </c>
      <c r="O1422" s="2">
        <f>Table1[[#This Row],[ttl]]/SUM(Table1[ttl])</f>
        <v>2.9132559370396033E-6</v>
      </c>
      <c r="P1422" s="3">
        <f>SUM($O$2:Table1[[#This Row],[pctAllTimeExp]])</f>
        <v>0.99904323481513191</v>
      </c>
      <c r="Q1422" t="b">
        <f>Table1[[#This Row],[cumPctAllTimeExp]]&lt;0.95</f>
        <v>0</v>
      </c>
    </row>
    <row r="1423" spans="1:17" x14ac:dyDescent="0.25">
      <c r="A1423">
        <v>819</v>
      </c>
      <c r="C1423" t="s">
        <v>2508</v>
      </c>
      <c r="E1423" t="s">
        <v>821</v>
      </c>
      <c r="F1423" s="4">
        <v>0</v>
      </c>
      <c r="G1423" s="4">
        <v>1442.89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f>SUM(Table1[[#This Row],[2025]:[2018]])</f>
        <v>1442.89</v>
      </c>
      <c r="O1423" s="2">
        <f>Table1[[#This Row],[ttl]]/SUM(Table1[ttl])</f>
        <v>2.9094852148419624E-6</v>
      </c>
      <c r="P1423" s="3">
        <f>SUM($O$2:Table1[[#This Row],[pctAllTimeExp]])</f>
        <v>0.99904614430034677</v>
      </c>
      <c r="Q1423" t="b">
        <f>Table1[[#This Row],[cumPctAllTimeExp]]&lt;0.95</f>
        <v>0</v>
      </c>
    </row>
    <row r="1424" spans="1:17" x14ac:dyDescent="0.25">
      <c r="A1424">
        <v>1270</v>
      </c>
      <c r="C1424" t="s">
        <v>2508</v>
      </c>
      <c r="E1424" t="s">
        <v>1272</v>
      </c>
      <c r="F1424" s="4">
        <v>0</v>
      </c>
      <c r="G1424" s="4">
        <v>0</v>
      </c>
      <c r="H1424" s="4">
        <v>0</v>
      </c>
      <c r="I1424" s="4">
        <v>1442</v>
      </c>
      <c r="J1424" s="4">
        <v>0</v>
      </c>
      <c r="K1424" s="4">
        <v>0</v>
      </c>
      <c r="L1424" s="4">
        <v>0</v>
      </c>
      <c r="M1424" s="4">
        <v>0</v>
      </c>
      <c r="N1424" s="4">
        <f>SUM(Table1[[#This Row],[2025]:[2018]])</f>
        <v>1442</v>
      </c>
      <c r="O1424" s="2">
        <f>Table1[[#This Row],[ttl]]/SUM(Table1[ttl])</f>
        <v>2.9076905930473629E-6</v>
      </c>
      <c r="P1424" s="3">
        <f>SUM($O$2:Table1[[#This Row],[pctAllTimeExp]])</f>
        <v>0.99904905199093985</v>
      </c>
      <c r="Q1424" t="b">
        <f>Table1[[#This Row],[cumPctAllTimeExp]]&lt;0.95</f>
        <v>0</v>
      </c>
    </row>
    <row r="1425" spans="1:17" x14ac:dyDescent="0.25">
      <c r="A1425">
        <v>833</v>
      </c>
      <c r="C1425" t="s">
        <v>2508</v>
      </c>
      <c r="E1425" t="s">
        <v>835</v>
      </c>
      <c r="F1425" s="4">
        <v>0</v>
      </c>
      <c r="G1425" s="4">
        <v>1040</v>
      </c>
      <c r="H1425" s="4">
        <v>0</v>
      </c>
      <c r="I1425" s="4">
        <v>0</v>
      </c>
      <c r="J1425" s="4">
        <v>0</v>
      </c>
      <c r="K1425" s="4">
        <v>400</v>
      </c>
      <c r="L1425" s="4">
        <v>0</v>
      </c>
      <c r="M1425" s="4">
        <v>0</v>
      </c>
      <c r="N1425" s="4">
        <f>SUM(Table1[[#This Row],[2025]:[2018]])</f>
        <v>1440</v>
      </c>
      <c r="O1425" s="2">
        <f>Table1[[#This Row],[ttl]]/SUM(Table1[ttl])</f>
        <v>2.9036577350819715E-6</v>
      </c>
      <c r="P1425" s="3">
        <f>SUM($O$2:Table1[[#This Row],[pctAllTimeExp]])</f>
        <v>0.99905195564867488</v>
      </c>
      <c r="Q1425" t="b">
        <f>Table1[[#This Row],[cumPctAllTimeExp]]&lt;0.95</f>
        <v>0</v>
      </c>
    </row>
    <row r="1426" spans="1:17" x14ac:dyDescent="0.25">
      <c r="A1426">
        <v>1760</v>
      </c>
      <c r="C1426" t="s">
        <v>2508</v>
      </c>
      <c r="E1426" t="s">
        <v>1762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1440</v>
      </c>
      <c r="L1426" s="4">
        <v>0</v>
      </c>
      <c r="M1426" s="4">
        <v>0</v>
      </c>
      <c r="N1426" s="4">
        <f>SUM(Table1[[#This Row],[2025]:[2018]])</f>
        <v>1440</v>
      </c>
      <c r="O1426" s="2">
        <f>Table1[[#This Row],[ttl]]/SUM(Table1[ttl])</f>
        <v>2.9036577350819715E-6</v>
      </c>
      <c r="P1426" s="3">
        <f>SUM($O$2:Table1[[#This Row],[pctAllTimeExp]])</f>
        <v>0.99905485930640991</v>
      </c>
      <c r="Q1426" t="b">
        <f>Table1[[#This Row],[cumPctAllTimeExp]]&lt;0.95</f>
        <v>0</v>
      </c>
    </row>
    <row r="1427" spans="1:17" x14ac:dyDescent="0.25">
      <c r="A1427">
        <v>820</v>
      </c>
      <c r="C1427" t="s">
        <v>2508</v>
      </c>
      <c r="E1427" t="s">
        <v>822</v>
      </c>
      <c r="F1427" s="4">
        <v>0</v>
      </c>
      <c r="G1427" s="4">
        <v>1435.21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f>SUM(Table1[[#This Row],[2025]:[2018]])</f>
        <v>1435.21</v>
      </c>
      <c r="O1427" s="2">
        <f>Table1[[#This Row],[ttl]]/SUM(Table1[ttl])</f>
        <v>2.8939990402548587E-6</v>
      </c>
      <c r="P1427" s="3">
        <f>SUM($O$2:Table1[[#This Row],[pctAllTimeExp]])</f>
        <v>0.99905775330545021</v>
      </c>
      <c r="Q1427" t="b">
        <f>Table1[[#This Row],[cumPctAllTimeExp]]&lt;0.95</f>
        <v>0</v>
      </c>
    </row>
    <row r="1428" spans="1:17" x14ac:dyDescent="0.25">
      <c r="A1428">
        <v>433</v>
      </c>
      <c r="C1428" t="s">
        <v>2508</v>
      </c>
      <c r="E1428" t="s">
        <v>435</v>
      </c>
      <c r="F1428" s="4">
        <v>1435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f>SUM(Table1[[#This Row],[2025]:[2018]])</f>
        <v>1435</v>
      </c>
      <c r="O1428" s="2">
        <f>Table1[[#This Row],[ttl]]/SUM(Table1[ttl])</f>
        <v>2.8935755901684925E-6</v>
      </c>
      <c r="P1428" s="3">
        <f>SUM($O$2:Table1[[#This Row],[pctAllTimeExp]])</f>
        <v>0.99906064688104035</v>
      </c>
      <c r="Q1428" t="b">
        <f>Table1[[#This Row],[cumPctAllTimeExp]]&lt;0.95</f>
        <v>0</v>
      </c>
    </row>
    <row r="1429" spans="1:17" x14ac:dyDescent="0.25">
      <c r="A1429">
        <v>1123</v>
      </c>
      <c r="C1429" t="s">
        <v>2508</v>
      </c>
      <c r="E1429" t="s">
        <v>1125</v>
      </c>
      <c r="F1429" s="4">
        <v>0</v>
      </c>
      <c r="G1429" s="4">
        <v>0</v>
      </c>
      <c r="H1429" s="4">
        <v>480</v>
      </c>
      <c r="I1429" s="4">
        <v>504</v>
      </c>
      <c r="J1429" s="4">
        <v>240</v>
      </c>
      <c r="K1429" s="4">
        <v>200</v>
      </c>
      <c r="L1429" s="4">
        <v>0</v>
      </c>
      <c r="M1429" s="4">
        <v>0</v>
      </c>
      <c r="N1429" s="4">
        <f>SUM(Table1[[#This Row],[2025]:[2018]])</f>
        <v>1424</v>
      </c>
      <c r="O1429" s="2">
        <f>Table1[[#This Row],[ttl]]/SUM(Table1[ttl])</f>
        <v>2.8713948713588386E-6</v>
      </c>
      <c r="P1429" s="3">
        <f>SUM($O$2:Table1[[#This Row],[pctAllTimeExp]])</f>
        <v>0.99906351827591167</v>
      </c>
      <c r="Q1429" t="b">
        <f>Table1[[#This Row],[cumPctAllTimeExp]]&lt;0.95</f>
        <v>0</v>
      </c>
    </row>
    <row r="1430" spans="1:17" x14ac:dyDescent="0.25">
      <c r="A1430">
        <v>827</v>
      </c>
      <c r="C1430" t="s">
        <v>2508</v>
      </c>
      <c r="E1430" t="s">
        <v>829</v>
      </c>
      <c r="F1430" s="4">
        <v>0</v>
      </c>
      <c r="G1430" s="4">
        <v>1194.6500000000001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227.32</v>
      </c>
      <c r="N1430" s="4">
        <f>SUM(Table1[[#This Row],[2025]:[2018]])</f>
        <v>1421.97</v>
      </c>
      <c r="O1430" s="2">
        <f>Table1[[#This Row],[ttl]]/SUM(Table1[ttl])</f>
        <v>2.8673015205239658E-6</v>
      </c>
      <c r="P1430" s="3">
        <f>SUM($O$2:Table1[[#This Row],[pctAllTimeExp]])</f>
        <v>0.99906638557743221</v>
      </c>
      <c r="Q1430" t="b">
        <f>Table1[[#This Row],[cumPctAllTimeExp]]&lt;0.95</f>
        <v>0</v>
      </c>
    </row>
    <row r="1431" spans="1:17" x14ac:dyDescent="0.25">
      <c r="A1431">
        <v>1471</v>
      </c>
      <c r="C1431" t="s">
        <v>2508</v>
      </c>
      <c r="E1431" t="s">
        <v>1473</v>
      </c>
      <c r="F1431" s="4">
        <v>0</v>
      </c>
      <c r="G1431" s="4">
        <v>0</v>
      </c>
      <c r="H1431" s="4">
        <v>0</v>
      </c>
      <c r="I1431" s="4">
        <v>0</v>
      </c>
      <c r="J1431" s="4">
        <v>1414.1</v>
      </c>
      <c r="K1431" s="4">
        <v>0</v>
      </c>
      <c r="L1431" s="4">
        <v>0</v>
      </c>
      <c r="M1431" s="4">
        <v>0</v>
      </c>
      <c r="N1431" s="4">
        <f>SUM(Table1[[#This Row],[2025]:[2018]])</f>
        <v>1414.1</v>
      </c>
      <c r="O1431" s="2">
        <f>Table1[[#This Row],[ttl]]/SUM(Table1[ttl])</f>
        <v>2.8514322244301495E-6</v>
      </c>
      <c r="P1431" s="3">
        <f>SUM($O$2:Table1[[#This Row],[pctAllTimeExp]])</f>
        <v>0.99906923700965666</v>
      </c>
      <c r="Q1431" t="b">
        <f>Table1[[#This Row],[cumPctAllTimeExp]]&lt;0.95</f>
        <v>0</v>
      </c>
    </row>
    <row r="1432" spans="1:17" x14ac:dyDescent="0.25">
      <c r="A1432">
        <v>618</v>
      </c>
      <c r="C1432" t="s">
        <v>2508</v>
      </c>
      <c r="E1432" t="s">
        <v>620</v>
      </c>
      <c r="F1432" s="4">
        <v>255</v>
      </c>
      <c r="G1432" s="4">
        <v>255</v>
      </c>
      <c r="H1432" s="4">
        <v>300</v>
      </c>
      <c r="I1432" s="4">
        <v>85</v>
      </c>
      <c r="J1432" s="4">
        <v>0</v>
      </c>
      <c r="K1432" s="4">
        <v>255</v>
      </c>
      <c r="L1432" s="4">
        <v>0</v>
      </c>
      <c r="M1432" s="4">
        <v>255</v>
      </c>
      <c r="N1432" s="4">
        <f>SUM(Table1[[#This Row],[2025]:[2018]])</f>
        <v>1405</v>
      </c>
      <c r="O1432" s="2">
        <f>Table1[[#This Row],[ttl]]/SUM(Table1[ttl])</f>
        <v>2.833082720687618E-6</v>
      </c>
      <c r="P1432" s="3">
        <f>SUM($O$2:Table1[[#This Row],[pctAllTimeExp]])</f>
        <v>0.99907207009237731</v>
      </c>
      <c r="Q1432" t="b">
        <f>Table1[[#This Row],[cumPctAllTimeExp]]&lt;0.95</f>
        <v>0</v>
      </c>
    </row>
    <row r="1433" spans="1:17" x14ac:dyDescent="0.25">
      <c r="A1433">
        <v>540</v>
      </c>
      <c r="C1433" t="s">
        <v>2508</v>
      </c>
      <c r="E1433" t="s">
        <v>542</v>
      </c>
      <c r="F1433" s="4">
        <v>580</v>
      </c>
      <c r="G1433" s="4">
        <v>0</v>
      </c>
      <c r="H1433" s="4">
        <v>500</v>
      </c>
      <c r="I1433" s="4">
        <v>320</v>
      </c>
      <c r="J1433" s="4">
        <v>0</v>
      </c>
      <c r="K1433" s="4">
        <v>0</v>
      </c>
      <c r="L1433" s="4">
        <v>0</v>
      </c>
      <c r="M1433" s="4">
        <v>0</v>
      </c>
      <c r="N1433" s="4">
        <f>SUM(Table1[[#This Row],[2025]:[2018]])</f>
        <v>1400</v>
      </c>
      <c r="O1433" s="2">
        <f>Table1[[#This Row],[ttl]]/SUM(Table1[ttl])</f>
        <v>2.823000575774139E-6</v>
      </c>
      <c r="P1433" s="3">
        <f>SUM($O$2:Table1[[#This Row],[pctAllTimeExp]])</f>
        <v>0.99907489309295305</v>
      </c>
      <c r="Q1433" t="b">
        <f>Table1[[#This Row],[cumPctAllTimeExp]]&lt;0.95</f>
        <v>0</v>
      </c>
    </row>
    <row r="1434" spans="1:17" x14ac:dyDescent="0.25">
      <c r="A1434">
        <v>1079</v>
      </c>
      <c r="C1434" t="s">
        <v>2508</v>
      </c>
      <c r="E1434" t="s">
        <v>1081</v>
      </c>
      <c r="F1434" s="4">
        <v>0</v>
      </c>
      <c r="G1434" s="4">
        <v>0</v>
      </c>
      <c r="H1434" s="4">
        <v>1400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f>SUM(Table1[[#This Row],[2025]:[2018]])</f>
        <v>1400</v>
      </c>
      <c r="O1434" s="2">
        <f>Table1[[#This Row],[ttl]]/SUM(Table1[ttl])</f>
        <v>2.823000575774139E-6</v>
      </c>
      <c r="P1434" s="3">
        <f>SUM($O$2:Table1[[#This Row],[pctAllTimeExp]])</f>
        <v>0.9990777160935288</v>
      </c>
      <c r="Q1434" t="b">
        <f>Table1[[#This Row],[cumPctAllTimeExp]]&lt;0.95</f>
        <v>0</v>
      </c>
    </row>
    <row r="1435" spans="1:17" x14ac:dyDescent="0.25">
      <c r="A1435">
        <v>1271</v>
      </c>
      <c r="C1435" t="s">
        <v>2508</v>
      </c>
      <c r="E1435" t="s">
        <v>1273</v>
      </c>
      <c r="F1435" s="4">
        <v>0</v>
      </c>
      <c r="G1435" s="4">
        <v>0</v>
      </c>
      <c r="H1435" s="4">
        <v>0</v>
      </c>
      <c r="I1435" s="4">
        <v>1400</v>
      </c>
      <c r="J1435" s="4">
        <v>0</v>
      </c>
      <c r="K1435" s="4">
        <v>0</v>
      </c>
      <c r="L1435" s="4">
        <v>0</v>
      </c>
      <c r="M1435" s="4">
        <v>0</v>
      </c>
      <c r="N1435" s="4">
        <f>SUM(Table1[[#This Row],[2025]:[2018]])</f>
        <v>1400</v>
      </c>
      <c r="O1435" s="2">
        <f>Table1[[#This Row],[ttl]]/SUM(Table1[ttl])</f>
        <v>2.823000575774139E-6</v>
      </c>
      <c r="P1435" s="3">
        <f>SUM($O$2:Table1[[#This Row],[pctAllTimeExp]])</f>
        <v>0.99908053909410455</v>
      </c>
      <c r="Q1435" t="b">
        <f>Table1[[#This Row],[cumPctAllTimeExp]]&lt;0.95</f>
        <v>0</v>
      </c>
    </row>
    <row r="1436" spans="1:17" x14ac:dyDescent="0.25">
      <c r="A1436">
        <v>1298</v>
      </c>
      <c r="C1436" t="s">
        <v>2508</v>
      </c>
      <c r="E1436" t="s">
        <v>1300</v>
      </c>
      <c r="F1436" s="4">
        <v>0</v>
      </c>
      <c r="G1436" s="4">
        <v>0</v>
      </c>
      <c r="H1436" s="4">
        <v>0</v>
      </c>
      <c r="I1436" s="4">
        <v>700</v>
      </c>
      <c r="J1436" s="4">
        <v>0</v>
      </c>
      <c r="K1436" s="4">
        <v>0</v>
      </c>
      <c r="L1436" s="4">
        <v>0</v>
      </c>
      <c r="M1436" s="4">
        <v>700</v>
      </c>
      <c r="N1436" s="4">
        <f>SUM(Table1[[#This Row],[2025]:[2018]])</f>
        <v>1400</v>
      </c>
      <c r="O1436" s="2">
        <f>Table1[[#This Row],[ttl]]/SUM(Table1[ttl])</f>
        <v>2.823000575774139E-6</v>
      </c>
      <c r="P1436" s="3">
        <f>SUM($O$2:Table1[[#This Row],[pctAllTimeExp]])</f>
        <v>0.99908336209468029</v>
      </c>
      <c r="Q1436" t="b">
        <f>Table1[[#This Row],[cumPctAllTimeExp]]&lt;0.95</f>
        <v>0</v>
      </c>
    </row>
    <row r="1437" spans="1:17" x14ac:dyDescent="0.25">
      <c r="A1437">
        <v>1472</v>
      </c>
      <c r="C1437" t="s">
        <v>2508</v>
      </c>
      <c r="E1437" t="s">
        <v>1474</v>
      </c>
      <c r="F1437" s="4">
        <v>0</v>
      </c>
      <c r="G1437" s="4">
        <v>0</v>
      </c>
      <c r="H1437" s="4">
        <v>0</v>
      </c>
      <c r="I1437" s="4">
        <v>0</v>
      </c>
      <c r="J1437" s="4">
        <v>1400</v>
      </c>
      <c r="K1437" s="4">
        <v>0</v>
      </c>
      <c r="L1437" s="4">
        <v>0</v>
      </c>
      <c r="M1437" s="4">
        <v>0</v>
      </c>
      <c r="N1437" s="4">
        <f>SUM(Table1[[#This Row],[2025]:[2018]])</f>
        <v>1400</v>
      </c>
      <c r="O1437" s="2">
        <f>Table1[[#This Row],[ttl]]/SUM(Table1[ttl])</f>
        <v>2.823000575774139E-6</v>
      </c>
      <c r="P1437" s="3">
        <f>SUM($O$2:Table1[[#This Row],[pctAllTimeExp]])</f>
        <v>0.99908618509525604</v>
      </c>
      <c r="Q1437" t="b">
        <f>Table1[[#This Row],[cumPctAllTimeExp]]&lt;0.95</f>
        <v>0</v>
      </c>
    </row>
    <row r="1438" spans="1:17" x14ac:dyDescent="0.25">
      <c r="A1438">
        <v>2065</v>
      </c>
      <c r="C1438" t="s">
        <v>2508</v>
      </c>
      <c r="E1438" t="s">
        <v>2067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1375.2</v>
      </c>
      <c r="M1438" s="4">
        <v>0</v>
      </c>
      <c r="N1438" s="4">
        <f>SUM(Table1[[#This Row],[2025]:[2018]])</f>
        <v>1375.2</v>
      </c>
      <c r="O1438" s="2">
        <f>Table1[[#This Row],[ttl]]/SUM(Table1[ttl])</f>
        <v>2.7729931370032826E-6</v>
      </c>
      <c r="P1438" s="3">
        <f>SUM($O$2:Table1[[#This Row],[pctAllTimeExp]])</f>
        <v>0.99908895808839304</v>
      </c>
      <c r="Q1438" t="b">
        <f>Table1[[#This Row],[cumPctAllTimeExp]]&lt;0.95</f>
        <v>0</v>
      </c>
    </row>
    <row r="1439" spans="1:17" x14ac:dyDescent="0.25">
      <c r="A1439">
        <v>1792</v>
      </c>
      <c r="C1439" t="s">
        <v>2508</v>
      </c>
      <c r="E1439" t="s">
        <v>1794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700</v>
      </c>
      <c r="L1439" s="4">
        <v>0</v>
      </c>
      <c r="M1439" s="4">
        <v>675</v>
      </c>
      <c r="N1439" s="4">
        <f>SUM(Table1[[#This Row],[2025]:[2018]])</f>
        <v>1375</v>
      </c>
      <c r="O1439" s="2">
        <f>Table1[[#This Row],[ttl]]/SUM(Table1[ttl])</f>
        <v>2.7725898512067434E-6</v>
      </c>
      <c r="P1439" s="3">
        <f>SUM($O$2:Table1[[#This Row],[pctAllTimeExp]])</f>
        <v>0.99909173067824419</v>
      </c>
      <c r="Q1439" t="b">
        <f>Table1[[#This Row],[cumPctAllTimeExp]]&lt;0.95</f>
        <v>0</v>
      </c>
    </row>
    <row r="1440" spans="1:17" x14ac:dyDescent="0.25">
      <c r="A1440">
        <v>1921</v>
      </c>
      <c r="C1440" t="s">
        <v>2508</v>
      </c>
      <c r="E1440" t="s">
        <v>1923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75</v>
      </c>
      <c r="L1440" s="4">
        <v>650</v>
      </c>
      <c r="M1440" s="4">
        <v>650</v>
      </c>
      <c r="N1440" s="4">
        <f>SUM(Table1[[#This Row],[2025]:[2018]])</f>
        <v>1375</v>
      </c>
      <c r="O1440" s="2">
        <f>Table1[[#This Row],[ttl]]/SUM(Table1[ttl])</f>
        <v>2.7725898512067434E-6</v>
      </c>
      <c r="P1440" s="3">
        <f>SUM($O$2:Table1[[#This Row],[pctAllTimeExp]])</f>
        <v>0.99909450326809535</v>
      </c>
      <c r="Q1440" t="b">
        <f>Table1[[#This Row],[cumPctAllTimeExp]]&lt;0.95</f>
        <v>0</v>
      </c>
    </row>
    <row r="1441" spans="1:17" x14ac:dyDescent="0.25">
      <c r="A1441">
        <v>1272</v>
      </c>
      <c r="C1441" t="s">
        <v>2508</v>
      </c>
      <c r="E1441" t="s">
        <v>1274</v>
      </c>
      <c r="F1441" s="4">
        <v>0</v>
      </c>
      <c r="G1441" s="4">
        <v>0</v>
      </c>
      <c r="H1441" s="4">
        <v>0</v>
      </c>
      <c r="I1441" s="4">
        <v>1355.37</v>
      </c>
      <c r="J1441" s="4">
        <v>0</v>
      </c>
      <c r="K1441" s="4">
        <v>0</v>
      </c>
      <c r="L1441" s="4">
        <v>0</v>
      </c>
      <c r="M1441" s="4">
        <v>0</v>
      </c>
      <c r="N1441" s="4">
        <f>SUM(Table1[[#This Row],[2025]:[2018]])</f>
        <v>1355.37</v>
      </c>
      <c r="O1441" s="2">
        <f>Table1[[#This Row],[ttl]]/SUM(Table1[ttl])</f>
        <v>2.7330073502764247E-6</v>
      </c>
      <c r="P1441" s="3">
        <f>SUM($O$2:Table1[[#This Row],[pctAllTimeExp]])</f>
        <v>0.99909723627544567</v>
      </c>
      <c r="Q1441" t="b">
        <f>Table1[[#This Row],[cumPctAllTimeExp]]&lt;0.95</f>
        <v>0</v>
      </c>
    </row>
    <row r="1442" spans="1:17" x14ac:dyDescent="0.25">
      <c r="A1442">
        <v>1273</v>
      </c>
      <c r="C1442" t="s">
        <v>2508</v>
      </c>
      <c r="E1442" t="s">
        <v>1275</v>
      </c>
      <c r="F1442" s="4">
        <v>0</v>
      </c>
      <c r="G1442" s="4">
        <v>0</v>
      </c>
      <c r="H1442" s="4">
        <v>0</v>
      </c>
      <c r="I1442" s="4">
        <v>1350</v>
      </c>
      <c r="J1442" s="4">
        <v>0</v>
      </c>
      <c r="K1442" s="4">
        <v>0</v>
      </c>
      <c r="L1442" s="4">
        <v>0</v>
      </c>
      <c r="M1442" s="4">
        <v>0</v>
      </c>
      <c r="N1442" s="4">
        <f>SUM(Table1[[#This Row],[2025]:[2018]])</f>
        <v>1350</v>
      </c>
      <c r="O1442" s="2">
        <f>Table1[[#This Row],[ttl]]/SUM(Table1[ttl])</f>
        <v>2.7221791266393484E-6</v>
      </c>
      <c r="P1442" s="3">
        <f>SUM($O$2:Table1[[#This Row],[pctAllTimeExp]])</f>
        <v>0.99909995845457233</v>
      </c>
      <c r="Q1442" t="b">
        <f>Table1[[#This Row],[cumPctAllTimeExp]]&lt;0.95</f>
        <v>0</v>
      </c>
    </row>
    <row r="1443" spans="1:17" x14ac:dyDescent="0.25">
      <c r="A1443">
        <v>1785</v>
      </c>
      <c r="C1443" t="s">
        <v>2508</v>
      </c>
      <c r="E1443" t="s">
        <v>1787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800</v>
      </c>
      <c r="L1443" s="4">
        <v>550</v>
      </c>
      <c r="M1443" s="4">
        <v>0</v>
      </c>
      <c r="N1443" s="4">
        <f>SUM(Table1[[#This Row],[2025]:[2018]])</f>
        <v>1350</v>
      </c>
      <c r="O1443" s="2">
        <f>Table1[[#This Row],[ttl]]/SUM(Table1[ttl])</f>
        <v>2.7221791266393484E-6</v>
      </c>
      <c r="P1443" s="3">
        <f>SUM($O$2:Table1[[#This Row],[pctAllTimeExp]])</f>
        <v>0.999102680633699</v>
      </c>
      <c r="Q1443" t="b">
        <f>Table1[[#This Row],[cumPctAllTimeExp]]&lt;0.95</f>
        <v>0</v>
      </c>
    </row>
    <row r="1444" spans="1:17" x14ac:dyDescent="0.25">
      <c r="A1444">
        <v>2321</v>
      </c>
      <c r="C1444" t="s">
        <v>2508</v>
      </c>
      <c r="E1444" t="s">
        <v>2323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1350</v>
      </c>
      <c r="N1444" s="4">
        <f>SUM(Table1[[#This Row],[2025]:[2018]])</f>
        <v>1350</v>
      </c>
      <c r="O1444" s="2">
        <f>Table1[[#This Row],[ttl]]/SUM(Table1[ttl])</f>
        <v>2.7221791266393484E-6</v>
      </c>
      <c r="P1444" s="3">
        <f>SUM($O$2:Table1[[#This Row],[pctAllTimeExp]])</f>
        <v>0.99910540281282567</v>
      </c>
      <c r="Q1444" t="b">
        <f>Table1[[#This Row],[cumPctAllTimeExp]]&lt;0.95</f>
        <v>0</v>
      </c>
    </row>
    <row r="1445" spans="1:17" x14ac:dyDescent="0.25">
      <c r="A1445">
        <v>543</v>
      </c>
      <c r="C1445" t="s">
        <v>2508</v>
      </c>
      <c r="E1445" t="s">
        <v>545</v>
      </c>
      <c r="F1445" s="4">
        <v>565</v>
      </c>
      <c r="G1445" s="4">
        <v>0</v>
      </c>
      <c r="H1445" s="4">
        <v>265</v>
      </c>
      <c r="I1445" s="4">
        <v>0</v>
      </c>
      <c r="J1445" s="4">
        <v>200</v>
      </c>
      <c r="K1445" s="4">
        <v>0</v>
      </c>
      <c r="L1445" s="4">
        <v>0</v>
      </c>
      <c r="M1445" s="4">
        <v>300</v>
      </c>
      <c r="N1445" s="4">
        <f>SUM(Table1[[#This Row],[2025]:[2018]])</f>
        <v>1330</v>
      </c>
      <c r="O1445" s="2">
        <f>Table1[[#This Row],[ttl]]/SUM(Table1[ttl])</f>
        <v>2.6818505469854318E-6</v>
      </c>
      <c r="P1445" s="3">
        <f>SUM($O$2:Table1[[#This Row],[pctAllTimeExp]])</f>
        <v>0.99910808466337264</v>
      </c>
      <c r="Q1445" t="b">
        <f>Table1[[#This Row],[cumPctAllTimeExp]]&lt;0.95</f>
        <v>0</v>
      </c>
    </row>
    <row r="1446" spans="1:17" x14ac:dyDescent="0.25">
      <c r="A1446">
        <v>1116</v>
      </c>
      <c r="C1446" t="s">
        <v>2508</v>
      </c>
      <c r="E1446" t="s">
        <v>1118</v>
      </c>
      <c r="F1446" s="4">
        <v>0</v>
      </c>
      <c r="G1446" s="4">
        <v>0</v>
      </c>
      <c r="H1446" s="4">
        <v>608</v>
      </c>
      <c r="I1446" s="4">
        <v>0</v>
      </c>
      <c r="J1446" s="4">
        <v>0</v>
      </c>
      <c r="K1446" s="4">
        <v>0</v>
      </c>
      <c r="L1446" s="4">
        <v>351.64</v>
      </c>
      <c r="M1446" s="4">
        <v>370.24</v>
      </c>
      <c r="N1446" s="4">
        <f>SUM(Table1[[#This Row],[2025]:[2018]])</f>
        <v>1329.88</v>
      </c>
      <c r="O1446" s="2">
        <f>Table1[[#This Row],[ttl]]/SUM(Table1[ttl])</f>
        <v>2.6816085755075089E-6</v>
      </c>
      <c r="P1446" s="3">
        <f>SUM($O$2:Table1[[#This Row],[pctAllTimeExp]])</f>
        <v>0.99911076627194817</v>
      </c>
      <c r="Q1446" t="b">
        <f>Table1[[#This Row],[cumPctAllTimeExp]]&lt;0.95</f>
        <v>0</v>
      </c>
    </row>
    <row r="1447" spans="1:17" x14ac:dyDescent="0.25">
      <c r="A1447">
        <v>2322</v>
      </c>
      <c r="C1447" t="s">
        <v>2508</v>
      </c>
      <c r="E1447" t="s">
        <v>2324</v>
      </c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1327.08</v>
      </c>
      <c r="N1447" s="4">
        <f>SUM(Table1[[#This Row],[2025]:[2018]])</f>
        <v>1327.08</v>
      </c>
      <c r="O1447" s="2">
        <f>Table1[[#This Row],[ttl]]/SUM(Table1[ttl])</f>
        <v>2.6759625743559599E-6</v>
      </c>
      <c r="P1447" s="3">
        <f>SUM($O$2:Table1[[#This Row],[pctAllTimeExp]])</f>
        <v>0.99911344223452248</v>
      </c>
      <c r="Q1447" t="b">
        <f>Table1[[#This Row],[cumPctAllTimeExp]]&lt;0.95</f>
        <v>0</v>
      </c>
    </row>
    <row r="1448" spans="1:17" x14ac:dyDescent="0.25">
      <c r="A1448">
        <v>438</v>
      </c>
      <c r="C1448" t="s">
        <v>2508</v>
      </c>
      <c r="E1448" t="s">
        <v>440</v>
      </c>
      <c r="F1448" s="4">
        <v>1326.76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f>SUM(Table1[[#This Row],[2025]:[2018]])</f>
        <v>1326.76</v>
      </c>
      <c r="O1448" s="2">
        <f>Table1[[#This Row],[ttl]]/SUM(Table1[ttl])</f>
        <v>2.6753173170814973E-6</v>
      </c>
      <c r="P1448" s="3">
        <f>SUM($O$2:Table1[[#This Row],[pctAllTimeExp]])</f>
        <v>0.9991161175518396</v>
      </c>
      <c r="Q1448" t="b">
        <f>Table1[[#This Row],[cumPctAllTimeExp]]&lt;0.95</f>
        <v>0</v>
      </c>
    </row>
    <row r="1449" spans="1:17" x14ac:dyDescent="0.25">
      <c r="A1449">
        <v>1475</v>
      </c>
      <c r="C1449" t="s">
        <v>2508</v>
      </c>
      <c r="E1449" t="s">
        <v>1477</v>
      </c>
      <c r="F1449" s="4">
        <v>0</v>
      </c>
      <c r="G1449" s="4">
        <v>0</v>
      </c>
      <c r="H1449" s="4">
        <v>0</v>
      </c>
      <c r="I1449" s="4">
        <v>0</v>
      </c>
      <c r="J1449" s="4">
        <v>1325</v>
      </c>
      <c r="K1449" s="4">
        <v>0</v>
      </c>
      <c r="L1449" s="4">
        <v>0</v>
      </c>
      <c r="M1449" s="4">
        <v>0</v>
      </c>
      <c r="N1449" s="4">
        <f>SUM(Table1[[#This Row],[2025]:[2018]])</f>
        <v>1325</v>
      </c>
      <c r="O1449" s="2">
        <f>Table1[[#This Row],[ttl]]/SUM(Table1[ttl])</f>
        <v>2.6717684020719528E-6</v>
      </c>
      <c r="P1449" s="3">
        <f>SUM($O$2:Table1[[#This Row],[pctAllTimeExp]])</f>
        <v>0.99911878932024167</v>
      </c>
      <c r="Q1449" t="b">
        <f>Table1[[#This Row],[cumPctAllTimeExp]]&lt;0.95</f>
        <v>0</v>
      </c>
    </row>
    <row r="1450" spans="1:17" x14ac:dyDescent="0.25">
      <c r="A1450">
        <v>2068</v>
      </c>
      <c r="C1450" t="s">
        <v>2508</v>
      </c>
      <c r="E1450" t="s">
        <v>2070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1319.16</v>
      </c>
      <c r="M1450" s="4">
        <v>0</v>
      </c>
      <c r="N1450" s="4">
        <f>SUM(Table1[[#This Row],[2025]:[2018]])</f>
        <v>1319.16</v>
      </c>
      <c r="O1450" s="2">
        <f>Table1[[#This Row],[ttl]]/SUM(Table1[ttl])</f>
        <v>2.6599924568130094E-6</v>
      </c>
      <c r="P1450" s="3">
        <f>SUM($O$2:Table1[[#This Row],[pctAllTimeExp]])</f>
        <v>0.99912144931269853</v>
      </c>
      <c r="Q1450" t="b">
        <f>Table1[[#This Row],[cumPctAllTimeExp]]&lt;0.95</f>
        <v>0</v>
      </c>
    </row>
    <row r="1451" spans="1:17" x14ac:dyDescent="0.25">
      <c r="A1451">
        <v>2099</v>
      </c>
      <c r="C1451" t="s">
        <v>2508</v>
      </c>
      <c r="E1451" t="s">
        <v>2101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714</v>
      </c>
      <c r="M1451" s="4">
        <v>596</v>
      </c>
      <c r="N1451" s="4">
        <f>SUM(Table1[[#This Row],[2025]:[2018]])</f>
        <v>1310</v>
      </c>
      <c r="O1451" s="2">
        <f>Table1[[#This Row],[ttl]]/SUM(Table1[ttl])</f>
        <v>2.6415219673315158E-6</v>
      </c>
      <c r="P1451" s="3">
        <f>SUM($O$2:Table1[[#This Row],[pctAllTimeExp]])</f>
        <v>0.99912409083466591</v>
      </c>
      <c r="Q1451" t="b">
        <f>Table1[[#This Row],[cumPctAllTimeExp]]&lt;0.95</f>
        <v>0</v>
      </c>
    </row>
    <row r="1452" spans="1:17" x14ac:dyDescent="0.25">
      <c r="A1452">
        <v>1476</v>
      </c>
      <c r="C1452" t="s">
        <v>2508</v>
      </c>
      <c r="E1452" t="s">
        <v>1478</v>
      </c>
      <c r="F1452" s="4">
        <v>0</v>
      </c>
      <c r="G1452" s="4">
        <v>0</v>
      </c>
      <c r="H1452" s="4">
        <v>0</v>
      </c>
      <c r="I1452" s="4">
        <v>0</v>
      </c>
      <c r="J1452" s="4">
        <v>1300</v>
      </c>
      <c r="K1452" s="4">
        <v>0</v>
      </c>
      <c r="L1452" s="4">
        <v>0</v>
      </c>
      <c r="M1452" s="4">
        <v>0</v>
      </c>
      <c r="N1452" s="4">
        <f>SUM(Table1[[#This Row],[2025]:[2018]])</f>
        <v>1300</v>
      </c>
      <c r="O1452" s="2">
        <f>Table1[[#This Row],[ttl]]/SUM(Table1[ttl])</f>
        <v>2.6213576775045577E-6</v>
      </c>
      <c r="P1452" s="3">
        <f>SUM($O$2:Table1[[#This Row],[pctAllTimeExp]])</f>
        <v>0.99912671219234339</v>
      </c>
      <c r="Q1452" t="b">
        <f>Table1[[#This Row],[cumPctAllTimeExp]]&lt;0.95</f>
        <v>0</v>
      </c>
    </row>
    <row r="1453" spans="1:17" x14ac:dyDescent="0.25">
      <c r="A1453">
        <v>1763</v>
      </c>
      <c r="C1453" t="s">
        <v>2508</v>
      </c>
      <c r="E1453" t="s">
        <v>1765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1300</v>
      </c>
      <c r="L1453" s="4">
        <v>0</v>
      </c>
      <c r="M1453" s="4">
        <v>0</v>
      </c>
      <c r="N1453" s="4">
        <f>SUM(Table1[[#This Row],[2025]:[2018]])</f>
        <v>1300</v>
      </c>
      <c r="O1453" s="2">
        <f>Table1[[#This Row],[ttl]]/SUM(Table1[ttl])</f>
        <v>2.6213576775045577E-6</v>
      </c>
      <c r="P1453" s="3">
        <f>SUM($O$2:Table1[[#This Row],[pctAllTimeExp]])</f>
        <v>0.99912933355002087</v>
      </c>
      <c r="Q1453" t="b">
        <f>Table1[[#This Row],[cumPctAllTimeExp]]&lt;0.95</f>
        <v>0</v>
      </c>
    </row>
    <row r="1454" spans="1:17" x14ac:dyDescent="0.25">
      <c r="A1454">
        <v>1834</v>
      </c>
      <c r="C1454" t="s">
        <v>2508</v>
      </c>
      <c r="E1454" t="s">
        <v>1836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325</v>
      </c>
      <c r="L1454" s="4">
        <v>325</v>
      </c>
      <c r="M1454" s="4">
        <v>650</v>
      </c>
      <c r="N1454" s="4">
        <f>SUM(Table1[[#This Row],[2025]:[2018]])</f>
        <v>1300</v>
      </c>
      <c r="O1454" s="2">
        <f>Table1[[#This Row],[ttl]]/SUM(Table1[ttl])</f>
        <v>2.6213576775045577E-6</v>
      </c>
      <c r="P1454" s="3">
        <f>SUM($O$2:Table1[[#This Row],[pctAllTimeExp]])</f>
        <v>0.99913195490769835</v>
      </c>
      <c r="Q1454" t="b">
        <f>Table1[[#This Row],[cumPctAllTimeExp]]&lt;0.95</f>
        <v>0</v>
      </c>
    </row>
    <row r="1455" spans="1:17" x14ac:dyDescent="0.25">
      <c r="A1455">
        <v>1477</v>
      </c>
      <c r="C1455" t="s">
        <v>2508</v>
      </c>
      <c r="E1455" t="s">
        <v>1479</v>
      </c>
      <c r="F1455" s="4">
        <v>0</v>
      </c>
      <c r="G1455" s="4">
        <v>0</v>
      </c>
      <c r="H1455" s="4">
        <v>0</v>
      </c>
      <c r="I1455" s="4">
        <v>0</v>
      </c>
      <c r="J1455" s="4">
        <v>1298</v>
      </c>
      <c r="K1455" s="4">
        <v>0</v>
      </c>
      <c r="L1455" s="4">
        <v>0</v>
      </c>
      <c r="M1455" s="4">
        <v>0</v>
      </c>
      <c r="N1455" s="4">
        <f>SUM(Table1[[#This Row],[2025]:[2018]])</f>
        <v>1298</v>
      </c>
      <c r="O1455" s="2">
        <f>Table1[[#This Row],[ttl]]/SUM(Table1[ttl])</f>
        <v>2.617324819539166E-6</v>
      </c>
      <c r="P1455" s="3">
        <f>SUM($O$2:Table1[[#This Row],[pctAllTimeExp]])</f>
        <v>0.99913457223251789</v>
      </c>
      <c r="Q1455" t="b">
        <f>Table1[[#This Row],[cumPctAllTimeExp]]&lt;0.95</f>
        <v>0</v>
      </c>
    </row>
    <row r="1456" spans="1:17" x14ac:dyDescent="0.25">
      <c r="A1456">
        <v>1590</v>
      </c>
      <c r="C1456" t="s">
        <v>2508</v>
      </c>
      <c r="E1456" t="s">
        <v>1592</v>
      </c>
      <c r="F1456" s="4">
        <v>0</v>
      </c>
      <c r="G1456" s="4">
        <v>0</v>
      </c>
      <c r="H1456" s="4">
        <v>0</v>
      </c>
      <c r="I1456" s="4">
        <v>0</v>
      </c>
      <c r="J1456" s="4">
        <v>199.3</v>
      </c>
      <c r="K1456" s="4">
        <v>0</v>
      </c>
      <c r="L1456" s="4">
        <v>368.54</v>
      </c>
      <c r="M1456" s="4">
        <v>724.34</v>
      </c>
      <c r="N1456" s="4">
        <f>SUM(Table1[[#This Row],[2025]:[2018]])</f>
        <v>1292.18</v>
      </c>
      <c r="O1456" s="2">
        <f>Table1[[#This Row],[ttl]]/SUM(Table1[ttl])</f>
        <v>2.6055892028598766E-6</v>
      </c>
      <c r="P1456" s="3">
        <f>SUM($O$2:Table1[[#This Row],[pctAllTimeExp]])</f>
        <v>0.99913717782172073</v>
      </c>
      <c r="Q1456" t="b">
        <f>Table1[[#This Row],[cumPctAllTimeExp]]&lt;0.95</f>
        <v>0</v>
      </c>
    </row>
    <row r="1457" spans="1:17" x14ac:dyDescent="0.25">
      <c r="A1457">
        <v>909</v>
      </c>
      <c r="C1457" t="s">
        <v>2508</v>
      </c>
      <c r="E1457" t="s">
        <v>911</v>
      </c>
      <c r="F1457" s="4">
        <v>0</v>
      </c>
      <c r="G1457" s="4">
        <v>238</v>
      </c>
      <c r="H1457" s="4">
        <v>1053.5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f>SUM(Table1[[#This Row],[2025]:[2018]])</f>
        <v>1291.5</v>
      </c>
      <c r="O1457" s="2">
        <f>Table1[[#This Row],[ttl]]/SUM(Table1[ttl])</f>
        <v>2.6042180311516433E-6</v>
      </c>
      <c r="P1457" s="3">
        <f>SUM($O$2:Table1[[#This Row],[pctAllTimeExp]])</f>
        <v>0.99913978203975184</v>
      </c>
      <c r="Q1457" t="b">
        <f>Table1[[#This Row],[cumPctAllTimeExp]]&lt;0.95</f>
        <v>0</v>
      </c>
    </row>
    <row r="1458" spans="1:17" x14ac:dyDescent="0.25">
      <c r="A1458">
        <v>2070</v>
      </c>
      <c r="C1458" t="s">
        <v>2508</v>
      </c>
      <c r="E1458" t="s">
        <v>2072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1285.19</v>
      </c>
      <c r="M1458" s="4">
        <v>0</v>
      </c>
      <c r="N1458" s="4">
        <f>SUM(Table1[[#This Row],[2025]:[2018]])</f>
        <v>1285.19</v>
      </c>
      <c r="O1458" s="2">
        <f>Table1[[#This Row],[ttl]]/SUM(Table1[ttl])</f>
        <v>2.5914943642708328E-6</v>
      </c>
      <c r="P1458" s="3">
        <f>SUM($O$2:Table1[[#This Row],[pctAllTimeExp]])</f>
        <v>0.99914237353411617</v>
      </c>
      <c r="Q1458" t="b">
        <f>Table1[[#This Row],[cumPctAllTimeExp]]&lt;0.95</f>
        <v>0</v>
      </c>
    </row>
    <row r="1459" spans="1:17" x14ac:dyDescent="0.25">
      <c r="A1459">
        <v>1479</v>
      </c>
      <c r="C1459" t="s">
        <v>2508</v>
      </c>
      <c r="E1459" t="s">
        <v>1481</v>
      </c>
      <c r="F1459" s="4">
        <v>0</v>
      </c>
      <c r="G1459" s="4">
        <v>0</v>
      </c>
      <c r="H1459" s="4">
        <v>0</v>
      </c>
      <c r="I1459" s="4">
        <v>0</v>
      </c>
      <c r="J1459" s="4">
        <v>1273.6099999999999</v>
      </c>
      <c r="K1459" s="4">
        <v>0</v>
      </c>
      <c r="L1459" s="4">
        <v>0</v>
      </c>
      <c r="M1459" s="4">
        <v>0</v>
      </c>
      <c r="N1459" s="4">
        <f>SUM(Table1[[#This Row],[2025]:[2018]])</f>
        <v>1273.6099999999999</v>
      </c>
      <c r="O1459" s="2">
        <f>Table1[[#This Row],[ttl]]/SUM(Table1[ttl])</f>
        <v>2.568144116651215E-6</v>
      </c>
      <c r="P1459" s="3">
        <f>SUM($O$2:Table1[[#This Row],[pctAllTimeExp]])</f>
        <v>0.99914494167823287</v>
      </c>
      <c r="Q1459" t="b">
        <f>Table1[[#This Row],[cumPctAllTimeExp]]&lt;0.95</f>
        <v>0</v>
      </c>
    </row>
    <row r="1460" spans="1:17" x14ac:dyDescent="0.25">
      <c r="A1460">
        <v>514</v>
      </c>
      <c r="C1460" t="s">
        <v>2508</v>
      </c>
      <c r="E1460" t="s">
        <v>516</v>
      </c>
      <c r="F1460" s="4">
        <v>682.37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354.07</v>
      </c>
      <c r="M1460" s="4">
        <v>230.92</v>
      </c>
      <c r="N1460" s="4">
        <f>SUM(Table1[[#This Row],[2025]:[2018]])</f>
        <v>1267.3600000000001</v>
      </c>
      <c r="O1460" s="2">
        <f>Table1[[#This Row],[ttl]]/SUM(Table1[ttl])</f>
        <v>2.5555414355093666E-6</v>
      </c>
      <c r="P1460" s="3">
        <f>SUM($O$2:Table1[[#This Row],[pctAllTimeExp]])</f>
        <v>0.99914749721966833</v>
      </c>
      <c r="Q1460" t="b">
        <f>Table1[[#This Row],[cumPctAllTimeExp]]&lt;0.95</f>
        <v>0</v>
      </c>
    </row>
    <row r="1461" spans="1:17" x14ac:dyDescent="0.25">
      <c r="A1461">
        <v>2071</v>
      </c>
      <c r="C1461" t="s">
        <v>2508</v>
      </c>
      <c r="E1461" t="s">
        <v>2073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1260</v>
      </c>
      <c r="M1461" s="4">
        <v>0</v>
      </c>
      <c r="N1461" s="4">
        <f>SUM(Table1[[#This Row],[2025]:[2018]])</f>
        <v>1260</v>
      </c>
      <c r="O1461" s="2">
        <f>Table1[[#This Row],[ttl]]/SUM(Table1[ttl])</f>
        <v>2.5407005181967252E-6</v>
      </c>
      <c r="P1461" s="3">
        <f>SUM($O$2:Table1[[#This Row],[pctAllTimeExp]])</f>
        <v>0.99915003792018653</v>
      </c>
      <c r="Q1461" t="b">
        <f>Table1[[#This Row],[cumPctAllTimeExp]]&lt;0.95</f>
        <v>0</v>
      </c>
    </row>
    <row r="1462" spans="1:17" x14ac:dyDescent="0.25">
      <c r="A1462">
        <v>1324</v>
      </c>
      <c r="C1462" t="s">
        <v>2508</v>
      </c>
      <c r="E1462" t="s">
        <v>1326</v>
      </c>
      <c r="F1462" s="4">
        <v>0</v>
      </c>
      <c r="G1462" s="4">
        <v>0</v>
      </c>
      <c r="H1462" s="4">
        <v>0</v>
      </c>
      <c r="I1462" s="4">
        <v>400</v>
      </c>
      <c r="J1462" s="4">
        <v>0</v>
      </c>
      <c r="K1462" s="4">
        <v>0</v>
      </c>
      <c r="L1462" s="4">
        <v>450</v>
      </c>
      <c r="M1462" s="4">
        <v>400</v>
      </c>
      <c r="N1462" s="4">
        <f>SUM(Table1[[#This Row],[2025]:[2018]])</f>
        <v>1250</v>
      </c>
      <c r="O1462" s="2">
        <f>Table1[[#This Row],[ttl]]/SUM(Table1[ttl])</f>
        <v>2.5205362283697667E-6</v>
      </c>
      <c r="P1462" s="3">
        <f>SUM($O$2:Table1[[#This Row],[pctAllTimeExp]])</f>
        <v>0.99915255845641493</v>
      </c>
      <c r="Q1462" t="b">
        <f>Table1[[#This Row],[cumPctAllTimeExp]]&lt;0.95</f>
        <v>0</v>
      </c>
    </row>
    <row r="1463" spans="1:17" x14ac:dyDescent="0.25">
      <c r="A1463">
        <v>1781</v>
      </c>
      <c r="C1463" t="s">
        <v>2508</v>
      </c>
      <c r="E1463" t="s">
        <v>1783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850</v>
      </c>
      <c r="L1463" s="4">
        <v>0</v>
      </c>
      <c r="M1463" s="4">
        <v>400</v>
      </c>
      <c r="N1463" s="4">
        <f>SUM(Table1[[#This Row],[2025]:[2018]])</f>
        <v>1250</v>
      </c>
      <c r="O1463" s="2">
        <f>Table1[[#This Row],[ttl]]/SUM(Table1[ttl])</f>
        <v>2.5205362283697667E-6</v>
      </c>
      <c r="P1463" s="3">
        <f>SUM($O$2:Table1[[#This Row],[pctAllTimeExp]])</f>
        <v>0.99915507899264333</v>
      </c>
      <c r="Q1463" t="b">
        <f>Table1[[#This Row],[cumPctAllTimeExp]]&lt;0.95</f>
        <v>0</v>
      </c>
    </row>
    <row r="1464" spans="1:17" x14ac:dyDescent="0.25">
      <c r="A1464">
        <v>2323</v>
      </c>
      <c r="C1464" t="s">
        <v>2508</v>
      </c>
      <c r="E1464" t="s">
        <v>2325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1250</v>
      </c>
      <c r="N1464" s="4">
        <f>SUM(Table1[[#This Row],[2025]:[2018]])</f>
        <v>1250</v>
      </c>
      <c r="O1464" s="2">
        <f>Table1[[#This Row],[ttl]]/SUM(Table1[ttl])</f>
        <v>2.5205362283697667E-6</v>
      </c>
      <c r="P1464" s="3">
        <f>SUM($O$2:Table1[[#This Row],[pctAllTimeExp]])</f>
        <v>0.99915759952887173</v>
      </c>
      <c r="Q1464" t="b">
        <f>Table1[[#This Row],[cumPctAllTimeExp]]&lt;0.95</f>
        <v>0</v>
      </c>
    </row>
    <row r="1465" spans="1:17" x14ac:dyDescent="0.25">
      <c r="A1465">
        <v>1764</v>
      </c>
      <c r="C1465" t="s">
        <v>2508</v>
      </c>
      <c r="E1465" t="s">
        <v>1766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1248</v>
      </c>
      <c r="L1465" s="4">
        <v>0</v>
      </c>
      <c r="M1465" s="4">
        <v>0</v>
      </c>
      <c r="N1465" s="4">
        <f>SUM(Table1[[#This Row],[2025]:[2018]])</f>
        <v>1248</v>
      </c>
      <c r="O1465" s="2">
        <f>Table1[[#This Row],[ttl]]/SUM(Table1[ttl])</f>
        <v>2.5165033704043753E-6</v>
      </c>
      <c r="P1465" s="3">
        <f>SUM($O$2:Table1[[#This Row],[pctAllTimeExp]])</f>
        <v>0.99916011603224208</v>
      </c>
      <c r="Q1465" t="b">
        <f>Table1[[#This Row],[cumPctAllTimeExp]]&lt;0.95</f>
        <v>0</v>
      </c>
    </row>
    <row r="1466" spans="1:17" x14ac:dyDescent="0.25">
      <c r="A1466">
        <v>1295</v>
      </c>
      <c r="C1466" t="s">
        <v>2508</v>
      </c>
      <c r="E1466" t="s">
        <v>1297</v>
      </c>
      <c r="F1466" s="4">
        <v>0</v>
      </c>
      <c r="G1466" s="4">
        <v>0</v>
      </c>
      <c r="H1466" s="4">
        <v>0</v>
      </c>
      <c r="I1466" s="4">
        <v>750</v>
      </c>
      <c r="J1466" s="4">
        <v>392</v>
      </c>
      <c r="K1466" s="4">
        <v>0</v>
      </c>
      <c r="L1466" s="4">
        <v>100</v>
      </c>
      <c r="M1466" s="4">
        <v>0</v>
      </c>
      <c r="N1466" s="4">
        <f>SUM(Table1[[#This Row],[2025]:[2018]])</f>
        <v>1242</v>
      </c>
      <c r="O1466" s="2">
        <f>Table1[[#This Row],[ttl]]/SUM(Table1[ttl])</f>
        <v>2.5044047965082004E-6</v>
      </c>
      <c r="P1466" s="3">
        <f>SUM($O$2:Table1[[#This Row],[pctAllTimeExp]])</f>
        <v>0.99916262043703863</v>
      </c>
      <c r="Q1466" t="b">
        <f>Table1[[#This Row],[cumPctAllTimeExp]]&lt;0.95</f>
        <v>0</v>
      </c>
    </row>
    <row r="1467" spans="1:17" x14ac:dyDescent="0.25">
      <c r="A1467">
        <v>565</v>
      </c>
      <c r="C1467" t="s">
        <v>2508</v>
      </c>
      <c r="E1467" t="s">
        <v>567</v>
      </c>
      <c r="F1467" s="4">
        <v>480</v>
      </c>
      <c r="G1467" s="4">
        <v>480</v>
      </c>
      <c r="H1467" s="4">
        <v>280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f>SUM(Table1[[#This Row],[2025]:[2018]])</f>
        <v>1240</v>
      </c>
      <c r="O1467" s="2">
        <f>Table1[[#This Row],[ttl]]/SUM(Table1[ttl])</f>
        <v>2.5003719385428087E-6</v>
      </c>
      <c r="P1467" s="3">
        <f>SUM($O$2:Table1[[#This Row],[pctAllTimeExp]])</f>
        <v>0.99916512080897713</v>
      </c>
      <c r="Q1467" t="b">
        <f>Table1[[#This Row],[cumPctAllTimeExp]]&lt;0.95</f>
        <v>0</v>
      </c>
    </row>
    <row r="1468" spans="1:17" x14ac:dyDescent="0.25">
      <c r="A1468">
        <v>447</v>
      </c>
      <c r="C1468" t="s">
        <v>2508</v>
      </c>
      <c r="E1468" t="s">
        <v>449</v>
      </c>
      <c r="F1468" s="4">
        <v>1235.6500000000001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f>SUM(Table1[[#This Row],[2025]:[2018]])</f>
        <v>1235.6500000000001</v>
      </c>
      <c r="O1468" s="2">
        <f>Table1[[#This Row],[ttl]]/SUM(Table1[ttl])</f>
        <v>2.4916004724680823E-6</v>
      </c>
      <c r="P1468" s="3">
        <f>SUM($O$2:Table1[[#This Row],[pctAllTimeExp]])</f>
        <v>0.99916761240944962</v>
      </c>
      <c r="Q1468" t="b">
        <f>Table1[[#This Row],[cumPctAllTimeExp]]&lt;0.95</f>
        <v>0</v>
      </c>
    </row>
    <row r="1469" spans="1:17" x14ac:dyDescent="0.25">
      <c r="A1469">
        <v>2324</v>
      </c>
      <c r="C1469" t="s">
        <v>2508</v>
      </c>
      <c r="E1469" t="s">
        <v>2326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1232.29</v>
      </c>
      <c r="N1469" s="4">
        <f>SUM(Table1[[#This Row],[2025]:[2018]])</f>
        <v>1232.29</v>
      </c>
      <c r="O1469" s="2">
        <f>Table1[[#This Row],[ttl]]/SUM(Table1[ttl])</f>
        <v>2.4848252710862239E-6</v>
      </c>
      <c r="P1469" s="3">
        <f>SUM($O$2:Table1[[#This Row],[pctAllTimeExp]])</f>
        <v>0.99917009723472072</v>
      </c>
      <c r="Q1469" t="b">
        <f>Table1[[#This Row],[cumPctAllTimeExp]]&lt;0.95</f>
        <v>0</v>
      </c>
    </row>
    <row r="1470" spans="1:17" x14ac:dyDescent="0.25">
      <c r="A1470">
        <v>448</v>
      </c>
      <c r="C1470" t="s">
        <v>2508</v>
      </c>
      <c r="E1470" t="s">
        <v>450</v>
      </c>
      <c r="F1470" s="4">
        <v>1230.17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f>SUM(Table1[[#This Row],[2025]:[2018]])</f>
        <v>1230.17</v>
      </c>
      <c r="O1470" s="2">
        <f>Table1[[#This Row],[ttl]]/SUM(Table1[ttl])</f>
        <v>2.4805504416429091E-6</v>
      </c>
      <c r="P1470" s="3">
        <f>SUM($O$2:Table1[[#This Row],[pctAllTimeExp]])</f>
        <v>0.99917257778516233</v>
      </c>
      <c r="Q1470" t="b">
        <f>Table1[[#This Row],[cumPctAllTimeExp]]&lt;0.95</f>
        <v>0</v>
      </c>
    </row>
    <row r="1471" spans="1:17" x14ac:dyDescent="0.25">
      <c r="A1471">
        <v>647</v>
      </c>
      <c r="C1471" t="s">
        <v>2508</v>
      </c>
      <c r="E1471" t="s">
        <v>649</v>
      </c>
      <c r="F1471" s="4">
        <v>155</v>
      </c>
      <c r="G1471" s="4">
        <v>1045</v>
      </c>
      <c r="H1471" s="4">
        <v>30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f>SUM(Table1[[#This Row],[2025]:[2018]])</f>
        <v>1230</v>
      </c>
      <c r="O1471" s="2">
        <f>Table1[[#This Row],[ttl]]/SUM(Table1[ttl])</f>
        <v>2.4802076487158506E-6</v>
      </c>
      <c r="P1471" s="3">
        <f>SUM($O$2:Table1[[#This Row],[pctAllTimeExp]])</f>
        <v>0.99917505799281103</v>
      </c>
      <c r="Q1471" t="b">
        <f>Table1[[#This Row],[cumPctAllTimeExp]]&lt;0.95</f>
        <v>0</v>
      </c>
    </row>
    <row r="1472" spans="1:17" x14ac:dyDescent="0.25">
      <c r="A1472">
        <v>2085</v>
      </c>
      <c r="C1472" t="s">
        <v>2508</v>
      </c>
      <c r="E1472" t="s">
        <v>2087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960</v>
      </c>
      <c r="M1472" s="4">
        <v>270</v>
      </c>
      <c r="N1472" s="4">
        <f>SUM(Table1[[#This Row],[2025]:[2018]])</f>
        <v>1230</v>
      </c>
      <c r="O1472" s="2">
        <f>Table1[[#This Row],[ttl]]/SUM(Table1[ttl])</f>
        <v>2.4802076487158506E-6</v>
      </c>
      <c r="P1472" s="3">
        <f>SUM($O$2:Table1[[#This Row],[pctAllTimeExp]])</f>
        <v>0.99917753820045974</v>
      </c>
      <c r="Q1472" t="b">
        <f>Table1[[#This Row],[cumPctAllTimeExp]]&lt;0.95</f>
        <v>0</v>
      </c>
    </row>
    <row r="1473" spans="1:17" x14ac:dyDescent="0.25">
      <c r="A1473">
        <v>2072</v>
      </c>
      <c r="C1473" t="s">
        <v>2508</v>
      </c>
      <c r="E1473" t="s">
        <v>2074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1229.3900000000001</v>
      </c>
      <c r="M1473" s="4">
        <v>0</v>
      </c>
      <c r="N1473" s="4">
        <f>SUM(Table1[[#This Row],[2025]:[2018]])</f>
        <v>1229.3900000000001</v>
      </c>
      <c r="O1473" s="2">
        <f>Table1[[#This Row],[ttl]]/SUM(Table1[ttl])</f>
        <v>2.4789776270364065E-6</v>
      </c>
      <c r="P1473" s="3">
        <f>SUM($O$2:Table1[[#This Row],[pctAllTimeExp]])</f>
        <v>0.9991800171780868</v>
      </c>
      <c r="Q1473" t="b">
        <f>Table1[[#This Row],[cumPctAllTimeExp]]&lt;0.95</f>
        <v>0</v>
      </c>
    </row>
    <row r="1474" spans="1:17" x14ac:dyDescent="0.25">
      <c r="A1474">
        <v>2106</v>
      </c>
      <c r="C1474" t="s">
        <v>2508</v>
      </c>
      <c r="E1474" t="s">
        <v>2108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626.64</v>
      </c>
      <c r="M1474" s="4">
        <v>598.32000000000005</v>
      </c>
      <c r="N1474" s="4">
        <f>SUM(Table1[[#This Row],[2025]:[2018]])</f>
        <v>1224.96</v>
      </c>
      <c r="O1474" s="2">
        <f>Table1[[#This Row],[ttl]]/SUM(Table1[ttl])</f>
        <v>2.4700448466430639E-6</v>
      </c>
      <c r="P1474" s="3">
        <f>SUM($O$2:Table1[[#This Row],[pctAllTimeExp]])</f>
        <v>0.99918248722293346</v>
      </c>
      <c r="Q1474" t="b">
        <f>Table1[[#This Row],[cumPctAllTimeExp]]&lt;0.95</f>
        <v>0</v>
      </c>
    </row>
    <row r="1475" spans="1:17" x14ac:dyDescent="0.25">
      <c r="A1475">
        <v>834</v>
      </c>
      <c r="C1475" t="s">
        <v>2508</v>
      </c>
      <c r="E1475" t="s">
        <v>836</v>
      </c>
      <c r="F1475" s="4">
        <v>0</v>
      </c>
      <c r="G1475" s="4">
        <v>1014.4</v>
      </c>
      <c r="H1475" s="4">
        <v>0</v>
      </c>
      <c r="I1475" s="4">
        <v>201.74</v>
      </c>
      <c r="J1475" s="4">
        <v>0</v>
      </c>
      <c r="K1475" s="4">
        <v>0</v>
      </c>
      <c r="L1475" s="4">
        <v>0</v>
      </c>
      <c r="M1475" s="4">
        <v>0</v>
      </c>
      <c r="N1475" s="4">
        <f>SUM(Table1[[#This Row],[2025]:[2018]])</f>
        <v>1216.1399999999999</v>
      </c>
      <c r="O1475" s="2">
        <f>Table1[[#This Row],[ttl]]/SUM(Table1[ttl])</f>
        <v>2.4522599430156865E-6</v>
      </c>
      <c r="P1475" s="3">
        <f>SUM($O$2:Table1[[#This Row],[pctAllTimeExp]])</f>
        <v>0.99918493948287646</v>
      </c>
      <c r="Q1475" t="b">
        <f>Table1[[#This Row],[cumPctAllTimeExp]]&lt;0.95</f>
        <v>0</v>
      </c>
    </row>
    <row r="1476" spans="1:17" x14ac:dyDescent="0.25">
      <c r="A1476">
        <v>1511</v>
      </c>
      <c r="C1476" t="s">
        <v>2508</v>
      </c>
      <c r="E1476" t="s">
        <v>1513</v>
      </c>
      <c r="F1476" s="4">
        <v>0</v>
      </c>
      <c r="G1476" s="4">
        <v>0</v>
      </c>
      <c r="H1476" s="4">
        <v>0</v>
      </c>
      <c r="I1476" s="4">
        <v>0</v>
      </c>
      <c r="J1476" s="4">
        <v>599.78</v>
      </c>
      <c r="K1476" s="4">
        <v>607.98</v>
      </c>
      <c r="L1476" s="4">
        <v>0</v>
      </c>
      <c r="M1476" s="4">
        <v>0</v>
      </c>
      <c r="N1476" s="4">
        <f>SUM(Table1[[#This Row],[2025]:[2018]])</f>
        <v>1207.76</v>
      </c>
      <c r="O1476" s="2">
        <f>Table1[[#This Row],[ttl]]/SUM(Table1[ttl])</f>
        <v>2.4353622681406955E-6</v>
      </c>
      <c r="P1476" s="3">
        <f>SUM($O$2:Table1[[#This Row],[pctAllTimeExp]])</f>
        <v>0.99918737484514464</v>
      </c>
      <c r="Q1476" t="b">
        <f>Table1[[#This Row],[cumPctAllTimeExp]]&lt;0.95</f>
        <v>0</v>
      </c>
    </row>
    <row r="1477" spans="1:17" x14ac:dyDescent="0.25">
      <c r="A1477">
        <v>617</v>
      </c>
      <c r="C1477" t="s">
        <v>2508</v>
      </c>
      <c r="E1477" t="s">
        <v>619</v>
      </c>
      <c r="F1477" s="4">
        <v>265.04000000000002</v>
      </c>
      <c r="G1477" s="4">
        <v>222.43</v>
      </c>
      <c r="H1477" s="4">
        <v>177.77</v>
      </c>
      <c r="I1477" s="4">
        <v>188.96</v>
      </c>
      <c r="J1477" s="4">
        <v>203.54</v>
      </c>
      <c r="K1477" s="4">
        <v>147.09</v>
      </c>
      <c r="L1477" s="4">
        <v>0</v>
      </c>
      <c r="M1477" s="4">
        <v>0</v>
      </c>
      <c r="N1477" s="4">
        <f>SUM(Table1[[#This Row],[2025]:[2018]])</f>
        <v>1204.83</v>
      </c>
      <c r="O1477" s="2">
        <f>Table1[[#This Row],[ttl]]/SUM(Table1[ttl])</f>
        <v>2.429454131221397E-6</v>
      </c>
      <c r="P1477" s="3">
        <f>SUM($O$2:Table1[[#This Row],[pctAllTimeExp]])</f>
        <v>0.99918980429927584</v>
      </c>
      <c r="Q1477" t="b">
        <f>Table1[[#This Row],[cumPctAllTimeExp]]&lt;0.95</f>
        <v>0</v>
      </c>
    </row>
    <row r="1478" spans="1:17" x14ac:dyDescent="0.25">
      <c r="A1478">
        <v>453</v>
      </c>
      <c r="C1478" t="s">
        <v>2508</v>
      </c>
      <c r="E1478" t="s">
        <v>455</v>
      </c>
      <c r="F1478" s="4">
        <v>1200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f>SUM(Table1[[#This Row],[2025]:[2018]])</f>
        <v>1200</v>
      </c>
      <c r="O1478" s="2">
        <f>Table1[[#This Row],[ttl]]/SUM(Table1[ttl])</f>
        <v>2.4197147792349761E-6</v>
      </c>
      <c r="P1478" s="3">
        <f>SUM($O$2:Table1[[#This Row],[pctAllTimeExp]])</f>
        <v>0.99919222401405505</v>
      </c>
      <c r="Q1478" t="b">
        <f>Table1[[#This Row],[cumPctAllTimeExp]]&lt;0.95</f>
        <v>0</v>
      </c>
    </row>
    <row r="1479" spans="1:17" x14ac:dyDescent="0.25">
      <c r="A1479">
        <v>518</v>
      </c>
      <c r="C1479" t="s">
        <v>2508</v>
      </c>
      <c r="E1479" t="s">
        <v>520</v>
      </c>
      <c r="F1479" s="4">
        <v>650</v>
      </c>
      <c r="G1479" s="4">
        <v>0</v>
      </c>
      <c r="H1479" s="4">
        <v>0</v>
      </c>
      <c r="I1479" s="4">
        <v>0</v>
      </c>
      <c r="J1479" s="4">
        <v>0</v>
      </c>
      <c r="K1479" s="4">
        <v>550</v>
      </c>
      <c r="L1479" s="4">
        <v>0</v>
      </c>
      <c r="M1479" s="4">
        <v>0</v>
      </c>
      <c r="N1479" s="4">
        <f>SUM(Table1[[#This Row],[2025]:[2018]])</f>
        <v>1200</v>
      </c>
      <c r="O1479" s="2">
        <f>Table1[[#This Row],[ttl]]/SUM(Table1[ttl])</f>
        <v>2.4197147792349761E-6</v>
      </c>
      <c r="P1479" s="3">
        <f>SUM($O$2:Table1[[#This Row],[pctAllTimeExp]])</f>
        <v>0.99919464372883426</v>
      </c>
      <c r="Q1479" t="b">
        <f>Table1[[#This Row],[cumPctAllTimeExp]]&lt;0.95</f>
        <v>0</v>
      </c>
    </row>
    <row r="1480" spans="1:17" x14ac:dyDescent="0.25">
      <c r="A1480">
        <v>826</v>
      </c>
      <c r="C1480" t="s">
        <v>2508</v>
      </c>
      <c r="E1480" t="s">
        <v>828</v>
      </c>
      <c r="F1480" s="4">
        <v>0</v>
      </c>
      <c r="G1480" s="4">
        <v>1200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f>SUM(Table1[[#This Row],[2025]:[2018]])</f>
        <v>1200</v>
      </c>
      <c r="O1480" s="2">
        <f>Table1[[#This Row],[ttl]]/SUM(Table1[ttl])</f>
        <v>2.4197147792349761E-6</v>
      </c>
      <c r="P1480" s="3">
        <f>SUM($O$2:Table1[[#This Row],[pctAllTimeExp]])</f>
        <v>0.99919706344361348</v>
      </c>
      <c r="Q1480" t="b">
        <f>Table1[[#This Row],[cumPctAllTimeExp]]&lt;0.95</f>
        <v>0</v>
      </c>
    </row>
    <row r="1481" spans="1:17" x14ac:dyDescent="0.25">
      <c r="A1481">
        <v>891</v>
      </c>
      <c r="C1481" t="s">
        <v>2508</v>
      </c>
      <c r="E1481" t="s">
        <v>893</v>
      </c>
      <c r="F1481" s="4">
        <v>0</v>
      </c>
      <c r="G1481" s="4">
        <v>400</v>
      </c>
      <c r="H1481" s="4">
        <v>400</v>
      </c>
      <c r="I1481" s="4">
        <v>0</v>
      </c>
      <c r="J1481" s="4">
        <v>0</v>
      </c>
      <c r="K1481" s="4">
        <v>400</v>
      </c>
      <c r="L1481" s="4">
        <v>0</v>
      </c>
      <c r="M1481" s="4">
        <v>0</v>
      </c>
      <c r="N1481" s="4">
        <f>SUM(Table1[[#This Row],[2025]:[2018]])</f>
        <v>1200</v>
      </c>
      <c r="O1481" s="2">
        <f>Table1[[#This Row],[ttl]]/SUM(Table1[ttl])</f>
        <v>2.4197147792349761E-6</v>
      </c>
      <c r="P1481" s="3">
        <f>SUM($O$2:Table1[[#This Row],[pctAllTimeExp]])</f>
        <v>0.99919948315839269</v>
      </c>
      <c r="Q1481" t="b">
        <f>Table1[[#This Row],[cumPctAllTimeExp]]&lt;0.95</f>
        <v>0</v>
      </c>
    </row>
    <row r="1482" spans="1:17" x14ac:dyDescent="0.25">
      <c r="A1482">
        <v>1130</v>
      </c>
      <c r="C1482" t="s">
        <v>2508</v>
      </c>
      <c r="E1482" t="s">
        <v>1132</v>
      </c>
      <c r="F1482" s="4">
        <v>0</v>
      </c>
      <c r="G1482" s="4">
        <v>0</v>
      </c>
      <c r="H1482" s="4">
        <v>400</v>
      </c>
      <c r="I1482" s="4">
        <v>0</v>
      </c>
      <c r="J1482" s="4">
        <v>400</v>
      </c>
      <c r="K1482" s="4">
        <v>0</v>
      </c>
      <c r="L1482" s="4">
        <v>0</v>
      </c>
      <c r="M1482" s="4">
        <v>400</v>
      </c>
      <c r="N1482" s="4">
        <f>SUM(Table1[[#This Row],[2025]:[2018]])</f>
        <v>1200</v>
      </c>
      <c r="O1482" s="2">
        <f>Table1[[#This Row],[ttl]]/SUM(Table1[ttl])</f>
        <v>2.4197147792349761E-6</v>
      </c>
      <c r="P1482" s="3">
        <f>SUM($O$2:Table1[[#This Row],[pctAllTimeExp]])</f>
        <v>0.9992019028731719</v>
      </c>
      <c r="Q1482" t="b">
        <f>Table1[[#This Row],[cumPctAllTimeExp]]&lt;0.95</f>
        <v>0</v>
      </c>
    </row>
    <row r="1483" spans="1:17" x14ac:dyDescent="0.25">
      <c r="A1483">
        <v>1480</v>
      </c>
      <c r="C1483" t="s">
        <v>2508</v>
      </c>
      <c r="E1483" t="s">
        <v>1482</v>
      </c>
      <c r="F1483" s="4">
        <v>0</v>
      </c>
      <c r="G1483" s="4">
        <v>0</v>
      </c>
      <c r="H1483" s="4">
        <v>0</v>
      </c>
      <c r="I1483" s="4">
        <v>0</v>
      </c>
      <c r="J1483" s="4">
        <v>1200</v>
      </c>
      <c r="K1483" s="4">
        <v>0</v>
      </c>
      <c r="L1483" s="4">
        <v>0</v>
      </c>
      <c r="M1483" s="4">
        <v>0</v>
      </c>
      <c r="N1483" s="4">
        <f>SUM(Table1[[#This Row],[2025]:[2018]])</f>
        <v>1200</v>
      </c>
      <c r="O1483" s="2">
        <f>Table1[[#This Row],[ttl]]/SUM(Table1[ttl])</f>
        <v>2.4197147792349761E-6</v>
      </c>
      <c r="P1483" s="3">
        <f>SUM($O$2:Table1[[#This Row],[pctAllTimeExp]])</f>
        <v>0.99920432258795111</v>
      </c>
      <c r="Q1483" t="b">
        <f>Table1[[#This Row],[cumPctAllTimeExp]]&lt;0.95</f>
        <v>0</v>
      </c>
    </row>
    <row r="1484" spans="1:17" x14ac:dyDescent="0.25">
      <c r="A1484">
        <v>2074</v>
      </c>
      <c r="C1484" t="s">
        <v>2508</v>
      </c>
      <c r="E1484" t="s">
        <v>2076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1200</v>
      </c>
      <c r="M1484" s="4">
        <v>0</v>
      </c>
      <c r="N1484" s="4">
        <f>SUM(Table1[[#This Row],[2025]:[2018]])</f>
        <v>1200</v>
      </c>
      <c r="O1484" s="2">
        <f>Table1[[#This Row],[ttl]]/SUM(Table1[ttl])</f>
        <v>2.4197147792349761E-6</v>
      </c>
      <c r="P1484" s="3">
        <f>SUM($O$2:Table1[[#This Row],[pctAllTimeExp]])</f>
        <v>0.99920674230273032</v>
      </c>
      <c r="Q1484" t="b">
        <f>Table1[[#This Row],[cumPctAllTimeExp]]&lt;0.95</f>
        <v>0</v>
      </c>
    </row>
    <row r="1485" spans="1:17" x14ac:dyDescent="0.25">
      <c r="A1485">
        <v>2075</v>
      </c>
      <c r="C1485" t="s">
        <v>2508</v>
      </c>
      <c r="E1485" t="s">
        <v>2077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1200</v>
      </c>
      <c r="M1485" s="4">
        <v>0</v>
      </c>
      <c r="N1485" s="4">
        <f>SUM(Table1[[#This Row],[2025]:[2018]])</f>
        <v>1200</v>
      </c>
      <c r="O1485" s="2">
        <f>Table1[[#This Row],[ttl]]/SUM(Table1[ttl])</f>
        <v>2.4197147792349761E-6</v>
      </c>
      <c r="P1485" s="3">
        <f>SUM($O$2:Table1[[#This Row],[pctAllTimeExp]])</f>
        <v>0.99920916201750953</v>
      </c>
      <c r="Q1485" t="b">
        <f>Table1[[#This Row],[cumPctAllTimeExp]]&lt;0.95</f>
        <v>0</v>
      </c>
    </row>
    <row r="1486" spans="1:17" x14ac:dyDescent="0.25">
      <c r="A1486">
        <v>2325</v>
      </c>
      <c r="C1486" t="s">
        <v>2508</v>
      </c>
      <c r="E1486" t="s">
        <v>2327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1200</v>
      </c>
      <c r="N1486" s="4">
        <f>SUM(Table1[[#This Row],[2025]:[2018]])</f>
        <v>1200</v>
      </c>
      <c r="O1486" s="2">
        <f>Table1[[#This Row],[ttl]]/SUM(Table1[ttl])</f>
        <v>2.4197147792349761E-6</v>
      </c>
      <c r="P1486" s="3">
        <f>SUM($O$2:Table1[[#This Row],[pctAllTimeExp]])</f>
        <v>0.99921158173228874</v>
      </c>
      <c r="Q1486" t="b">
        <f>Table1[[#This Row],[cumPctAllTimeExp]]&lt;0.95</f>
        <v>0</v>
      </c>
    </row>
    <row r="1487" spans="1:17" x14ac:dyDescent="0.25">
      <c r="A1487">
        <v>2326</v>
      </c>
      <c r="C1487" t="s">
        <v>2508</v>
      </c>
      <c r="E1487" t="s">
        <v>2328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1200</v>
      </c>
      <c r="N1487" s="4">
        <f>SUM(Table1[[#This Row],[2025]:[2018]])</f>
        <v>1200</v>
      </c>
      <c r="O1487" s="2">
        <f>Table1[[#This Row],[ttl]]/SUM(Table1[ttl])</f>
        <v>2.4197147792349761E-6</v>
      </c>
      <c r="P1487" s="3">
        <f>SUM($O$2:Table1[[#This Row],[pctAllTimeExp]])</f>
        <v>0.99921400144706796</v>
      </c>
      <c r="Q1487" t="b">
        <f>Table1[[#This Row],[cumPctAllTimeExp]]&lt;0.95</f>
        <v>0</v>
      </c>
    </row>
    <row r="1488" spans="1:17" x14ac:dyDescent="0.25">
      <c r="A1488">
        <v>1082</v>
      </c>
      <c r="C1488" t="s">
        <v>2508</v>
      </c>
      <c r="E1488" t="s">
        <v>1084</v>
      </c>
      <c r="F1488" s="4">
        <v>0</v>
      </c>
      <c r="G1488" s="4">
        <v>0</v>
      </c>
      <c r="H1488" s="4">
        <v>1199.0999999999999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f>SUM(Table1[[#This Row],[2025]:[2018]])</f>
        <v>1199.0999999999999</v>
      </c>
      <c r="O1488" s="2">
        <f>Table1[[#This Row],[ttl]]/SUM(Table1[ttl])</f>
        <v>2.4178999931505496E-6</v>
      </c>
      <c r="P1488" s="3">
        <f>SUM($O$2:Table1[[#This Row],[pctAllTimeExp]])</f>
        <v>0.99921641934706107</v>
      </c>
      <c r="Q1488" t="b">
        <f>Table1[[#This Row],[cumPctAllTimeExp]]&lt;0.95</f>
        <v>0</v>
      </c>
    </row>
    <row r="1489" spans="1:17" x14ac:dyDescent="0.25">
      <c r="A1489">
        <v>456</v>
      </c>
      <c r="C1489" t="s">
        <v>2508</v>
      </c>
      <c r="E1489" t="s">
        <v>458</v>
      </c>
      <c r="F1489" s="4">
        <v>1194.3900000000001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f>SUM(Table1[[#This Row],[2025]:[2018]])</f>
        <v>1194.3900000000001</v>
      </c>
      <c r="O1489" s="2">
        <f>Table1[[#This Row],[ttl]]/SUM(Table1[ttl])</f>
        <v>2.4084026126420529E-6</v>
      </c>
      <c r="P1489" s="3">
        <f>SUM($O$2:Table1[[#This Row],[pctAllTimeExp]])</f>
        <v>0.99921882774967374</v>
      </c>
      <c r="Q1489" t="b">
        <f>Table1[[#This Row],[cumPctAllTimeExp]]&lt;0.95</f>
        <v>0</v>
      </c>
    </row>
    <row r="1490" spans="1:17" x14ac:dyDescent="0.25">
      <c r="A1490">
        <v>2076</v>
      </c>
      <c r="C1490" t="s">
        <v>2508</v>
      </c>
      <c r="E1490" t="s">
        <v>2078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1188</v>
      </c>
      <c r="M1490" s="4">
        <v>0</v>
      </c>
      <c r="N1490" s="4">
        <f>SUM(Table1[[#This Row],[2025]:[2018]])</f>
        <v>1188</v>
      </c>
      <c r="O1490" s="2">
        <f>Table1[[#This Row],[ttl]]/SUM(Table1[ttl])</f>
        <v>2.3955176314426263E-6</v>
      </c>
      <c r="P1490" s="3">
        <f>SUM($O$2:Table1[[#This Row],[pctAllTimeExp]])</f>
        <v>0.99922122326730523</v>
      </c>
      <c r="Q1490" t="b">
        <f>Table1[[#This Row],[cumPctAllTimeExp]]&lt;0.95</f>
        <v>0</v>
      </c>
    </row>
    <row r="1491" spans="1:17" x14ac:dyDescent="0.25">
      <c r="A1491">
        <v>1616</v>
      </c>
      <c r="C1491" t="s">
        <v>2508</v>
      </c>
      <c r="E1491" t="s">
        <v>1618</v>
      </c>
      <c r="F1491" s="4">
        <v>0</v>
      </c>
      <c r="G1491" s="4">
        <v>0</v>
      </c>
      <c r="H1491" s="4">
        <v>0</v>
      </c>
      <c r="I1491" s="4">
        <v>0</v>
      </c>
      <c r="J1491" s="4">
        <v>93.75</v>
      </c>
      <c r="K1491" s="4">
        <v>112.5</v>
      </c>
      <c r="L1491" s="4">
        <v>281.25</v>
      </c>
      <c r="M1491" s="4">
        <v>693.75</v>
      </c>
      <c r="N1491" s="4">
        <f>SUM(Table1[[#This Row],[2025]:[2018]])</f>
        <v>1181.25</v>
      </c>
      <c r="O1491" s="2">
        <f>Table1[[#This Row],[ttl]]/SUM(Table1[ttl])</f>
        <v>2.3819067358094298E-6</v>
      </c>
      <c r="P1491" s="3">
        <f>SUM($O$2:Table1[[#This Row],[pctAllTimeExp]])</f>
        <v>0.99922360517404107</v>
      </c>
      <c r="Q1491" t="b">
        <f>Table1[[#This Row],[cumPctAllTimeExp]]&lt;0.95</f>
        <v>0</v>
      </c>
    </row>
    <row r="1492" spans="1:17" x14ac:dyDescent="0.25">
      <c r="A1492">
        <v>2327</v>
      </c>
      <c r="C1492" t="s">
        <v>2508</v>
      </c>
      <c r="E1492" t="s">
        <v>2329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1156</v>
      </c>
      <c r="N1492" s="4">
        <f>SUM(Table1[[#This Row],[2025]:[2018]])</f>
        <v>1156</v>
      </c>
      <c r="O1492" s="2">
        <f>Table1[[#This Row],[ttl]]/SUM(Table1[ttl])</f>
        <v>2.3309919039963604E-6</v>
      </c>
      <c r="P1492" s="3">
        <f>SUM($O$2:Table1[[#This Row],[pctAllTimeExp]])</f>
        <v>0.99922593616594502</v>
      </c>
      <c r="Q1492" t="b">
        <f>Table1[[#This Row],[cumPctAllTimeExp]]&lt;0.95</f>
        <v>0</v>
      </c>
    </row>
    <row r="1493" spans="1:17" x14ac:dyDescent="0.25">
      <c r="A1493">
        <v>459</v>
      </c>
      <c r="C1493" t="s">
        <v>2508</v>
      </c>
      <c r="E1493" t="s">
        <v>461</v>
      </c>
      <c r="F1493" s="4">
        <v>1155.55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f>SUM(Table1[[#This Row],[2025]:[2018]])</f>
        <v>1155.55</v>
      </c>
      <c r="O1493" s="2">
        <f>Table1[[#This Row],[ttl]]/SUM(Table1[ttl])</f>
        <v>2.3300845109541473E-6</v>
      </c>
      <c r="P1493" s="3">
        <f>SUM($O$2:Table1[[#This Row],[pctAllTimeExp]])</f>
        <v>0.99922826625045602</v>
      </c>
      <c r="Q1493" t="b">
        <f>Table1[[#This Row],[cumPctAllTimeExp]]&lt;0.95</f>
        <v>0</v>
      </c>
    </row>
    <row r="1494" spans="1:17" x14ac:dyDescent="0.25">
      <c r="A1494">
        <v>1798</v>
      </c>
      <c r="C1494" t="s">
        <v>2508</v>
      </c>
      <c r="E1494" t="s">
        <v>1800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614</v>
      </c>
      <c r="L1494" s="4">
        <v>539</v>
      </c>
      <c r="M1494" s="4">
        <v>0</v>
      </c>
      <c r="N1494" s="4">
        <f>SUM(Table1[[#This Row],[2025]:[2018]])</f>
        <v>1153</v>
      </c>
      <c r="O1494" s="2">
        <f>Table1[[#This Row],[ttl]]/SUM(Table1[ttl])</f>
        <v>2.3249426170482731E-6</v>
      </c>
      <c r="P1494" s="3">
        <f>SUM($O$2:Table1[[#This Row],[pctAllTimeExp]])</f>
        <v>0.99923059119307311</v>
      </c>
      <c r="Q1494" t="b">
        <f>Table1[[#This Row],[cumPctAllTimeExp]]&lt;0.95</f>
        <v>0</v>
      </c>
    </row>
    <row r="1495" spans="1:17" x14ac:dyDescent="0.25">
      <c r="A1495">
        <v>1481</v>
      </c>
      <c r="C1495" t="s">
        <v>2508</v>
      </c>
      <c r="E1495" t="s">
        <v>1483</v>
      </c>
      <c r="F1495" s="4">
        <v>0</v>
      </c>
      <c r="G1495" s="4">
        <v>0</v>
      </c>
      <c r="H1495" s="4">
        <v>0</v>
      </c>
      <c r="I1495" s="4">
        <v>0</v>
      </c>
      <c r="J1495" s="4">
        <v>1152</v>
      </c>
      <c r="K1495" s="4">
        <v>0</v>
      </c>
      <c r="L1495" s="4">
        <v>0</v>
      </c>
      <c r="M1495" s="4">
        <v>0</v>
      </c>
      <c r="N1495" s="4">
        <f>SUM(Table1[[#This Row],[2025]:[2018]])</f>
        <v>1152</v>
      </c>
      <c r="O1495" s="2">
        <f>Table1[[#This Row],[ttl]]/SUM(Table1[ttl])</f>
        <v>2.3229261880655772E-6</v>
      </c>
      <c r="P1495" s="3">
        <f>SUM($O$2:Table1[[#This Row],[pctAllTimeExp]])</f>
        <v>0.99923291411926118</v>
      </c>
      <c r="Q1495" t="b">
        <f>Table1[[#This Row],[cumPctAllTimeExp]]&lt;0.95</f>
        <v>0</v>
      </c>
    </row>
    <row r="1496" spans="1:17" x14ac:dyDescent="0.25">
      <c r="A1496">
        <v>603</v>
      </c>
      <c r="C1496" t="s">
        <v>2508</v>
      </c>
      <c r="E1496" t="s">
        <v>605</v>
      </c>
      <c r="F1496" s="4">
        <v>350</v>
      </c>
      <c r="G1496" s="4">
        <v>350</v>
      </c>
      <c r="H1496" s="4">
        <v>250</v>
      </c>
      <c r="I1496" s="4">
        <v>200</v>
      </c>
      <c r="J1496" s="4">
        <v>0</v>
      </c>
      <c r="K1496" s="4">
        <v>0</v>
      </c>
      <c r="L1496" s="4">
        <v>0</v>
      </c>
      <c r="M1496" s="4">
        <v>0</v>
      </c>
      <c r="N1496" s="4">
        <f>SUM(Table1[[#This Row],[2025]:[2018]])</f>
        <v>1150</v>
      </c>
      <c r="O1496" s="2">
        <f>Table1[[#This Row],[ttl]]/SUM(Table1[ttl])</f>
        <v>2.3188933301001855E-6</v>
      </c>
      <c r="P1496" s="3">
        <f>SUM($O$2:Table1[[#This Row],[pctAllTimeExp]])</f>
        <v>0.99923523301259132</v>
      </c>
      <c r="Q1496" t="b">
        <f>Table1[[#This Row],[cumPctAllTimeExp]]&lt;0.95</f>
        <v>0</v>
      </c>
    </row>
    <row r="1497" spans="1:17" x14ac:dyDescent="0.25">
      <c r="A1497">
        <v>863</v>
      </c>
      <c r="C1497" t="s">
        <v>2508</v>
      </c>
      <c r="E1497" t="s">
        <v>865</v>
      </c>
      <c r="F1497" s="4">
        <v>0</v>
      </c>
      <c r="G1497" s="4">
        <v>600</v>
      </c>
      <c r="H1497" s="4">
        <v>0</v>
      </c>
      <c r="I1497" s="4">
        <v>0</v>
      </c>
      <c r="J1497" s="4">
        <v>0</v>
      </c>
      <c r="K1497" s="4">
        <v>0</v>
      </c>
      <c r="L1497" s="4">
        <v>550</v>
      </c>
      <c r="M1497" s="4">
        <v>0</v>
      </c>
      <c r="N1497" s="4">
        <f>SUM(Table1[[#This Row],[2025]:[2018]])</f>
        <v>1150</v>
      </c>
      <c r="O1497" s="2">
        <f>Table1[[#This Row],[ttl]]/SUM(Table1[ttl])</f>
        <v>2.3188933301001855E-6</v>
      </c>
      <c r="P1497" s="3">
        <f>SUM($O$2:Table1[[#This Row],[pctAllTimeExp]])</f>
        <v>0.99923755190592145</v>
      </c>
      <c r="Q1497" t="b">
        <f>Table1[[#This Row],[cumPctAllTimeExp]]&lt;0.95</f>
        <v>0</v>
      </c>
    </row>
    <row r="1498" spans="1:17" x14ac:dyDescent="0.25">
      <c r="A1498">
        <v>1111</v>
      </c>
      <c r="C1498" t="s">
        <v>2508</v>
      </c>
      <c r="E1498" t="s">
        <v>1113</v>
      </c>
      <c r="F1498" s="4">
        <v>0</v>
      </c>
      <c r="G1498" s="4">
        <v>0</v>
      </c>
      <c r="H1498" s="4">
        <v>650</v>
      </c>
      <c r="I1498" s="4">
        <v>500</v>
      </c>
      <c r="J1498" s="4">
        <v>0</v>
      </c>
      <c r="K1498" s="4">
        <v>0</v>
      </c>
      <c r="L1498" s="4">
        <v>0</v>
      </c>
      <c r="M1498" s="4">
        <v>0</v>
      </c>
      <c r="N1498" s="4">
        <f>SUM(Table1[[#This Row],[2025]:[2018]])</f>
        <v>1150</v>
      </c>
      <c r="O1498" s="2">
        <f>Table1[[#This Row],[ttl]]/SUM(Table1[ttl])</f>
        <v>2.3188933301001855E-6</v>
      </c>
      <c r="P1498" s="3">
        <f>SUM($O$2:Table1[[#This Row],[pctAllTimeExp]])</f>
        <v>0.99923987079925158</v>
      </c>
      <c r="Q1498" t="b">
        <f>Table1[[#This Row],[cumPctAllTimeExp]]&lt;0.95</f>
        <v>0</v>
      </c>
    </row>
    <row r="1499" spans="1:17" x14ac:dyDescent="0.25">
      <c r="A1499">
        <v>2078</v>
      </c>
      <c r="C1499" t="s">
        <v>2508</v>
      </c>
      <c r="E1499" t="s">
        <v>2080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1150</v>
      </c>
      <c r="M1499" s="4">
        <v>0</v>
      </c>
      <c r="N1499" s="4">
        <f>SUM(Table1[[#This Row],[2025]:[2018]])</f>
        <v>1150</v>
      </c>
      <c r="O1499" s="2">
        <f>Table1[[#This Row],[ttl]]/SUM(Table1[ttl])</f>
        <v>2.3188933301001855E-6</v>
      </c>
      <c r="P1499" s="3">
        <f>SUM($O$2:Table1[[#This Row],[pctAllTimeExp]])</f>
        <v>0.99924218969258172</v>
      </c>
      <c r="Q1499" t="b">
        <f>Table1[[#This Row],[cumPctAllTimeExp]]&lt;0.95</f>
        <v>0</v>
      </c>
    </row>
    <row r="1500" spans="1:17" x14ac:dyDescent="0.25">
      <c r="A1500">
        <v>2328</v>
      </c>
      <c r="C1500" t="s">
        <v>2508</v>
      </c>
      <c r="E1500" t="s">
        <v>2330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1147.2</v>
      </c>
      <c r="N1500" s="4">
        <f>SUM(Table1[[#This Row],[2025]:[2018]])</f>
        <v>1147.2</v>
      </c>
      <c r="O1500" s="2">
        <f>Table1[[#This Row],[ttl]]/SUM(Table1[ttl])</f>
        <v>2.3132473289486374E-6</v>
      </c>
      <c r="P1500" s="3">
        <f>SUM($O$2:Table1[[#This Row],[pctAllTimeExp]])</f>
        <v>0.99924450293991063</v>
      </c>
      <c r="Q1500" t="b">
        <f>Table1[[#This Row],[cumPctAllTimeExp]]&lt;0.95</f>
        <v>0</v>
      </c>
    </row>
    <row r="1501" spans="1:17" x14ac:dyDescent="0.25">
      <c r="A1501">
        <v>1482</v>
      </c>
      <c r="C1501" t="s">
        <v>2508</v>
      </c>
      <c r="E1501" t="s">
        <v>1484</v>
      </c>
      <c r="F1501" s="4">
        <v>0</v>
      </c>
      <c r="G1501" s="4">
        <v>0</v>
      </c>
      <c r="H1501" s="4">
        <v>0</v>
      </c>
      <c r="I1501" s="4">
        <v>0</v>
      </c>
      <c r="J1501" s="4">
        <v>1145.31</v>
      </c>
      <c r="K1501" s="4">
        <v>0</v>
      </c>
      <c r="L1501" s="4">
        <v>0</v>
      </c>
      <c r="M1501" s="4">
        <v>0</v>
      </c>
      <c r="N1501" s="4">
        <f>SUM(Table1[[#This Row],[2025]:[2018]])</f>
        <v>1145.31</v>
      </c>
      <c r="O1501" s="2">
        <f>Table1[[#This Row],[ttl]]/SUM(Table1[ttl])</f>
        <v>2.309436278171342E-6</v>
      </c>
      <c r="P1501" s="3">
        <f>SUM($O$2:Table1[[#This Row],[pctAllTimeExp]])</f>
        <v>0.99924681237618884</v>
      </c>
      <c r="Q1501" t="b">
        <f>Table1[[#This Row],[cumPctAllTimeExp]]&lt;0.95</f>
        <v>0</v>
      </c>
    </row>
    <row r="1502" spans="1:17" x14ac:dyDescent="0.25">
      <c r="A1502">
        <v>1333</v>
      </c>
      <c r="C1502" t="s">
        <v>2508</v>
      </c>
      <c r="E1502" t="s">
        <v>1335</v>
      </c>
      <c r="F1502" s="4">
        <v>0</v>
      </c>
      <c r="G1502" s="4">
        <v>0</v>
      </c>
      <c r="H1502" s="4">
        <v>0</v>
      </c>
      <c r="I1502" s="4">
        <v>314.35000000000002</v>
      </c>
      <c r="J1502" s="4">
        <v>830</v>
      </c>
      <c r="K1502" s="4">
        <v>0</v>
      </c>
      <c r="L1502" s="4">
        <v>0</v>
      </c>
      <c r="M1502" s="4">
        <v>0</v>
      </c>
      <c r="N1502" s="4">
        <f>SUM(Table1[[#This Row],[2025]:[2018]])</f>
        <v>1144.3499999999999</v>
      </c>
      <c r="O1502" s="2">
        <f>Table1[[#This Row],[ttl]]/SUM(Table1[ttl])</f>
        <v>2.3075005063479538E-6</v>
      </c>
      <c r="P1502" s="3">
        <f>SUM($O$2:Table1[[#This Row],[pctAllTimeExp]])</f>
        <v>0.99924911987669518</v>
      </c>
      <c r="Q1502" t="b">
        <f>Table1[[#This Row],[cumPctAllTimeExp]]&lt;0.95</f>
        <v>0</v>
      </c>
    </row>
    <row r="1503" spans="1:17" x14ac:dyDescent="0.25">
      <c r="A1503">
        <v>2198</v>
      </c>
      <c r="C1503" t="s">
        <v>2508</v>
      </c>
      <c r="E1503" t="s">
        <v>2200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127.35</v>
      </c>
      <c r="M1503" s="4">
        <v>1016.1</v>
      </c>
      <c r="N1503" s="4">
        <f>SUM(Table1[[#This Row],[2025]:[2018]])</f>
        <v>1143.45</v>
      </c>
      <c r="O1503" s="2">
        <f>Table1[[#This Row],[ttl]]/SUM(Table1[ttl])</f>
        <v>2.3056857202635281E-6</v>
      </c>
      <c r="P1503" s="3">
        <f>SUM($O$2:Table1[[#This Row],[pctAllTimeExp]])</f>
        <v>0.99925142556241542</v>
      </c>
      <c r="Q1503" t="b">
        <f>Table1[[#This Row],[cumPctAllTimeExp]]&lt;0.95</f>
        <v>0</v>
      </c>
    </row>
    <row r="1504" spans="1:17" x14ac:dyDescent="0.25">
      <c r="A1504">
        <v>2329</v>
      </c>
      <c r="C1504" t="s">
        <v>2508</v>
      </c>
      <c r="E1504" t="s">
        <v>2331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1143</v>
      </c>
      <c r="N1504" s="4">
        <f>SUM(Table1[[#This Row],[2025]:[2018]])</f>
        <v>1143</v>
      </c>
      <c r="O1504" s="2">
        <f>Table1[[#This Row],[ttl]]/SUM(Table1[ttl])</f>
        <v>2.3047783272213147E-6</v>
      </c>
      <c r="P1504" s="3">
        <f>SUM($O$2:Table1[[#This Row],[pctAllTimeExp]])</f>
        <v>0.99925373034074261</v>
      </c>
      <c r="Q1504" t="b">
        <f>Table1[[#This Row],[cumPctAllTimeExp]]&lt;0.95</f>
        <v>0</v>
      </c>
    </row>
    <row r="1505" spans="1:17" x14ac:dyDescent="0.25">
      <c r="A1505">
        <v>623</v>
      </c>
      <c r="C1505" t="s">
        <v>2508</v>
      </c>
      <c r="E1505" t="s">
        <v>625</v>
      </c>
      <c r="F1505" s="4">
        <v>214.97</v>
      </c>
      <c r="G1505" s="4">
        <v>179.14</v>
      </c>
      <c r="H1505" s="4">
        <v>87.54</v>
      </c>
      <c r="I1505" s="4">
        <v>101.4</v>
      </c>
      <c r="J1505" s="4">
        <v>118.5</v>
      </c>
      <c r="K1505" s="4">
        <v>177.75</v>
      </c>
      <c r="L1505" s="4">
        <v>98.75</v>
      </c>
      <c r="M1505" s="4">
        <v>158</v>
      </c>
      <c r="N1505" s="4">
        <f>SUM(Table1[[#This Row],[2025]:[2018]])</f>
        <v>1136.0500000000002</v>
      </c>
      <c r="O1505" s="2">
        <f>Table1[[#This Row],[ttl]]/SUM(Table1[ttl])</f>
        <v>2.2907641457915794E-6</v>
      </c>
      <c r="P1505" s="3">
        <f>SUM($O$2:Table1[[#This Row],[pctAllTimeExp]])</f>
        <v>0.99925602110488843</v>
      </c>
      <c r="Q1505" t="b">
        <f>Table1[[#This Row],[cumPctAllTimeExp]]&lt;0.95</f>
        <v>0</v>
      </c>
    </row>
    <row r="1506" spans="1:17" x14ac:dyDescent="0.25">
      <c r="A1506">
        <v>570</v>
      </c>
      <c r="C1506" t="s">
        <v>2508</v>
      </c>
      <c r="E1506" t="s">
        <v>572</v>
      </c>
      <c r="F1506" s="4">
        <v>480</v>
      </c>
      <c r="G1506" s="4">
        <v>0</v>
      </c>
      <c r="H1506" s="4">
        <v>0</v>
      </c>
      <c r="I1506" s="4">
        <v>0</v>
      </c>
      <c r="J1506" s="4">
        <v>120</v>
      </c>
      <c r="K1506" s="4">
        <v>480</v>
      </c>
      <c r="L1506" s="4">
        <v>55.73</v>
      </c>
      <c r="M1506" s="4">
        <v>0</v>
      </c>
      <c r="N1506" s="4">
        <f>SUM(Table1[[#This Row],[2025]:[2018]])</f>
        <v>1135.73</v>
      </c>
      <c r="O1506" s="2">
        <f>Table1[[#This Row],[ttl]]/SUM(Table1[ttl])</f>
        <v>2.2901188885171164E-6</v>
      </c>
      <c r="P1506" s="3">
        <f>SUM($O$2:Table1[[#This Row],[pctAllTimeExp]])</f>
        <v>0.99925831122377695</v>
      </c>
      <c r="Q1506" t="b">
        <f>Table1[[#This Row],[cumPctAllTimeExp]]&lt;0.95</f>
        <v>0</v>
      </c>
    </row>
    <row r="1507" spans="1:17" x14ac:dyDescent="0.25">
      <c r="A1507">
        <v>1483</v>
      </c>
      <c r="C1507" t="s">
        <v>2508</v>
      </c>
      <c r="E1507" t="s">
        <v>1485</v>
      </c>
      <c r="F1507" s="4">
        <v>0</v>
      </c>
      <c r="G1507" s="4">
        <v>0</v>
      </c>
      <c r="H1507" s="4">
        <v>0</v>
      </c>
      <c r="I1507" s="4">
        <v>0</v>
      </c>
      <c r="J1507" s="4">
        <v>1125</v>
      </c>
      <c r="K1507" s="4">
        <v>0</v>
      </c>
      <c r="L1507" s="4">
        <v>0</v>
      </c>
      <c r="M1507" s="4">
        <v>0</v>
      </c>
      <c r="N1507" s="4">
        <f>SUM(Table1[[#This Row],[2025]:[2018]])</f>
        <v>1125</v>
      </c>
      <c r="O1507" s="2">
        <f>Table1[[#This Row],[ttl]]/SUM(Table1[ttl])</f>
        <v>2.2684826055327904E-6</v>
      </c>
      <c r="P1507" s="3">
        <f>SUM($O$2:Table1[[#This Row],[pctAllTimeExp]])</f>
        <v>0.99926057970638249</v>
      </c>
      <c r="Q1507" t="b">
        <f>Table1[[#This Row],[cumPctAllTimeExp]]&lt;0.95</f>
        <v>0</v>
      </c>
    </row>
    <row r="1508" spans="1:17" x14ac:dyDescent="0.25">
      <c r="A1508">
        <v>1317</v>
      </c>
      <c r="C1508" t="s">
        <v>2508</v>
      </c>
      <c r="E1508" t="s">
        <v>1319</v>
      </c>
      <c r="F1508" s="4">
        <v>0</v>
      </c>
      <c r="G1508" s="4">
        <v>0</v>
      </c>
      <c r="H1508" s="4">
        <v>0</v>
      </c>
      <c r="I1508" s="4">
        <v>464</v>
      </c>
      <c r="J1508" s="4">
        <v>213</v>
      </c>
      <c r="K1508" s="4">
        <v>0</v>
      </c>
      <c r="L1508" s="4">
        <v>0</v>
      </c>
      <c r="M1508" s="4">
        <v>447</v>
      </c>
      <c r="N1508" s="4">
        <f>SUM(Table1[[#This Row],[2025]:[2018]])</f>
        <v>1124</v>
      </c>
      <c r="O1508" s="2">
        <f>Table1[[#This Row],[ttl]]/SUM(Table1[ttl])</f>
        <v>2.2664661765500945E-6</v>
      </c>
      <c r="P1508" s="3">
        <f>SUM($O$2:Table1[[#This Row],[pctAllTimeExp]])</f>
        <v>0.999262846172559</v>
      </c>
      <c r="Q1508" t="b">
        <f>Table1[[#This Row],[cumPctAllTimeExp]]&lt;0.95</f>
        <v>0</v>
      </c>
    </row>
    <row r="1509" spans="1:17" x14ac:dyDescent="0.25">
      <c r="A1509">
        <v>1802</v>
      </c>
      <c r="C1509" t="s">
        <v>2508</v>
      </c>
      <c r="E1509" t="s">
        <v>1804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560</v>
      </c>
      <c r="L1509" s="4">
        <v>0</v>
      </c>
      <c r="M1509" s="4">
        <v>560</v>
      </c>
      <c r="N1509" s="4">
        <f>SUM(Table1[[#This Row],[2025]:[2018]])</f>
        <v>1120</v>
      </c>
      <c r="O1509" s="2">
        <f>Table1[[#This Row],[ttl]]/SUM(Table1[ttl])</f>
        <v>2.2584004606193109E-6</v>
      </c>
      <c r="P1509" s="3">
        <f>SUM($O$2:Table1[[#This Row],[pctAllTimeExp]])</f>
        <v>0.99926510457301965</v>
      </c>
      <c r="Q1509" t="b">
        <f>Table1[[#This Row],[cumPctAllTimeExp]]&lt;0.95</f>
        <v>0</v>
      </c>
    </row>
    <row r="1510" spans="1:17" x14ac:dyDescent="0.25">
      <c r="A1510">
        <v>879</v>
      </c>
      <c r="C1510" t="s">
        <v>2508</v>
      </c>
      <c r="E1510" t="s">
        <v>881</v>
      </c>
      <c r="F1510" s="4">
        <v>0</v>
      </c>
      <c r="G1510" s="4">
        <v>450</v>
      </c>
      <c r="H1510" s="4">
        <v>0</v>
      </c>
      <c r="I1510" s="4">
        <v>0</v>
      </c>
      <c r="J1510" s="4">
        <v>300</v>
      </c>
      <c r="K1510" s="4">
        <v>350</v>
      </c>
      <c r="L1510" s="4">
        <v>0</v>
      </c>
      <c r="M1510" s="4">
        <v>0</v>
      </c>
      <c r="N1510" s="4">
        <f>SUM(Table1[[#This Row],[2025]:[2018]])</f>
        <v>1100</v>
      </c>
      <c r="O1510" s="2">
        <f>Table1[[#This Row],[ttl]]/SUM(Table1[ttl])</f>
        <v>2.2180718809653948E-6</v>
      </c>
      <c r="P1510" s="3">
        <f>SUM($O$2:Table1[[#This Row],[pctAllTimeExp]])</f>
        <v>0.99926732264490059</v>
      </c>
      <c r="Q1510" t="b">
        <f>Table1[[#This Row],[cumPctAllTimeExp]]&lt;0.95</f>
        <v>0</v>
      </c>
    </row>
    <row r="1511" spans="1:17" x14ac:dyDescent="0.25">
      <c r="A1511">
        <v>2182</v>
      </c>
      <c r="C1511" t="s">
        <v>2508</v>
      </c>
      <c r="E1511" t="s">
        <v>2184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187.5</v>
      </c>
      <c r="M1511" s="4">
        <v>900</v>
      </c>
      <c r="N1511" s="4">
        <f>SUM(Table1[[#This Row],[2025]:[2018]])</f>
        <v>1087.5</v>
      </c>
      <c r="O1511" s="2">
        <f>Table1[[#This Row],[ttl]]/SUM(Table1[ttl])</f>
        <v>2.1928665186816973E-6</v>
      </c>
      <c r="P1511" s="3">
        <f>SUM($O$2:Table1[[#This Row],[pctAllTimeExp]])</f>
        <v>0.99926951551141929</v>
      </c>
      <c r="Q1511" t="b">
        <f>Table1[[#This Row],[cumPctAllTimeExp]]&lt;0.95</f>
        <v>0</v>
      </c>
    </row>
    <row r="1512" spans="1:17" x14ac:dyDescent="0.25">
      <c r="A1512">
        <v>625</v>
      </c>
      <c r="C1512" t="s">
        <v>2508</v>
      </c>
      <c r="E1512" t="s">
        <v>627</v>
      </c>
      <c r="F1512" s="4">
        <v>203.61</v>
      </c>
      <c r="G1512" s="4">
        <v>150.84</v>
      </c>
      <c r="H1512" s="4">
        <v>72.77</v>
      </c>
      <c r="I1512" s="4">
        <v>74.739999999999995</v>
      </c>
      <c r="J1512" s="4">
        <v>108.26</v>
      </c>
      <c r="K1512" s="4">
        <v>105.24</v>
      </c>
      <c r="L1512" s="4">
        <v>134.05000000000001</v>
      </c>
      <c r="M1512" s="4">
        <v>232.82</v>
      </c>
      <c r="N1512" s="4">
        <f>SUM(Table1[[#This Row],[2025]:[2018]])</f>
        <v>1082.33</v>
      </c>
      <c r="O1512" s="2">
        <f>Table1[[#This Row],[ttl]]/SUM(Table1[ttl])</f>
        <v>2.1824415808411597E-6</v>
      </c>
      <c r="P1512" s="3">
        <f>SUM($O$2:Table1[[#This Row],[pctAllTimeExp]])</f>
        <v>0.99927169795300008</v>
      </c>
      <c r="Q1512" t="b">
        <f>Table1[[#This Row],[cumPctAllTimeExp]]&lt;0.95</f>
        <v>0</v>
      </c>
    </row>
    <row r="1513" spans="1:17" x14ac:dyDescent="0.25">
      <c r="A1513">
        <v>2080</v>
      </c>
      <c r="C1513" t="s">
        <v>2508</v>
      </c>
      <c r="E1513" t="s">
        <v>2082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1075</v>
      </c>
      <c r="M1513" s="4">
        <v>0</v>
      </c>
      <c r="N1513" s="4">
        <f>SUM(Table1[[#This Row],[2025]:[2018]])</f>
        <v>1075</v>
      </c>
      <c r="O1513" s="2">
        <f>Table1[[#This Row],[ttl]]/SUM(Table1[ttl])</f>
        <v>2.1676611563979993E-6</v>
      </c>
      <c r="P1513" s="3">
        <f>SUM($O$2:Table1[[#This Row],[pctAllTimeExp]])</f>
        <v>0.99927386561415643</v>
      </c>
      <c r="Q1513" t="b">
        <f>Table1[[#This Row],[cumPctAllTimeExp]]&lt;0.95</f>
        <v>0</v>
      </c>
    </row>
    <row r="1514" spans="1:17" x14ac:dyDescent="0.25">
      <c r="A1514">
        <v>644</v>
      </c>
      <c r="C1514" t="s">
        <v>2508</v>
      </c>
      <c r="E1514" t="s">
        <v>646</v>
      </c>
      <c r="F1514" s="4">
        <v>157.5</v>
      </c>
      <c r="G1514" s="4">
        <v>346.96</v>
      </c>
      <c r="H1514" s="4">
        <v>145.04</v>
      </c>
      <c r="I1514" s="4">
        <v>424</v>
      </c>
      <c r="J1514" s="4">
        <v>0</v>
      </c>
      <c r="K1514" s="4">
        <v>0</v>
      </c>
      <c r="L1514" s="4">
        <v>0</v>
      </c>
      <c r="M1514" s="4">
        <v>0</v>
      </c>
      <c r="N1514" s="4">
        <f>SUM(Table1[[#This Row],[2025]:[2018]])</f>
        <v>1073.5</v>
      </c>
      <c r="O1514" s="2">
        <f>Table1[[#This Row],[ttl]]/SUM(Table1[ttl])</f>
        <v>2.1646365129239557E-6</v>
      </c>
      <c r="P1514" s="3">
        <f>SUM($O$2:Table1[[#This Row],[pctAllTimeExp]])</f>
        <v>0.99927603025066936</v>
      </c>
      <c r="Q1514" t="b">
        <f>Table1[[#This Row],[cumPctAllTimeExp]]&lt;0.95</f>
        <v>0</v>
      </c>
    </row>
    <row r="1515" spans="1:17" x14ac:dyDescent="0.25">
      <c r="A1515">
        <v>2330</v>
      </c>
      <c r="C1515" t="s">
        <v>2508</v>
      </c>
      <c r="E1515" t="s">
        <v>2332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1069.82</v>
      </c>
      <c r="N1515" s="4">
        <f>SUM(Table1[[#This Row],[2025]:[2018]])</f>
        <v>1069.82</v>
      </c>
      <c r="O1515" s="2">
        <f>Table1[[#This Row],[ttl]]/SUM(Table1[ttl])</f>
        <v>2.1572160542676352E-6</v>
      </c>
      <c r="P1515" s="3">
        <f>SUM($O$2:Table1[[#This Row],[pctAllTimeExp]])</f>
        <v>0.99927818746672359</v>
      </c>
      <c r="Q1515" t="b">
        <f>Table1[[#This Row],[cumPctAllTimeExp]]&lt;0.95</f>
        <v>0</v>
      </c>
    </row>
    <row r="1516" spans="1:17" x14ac:dyDescent="0.25">
      <c r="A1516">
        <v>2331</v>
      </c>
      <c r="C1516" t="s">
        <v>2508</v>
      </c>
      <c r="E1516" t="s">
        <v>2333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1065</v>
      </c>
      <c r="N1516" s="4">
        <f>SUM(Table1[[#This Row],[2025]:[2018]])</f>
        <v>1065</v>
      </c>
      <c r="O1516" s="2">
        <f>Table1[[#This Row],[ttl]]/SUM(Table1[ttl])</f>
        <v>2.1474968665710413E-6</v>
      </c>
      <c r="P1516" s="3">
        <f>SUM($O$2:Table1[[#This Row],[pctAllTimeExp]])</f>
        <v>0.99928033496359014</v>
      </c>
      <c r="Q1516" t="b">
        <f>Table1[[#This Row],[cumPctAllTimeExp]]&lt;0.95</f>
        <v>0</v>
      </c>
    </row>
    <row r="1517" spans="1:17" x14ac:dyDescent="0.25">
      <c r="A1517">
        <v>1567</v>
      </c>
      <c r="C1517" t="s">
        <v>2508</v>
      </c>
      <c r="E1517" t="s">
        <v>1569</v>
      </c>
      <c r="F1517" s="4">
        <v>0</v>
      </c>
      <c r="G1517" s="4">
        <v>0</v>
      </c>
      <c r="H1517" s="4">
        <v>0</v>
      </c>
      <c r="I1517" s="4">
        <v>0</v>
      </c>
      <c r="J1517" s="4">
        <v>225</v>
      </c>
      <c r="K1517" s="4">
        <v>0</v>
      </c>
      <c r="L1517" s="4">
        <v>0</v>
      </c>
      <c r="M1517" s="4">
        <v>836</v>
      </c>
      <c r="N1517" s="4">
        <f>SUM(Table1[[#This Row],[2025]:[2018]])</f>
        <v>1061</v>
      </c>
      <c r="O1517" s="2">
        <f>Table1[[#This Row],[ttl]]/SUM(Table1[ttl])</f>
        <v>2.1394311506402582E-6</v>
      </c>
      <c r="P1517" s="3">
        <f>SUM($O$2:Table1[[#This Row],[pctAllTimeExp]])</f>
        <v>0.99928247439474083</v>
      </c>
      <c r="Q1517" t="b">
        <f>Table1[[#This Row],[cumPctAllTimeExp]]&lt;0.95</f>
        <v>0</v>
      </c>
    </row>
    <row r="1518" spans="1:17" x14ac:dyDescent="0.25">
      <c r="A1518">
        <v>2120</v>
      </c>
      <c r="C1518" t="s">
        <v>2508</v>
      </c>
      <c r="E1518" t="s">
        <v>2122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507.21</v>
      </c>
      <c r="M1518" s="4">
        <v>550.64</v>
      </c>
      <c r="N1518" s="4">
        <f>SUM(Table1[[#This Row],[2025]:[2018]])</f>
        <v>1057.8499999999999</v>
      </c>
      <c r="O1518" s="2">
        <f>Table1[[#This Row],[ttl]]/SUM(Table1[ttl])</f>
        <v>2.133079399344766E-6</v>
      </c>
      <c r="P1518" s="3">
        <f>SUM($O$2:Table1[[#This Row],[pctAllTimeExp]])</f>
        <v>0.99928460747414016</v>
      </c>
      <c r="Q1518" t="b">
        <f>Table1[[#This Row],[cumPctAllTimeExp]]&lt;0.95</f>
        <v>0</v>
      </c>
    </row>
    <row r="1519" spans="1:17" x14ac:dyDescent="0.25">
      <c r="A1519">
        <v>529</v>
      </c>
      <c r="C1519" t="s">
        <v>2508</v>
      </c>
      <c r="E1519" t="s">
        <v>531</v>
      </c>
      <c r="F1519" s="4">
        <v>600</v>
      </c>
      <c r="G1519" s="4">
        <v>450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f>SUM(Table1[[#This Row],[2025]:[2018]])</f>
        <v>1050</v>
      </c>
      <c r="O1519" s="2">
        <f>Table1[[#This Row],[ttl]]/SUM(Table1[ttl])</f>
        <v>2.1172504318306042E-6</v>
      </c>
      <c r="P1519" s="3">
        <f>SUM($O$2:Table1[[#This Row],[pctAllTimeExp]])</f>
        <v>0.99928672472457203</v>
      </c>
      <c r="Q1519" t="b">
        <f>Table1[[#This Row],[cumPctAllTimeExp]]&lt;0.95</f>
        <v>0</v>
      </c>
    </row>
    <row r="1520" spans="1:17" x14ac:dyDescent="0.25">
      <c r="A1520">
        <v>1084</v>
      </c>
      <c r="C1520" t="s">
        <v>2508</v>
      </c>
      <c r="E1520" t="s">
        <v>1086</v>
      </c>
      <c r="F1520" s="4">
        <v>0</v>
      </c>
      <c r="G1520" s="4">
        <v>0</v>
      </c>
      <c r="H1520" s="4">
        <v>1050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f>SUM(Table1[[#This Row],[2025]:[2018]])</f>
        <v>1050</v>
      </c>
      <c r="O1520" s="2">
        <f>Table1[[#This Row],[ttl]]/SUM(Table1[ttl])</f>
        <v>2.1172504318306042E-6</v>
      </c>
      <c r="P1520" s="3">
        <f>SUM($O$2:Table1[[#This Row],[pctAllTimeExp]])</f>
        <v>0.99928884197500389</v>
      </c>
      <c r="Q1520" t="b">
        <f>Table1[[#This Row],[cumPctAllTimeExp]]&lt;0.95</f>
        <v>0</v>
      </c>
    </row>
    <row r="1521" spans="1:17" x14ac:dyDescent="0.25">
      <c r="A1521">
        <v>1318</v>
      </c>
      <c r="C1521" t="s">
        <v>2508</v>
      </c>
      <c r="E1521" t="s">
        <v>1320</v>
      </c>
      <c r="F1521" s="4">
        <v>0</v>
      </c>
      <c r="G1521" s="4">
        <v>0</v>
      </c>
      <c r="H1521" s="4">
        <v>0</v>
      </c>
      <c r="I1521" s="4">
        <v>450</v>
      </c>
      <c r="J1521" s="4">
        <v>300</v>
      </c>
      <c r="K1521" s="4">
        <v>300</v>
      </c>
      <c r="L1521" s="4">
        <v>0</v>
      </c>
      <c r="M1521" s="4">
        <v>0</v>
      </c>
      <c r="N1521" s="4">
        <f>SUM(Table1[[#This Row],[2025]:[2018]])</f>
        <v>1050</v>
      </c>
      <c r="O1521" s="2">
        <f>Table1[[#This Row],[ttl]]/SUM(Table1[ttl])</f>
        <v>2.1172504318306042E-6</v>
      </c>
      <c r="P1521" s="3">
        <f>SUM($O$2:Table1[[#This Row],[pctAllTimeExp]])</f>
        <v>0.99929095922543576</v>
      </c>
      <c r="Q1521" t="b">
        <f>Table1[[#This Row],[cumPctAllTimeExp]]&lt;0.95</f>
        <v>0</v>
      </c>
    </row>
    <row r="1522" spans="1:17" x14ac:dyDescent="0.25">
      <c r="A1522">
        <v>2114</v>
      </c>
      <c r="C1522" t="s">
        <v>2508</v>
      </c>
      <c r="E1522" t="s">
        <v>2116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550</v>
      </c>
      <c r="M1522" s="4">
        <v>500</v>
      </c>
      <c r="N1522" s="4">
        <f>SUM(Table1[[#This Row],[2025]:[2018]])</f>
        <v>1050</v>
      </c>
      <c r="O1522" s="2">
        <f>Table1[[#This Row],[ttl]]/SUM(Table1[ttl])</f>
        <v>2.1172504318306042E-6</v>
      </c>
      <c r="P1522" s="3">
        <f>SUM($O$2:Table1[[#This Row],[pctAllTimeExp]])</f>
        <v>0.99929307647586763</v>
      </c>
      <c r="Q1522" t="b">
        <f>Table1[[#This Row],[cumPctAllTimeExp]]&lt;0.95</f>
        <v>0</v>
      </c>
    </row>
    <row r="1523" spans="1:17" x14ac:dyDescent="0.25">
      <c r="A1523">
        <v>1361</v>
      </c>
      <c r="C1523" t="s">
        <v>2508</v>
      </c>
      <c r="E1523" t="s">
        <v>1363</v>
      </c>
      <c r="F1523" s="4">
        <v>0</v>
      </c>
      <c r="G1523" s="4">
        <v>0</v>
      </c>
      <c r="H1523" s="4">
        <v>0</v>
      </c>
      <c r="I1523" s="4">
        <v>179.15</v>
      </c>
      <c r="J1523" s="4">
        <v>0</v>
      </c>
      <c r="K1523" s="4">
        <v>0</v>
      </c>
      <c r="L1523" s="4">
        <v>404.38</v>
      </c>
      <c r="M1523" s="4">
        <v>466.14</v>
      </c>
      <c r="N1523" s="4">
        <f>SUM(Table1[[#This Row],[2025]:[2018]])</f>
        <v>1049.67</v>
      </c>
      <c r="O1523" s="2">
        <f>Table1[[#This Row],[ttl]]/SUM(Table1[ttl])</f>
        <v>2.1165850102663146E-6</v>
      </c>
      <c r="P1523" s="3">
        <f>SUM($O$2:Table1[[#This Row],[pctAllTimeExp]])</f>
        <v>0.99929519306087788</v>
      </c>
      <c r="Q1523" t="b">
        <f>Table1[[#This Row],[cumPctAllTimeExp]]&lt;0.95</f>
        <v>0</v>
      </c>
    </row>
    <row r="1524" spans="1:17" x14ac:dyDescent="0.25">
      <c r="A1524">
        <v>923</v>
      </c>
      <c r="C1524" t="s">
        <v>2508</v>
      </c>
      <c r="E1524" t="s">
        <v>925</v>
      </c>
      <c r="F1524" s="4">
        <v>0</v>
      </c>
      <c r="G1524" s="4">
        <v>160</v>
      </c>
      <c r="H1524" s="4">
        <v>550</v>
      </c>
      <c r="I1524" s="4">
        <v>0</v>
      </c>
      <c r="J1524" s="4">
        <v>160</v>
      </c>
      <c r="K1524" s="4">
        <v>175</v>
      </c>
      <c r="L1524" s="4">
        <v>0</v>
      </c>
      <c r="M1524" s="4">
        <v>0</v>
      </c>
      <c r="N1524" s="4">
        <f>SUM(Table1[[#This Row],[2025]:[2018]])</f>
        <v>1045</v>
      </c>
      <c r="O1524" s="2">
        <f>Table1[[#This Row],[ttl]]/SUM(Table1[ttl])</f>
        <v>2.1071682869171252E-6</v>
      </c>
      <c r="P1524" s="3">
        <f>SUM($O$2:Table1[[#This Row],[pctAllTimeExp]])</f>
        <v>0.99929730022916485</v>
      </c>
      <c r="Q1524" t="b">
        <f>Table1[[#This Row],[cumPctAllTimeExp]]&lt;0.95</f>
        <v>0</v>
      </c>
    </row>
    <row r="1525" spans="1:17" x14ac:dyDescent="0.25">
      <c r="A1525">
        <v>1767</v>
      </c>
      <c r="C1525" t="s">
        <v>2508</v>
      </c>
      <c r="E1525" t="s">
        <v>1769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1035.83</v>
      </c>
      <c r="L1525" s="4">
        <v>0</v>
      </c>
      <c r="M1525" s="4">
        <v>0</v>
      </c>
      <c r="N1525" s="4">
        <f>SUM(Table1[[#This Row],[2025]:[2018]])</f>
        <v>1035.83</v>
      </c>
      <c r="O1525" s="2">
        <f>Table1[[#This Row],[ttl]]/SUM(Table1[ttl])</f>
        <v>2.0886776331458045E-6</v>
      </c>
      <c r="P1525" s="3">
        <f>SUM($O$2:Table1[[#This Row],[pctAllTimeExp]])</f>
        <v>0.99929938890679804</v>
      </c>
      <c r="Q1525" t="b">
        <f>Table1[[#This Row],[cumPctAllTimeExp]]&lt;0.95</f>
        <v>0</v>
      </c>
    </row>
    <row r="1526" spans="1:17" x14ac:dyDescent="0.25">
      <c r="A1526">
        <v>2332</v>
      </c>
      <c r="C1526" t="s">
        <v>2508</v>
      </c>
      <c r="E1526" t="s">
        <v>2334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1032.1099999999999</v>
      </c>
      <c r="N1526" s="4">
        <f>SUM(Table1[[#This Row],[2025]:[2018]])</f>
        <v>1032.1099999999999</v>
      </c>
      <c r="O1526" s="2">
        <f>Table1[[#This Row],[ttl]]/SUM(Table1[ttl])</f>
        <v>2.0811765173301759E-6</v>
      </c>
      <c r="P1526" s="3">
        <f>SUM($O$2:Table1[[#This Row],[pctAllTimeExp]])</f>
        <v>0.99930147008331538</v>
      </c>
      <c r="Q1526" t="b">
        <f>Table1[[#This Row],[cumPctAllTimeExp]]&lt;0.95</f>
        <v>0</v>
      </c>
    </row>
    <row r="1527" spans="1:17" x14ac:dyDescent="0.25">
      <c r="A1527">
        <v>469</v>
      </c>
      <c r="C1527" t="s">
        <v>2508</v>
      </c>
      <c r="E1527" t="s">
        <v>471</v>
      </c>
      <c r="F1527" s="4">
        <v>1031.1500000000001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f>SUM(Table1[[#This Row],[2025]:[2018]])</f>
        <v>1031.1500000000001</v>
      </c>
      <c r="O1527" s="2">
        <f>Table1[[#This Row],[ttl]]/SUM(Table1[ttl])</f>
        <v>2.0792407455067881E-6</v>
      </c>
      <c r="P1527" s="3">
        <f>SUM($O$2:Table1[[#This Row],[pctAllTimeExp]])</f>
        <v>0.99930354932406085</v>
      </c>
      <c r="Q1527" t="b">
        <f>Table1[[#This Row],[cumPctAllTimeExp]]&lt;0.95</f>
        <v>0</v>
      </c>
    </row>
    <row r="1528" spans="1:17" x14ac:dyDescent="0.25">
      <c r="A1528">
        <v>2333</v>
      </c>
      <c r="C1528" t="s">
        <v>2508</v>
      </c>
      <c r="E1528" t="s">
        <v>2335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1030.8</v>
      </c>
      <c r="N1528" s="4">
        <f>SUM(Table1[[#This Row],[2025]:[2018]])</f>
        <v>1030.8</v>
      </c>
      <c r="O1528" s="2">
        <f>Table1[[#This Row],[ttl]]/SUM(Table1[ttl])</f>
        <v>2.0785349953628444E-6</v>
      </c>
      <c r="P1528" s="3">
        <f>SUM($O$2:Table1[[#This Row],[pctAllTimeExp]])</f>
        <v>0.99930562785905619</v>
      </c>
      <c r="Q1528" t="b">
        <f>Table1[[#This Row],[cumPctAllTimeExp]]&lt;0.95</f>
        <v>0</v>
      </c>
    </row>
    <row r="1529" spans="1:17" x14ac:dyDescent="0.25">
      <c r="A1529">
        <v>1879</v>
      </c>
      <c r="C1529" t="s">
        <v>2508</v>
      </c>
      <c r="E1529" t="s">
        <v>1881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195.49</v>
      </c>
      <c r="L1529" s="4">
        <v>159.97</v>
      </c>
      <c r="M1529" s="4">
        <v>668.59</v>
      </c>
      <c r="N1529" s="4">
        <f>SUM(Table1[[#This Row],[2025]:[2018]])</f>
        <v>1024.0500000000002</v>
      </c>
      <c r="O1529" s="2">
        <f>Table1[[#This Row],[ttl]]/SUM(Table1[ttl])</f>
        <v>2.0649240997296484E-6</v>
      </c>
      <c r="P1529" s="3">
        <f>SUM($O$2:Table1[[#This Row],[pctAllTimeExp]])</f>
        <v>0.9993076927831559</v>
      </c>
      <c r="Q1529" t="b">
        <f>Table1[[#This Row],[cumPctAllTimeExp]]&lt;0.95</f>
        <v>0</v>
      </c>
    </row>
    <row r="1530" spans="1:17" x14ac:dyDescent="0.25">
      <c r="A1530">
        <v>1768</v>
      </c>
      <c r="C1530" t="s">
        <v>2508</v>
      </c>
      <c r="E1530" t="s">
        <v>1770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1018.56</v>
      </c>
      <c r="L1530" s="4">
        <v>0</v>
      </c>
      <c r="M1530" s="4">
        <v>0</v>
      </c>
      <c r="N1530" s="4">
        <f>SUM(Table1[[#This Row],[2025]:[2018]])</f>
        <v>1018.56</v>
      </c>
      <c r="O1530" s="2">
        <f>Table1[[#This Row],[ttl]]/SUM(Table1[ttl])</f>
        <v>2.0538539046146478E-6</v>
      </c>
      <c r="P1530" s="3">
        <f>SUM($O$2:Table1[[#This Row],[pctAllTimeExp]])</f>
        <v>0.99930974663706051</v>
      </c>
      <c r="Q1530" t="b">
        <f>Table1[[#This Row],[cumPctAllTimeExp]]&lt;0.95</f>
        <v>0</v>
      </c>
    </row>
    <row r="1531" spans="1:17" x14ac:dyDescent="0.25">
      <c r="A1531">
        <v>1503</v>
      </c>
      <c r="C1531" t="s">
        <v>2508</v>
      </c>
      <c r="E1531" t="s">
        <v>1505</v>
      </c>
      <c r="F1531" s="4">
        <v>0</v>
      </c>
      <c r="G1531" s="4">
        <v>0</v>
      </c>
      <c r="H1531" s="4">
        <v>0</v>
      </c>
      <c r="I1531" s="4">
        <v>0</v>
      </c>
      <c r="J1531" s="4">
        <v>683</v>
      </c>
      <c r="K1531" s="4">
        <v>0</v>
      </c>
      <c r="L1531" s="4">
        <v>0</v>
      </c>
      <c r="M1531" s="4">
        <v>335.5</v>
      </c>
      <c r="N1531" s="4">
        <f>SUM(Table1[[#This Row],[2025]:[2018]])</f>
        <v>1018.5</v>
      </c>
      <c r="O1531" s="2">
        <f>Table1[[#This Row],[ttl]]/SUM(Table1[ttl])</f>
        <v>2.0537329188756861E-6</v>
      </c>
      <c r="P1531" s="3">
        <f>SUM($O$2:Table1[[#This Row],[pctAllTimeExp]])</f>
        <v>0.99931180036997935</v>
      </c>
      <c r="Q1531" t="b">
        <f>Table1[[#This Row],[cumPctAllTimeExp]]&lt;0.95</f>
        <v>0</v>
      </c>
    </row>
    <row r="1532" spans="1:17" x14ac:dyDescent="0.25">
      <c r="A1532">
        <v>470</v>
      </c>
      <c r="C1532" t="s">
        <v>2508</v>
      </c>
      <c r="E1532" t="s">
        <v>472</v>
      </c>
      <c r="F1532" s="4">
        <v>1017.48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f>SUM(Table1[[#This Row],[2025]:[2018]])</f>
        <v>1017.48</v>
      </c>
      <c r="O1532" s="2">
        <f>Table1[[#This Row],[ttl]]/SUM(Table1[ttl])</f>
        <v>2.0516761613133366E-6</v>
      </c>
      <c r="P1532" s="3">
        <f>SUM($O$2:Table1[[#This Row],[pctAllTimeExp]])</f>
        <v>0.99931385204614065</v>
      </c>
      <c r="Q1532" t="b">
        <f>Table1[[#This Row],[cumPctAllTimeExp]]&lt;0.95</f>
        <v>0</v>
      </c>
    </row>
    <row r="1533" spans="1:17" x14ac:dyDescent="0.25">
      <c r="A1533">
        <v>473</v>
      </c>
      <c r="C1533" t="s">
        <v>2508</v>
      </c>
      <c r="E1533" t="s">
        <v>475</v>
      </c>
      <c r="F1533" s="4">
        <v>1000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f>SUM(Table1[[#This Row],[2025]:[2018]])</f>
        <v>1000</v>
      </c>
      <c r="O1533" s="2">
        <f>Table1[[#This Row],[ttl]]/SUM(Table1[ttl])</f>
        <v>2.0164289826958136E-6</v>
      </c>
      <c r="P1533" s="3">
        <f>SUM($O$2:Table1[[#This Row],[pctAllTimeExp]])</f>
        <v>0.99931586847512333</v>
      </c>
      <c r="Q1533" t="b">
        <f>Table1[[#This Row],[cumPctAllTimeExp]]&lt;0.95</f>
        <v>0</v>
      </c>
    </row>
    <row r="1534" spans="1:17" x14ac:dyDescent="0.25">
      <c r="A1534">
        <v>476</v>
      </c>
      <c r="C1534" t="s">
        <v>2508</v>
      </c>
      <c r="E1534" t="s">
        <v>478</v>
      </c>
      <c r="F1534" s="4">
        <v>1000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f>SUM(Table1[[#This Row],[2025]:[2018]])</f>
        <v>1000</v>
      </c>
      <c r="O1534" s="2">
        <f>Table1[[#This Row],[ttl]]/SUM(Table1[ttl])</f>
        <v>2.0164289826958136E-6</v>
      </c>
      <c r="P1534" s="3">
        <f>SUM($O$2:Table1[[#This Row],[pctAllTimeExp]])</f>
        <v>0.999317884904106</v>
      </c>
      <c r="Q1534" t="b">
        <f>Table1[[#This Row],[cumPctAllTimeExp]]&lt;0.95</f>
        <v>0</v>
      </c>
    </row>
    <row r="1535" spans="1:17" x14ac:dyDescent="0.25">
      <c r="A1535">
        <v>552</v>
      </c>
      <c r="C1535" t="s">
        <v>2508</v>
      </c>
      <c r="E1535" t="s">
        <v>554</v>
      </c>
      <c r="F1535" s="4">
        <v>500</v>
      </c>
      <c r="G1535" s="4">
        <v>500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f>SUM(Table1[[#This Row],[2025]:[2018]])</f>
        <v>1000</v>
      </c>
      <c r="O1535" s="2">
        <f>Table1[[#This Row],[ttl]]/SUM(Table1[ttl])</f>
        <v>2.0164289826958136E-6</v>
      </c>
      <c r="P1535" s="3">
        <f>SUM($O$2:Table1[[#This Row],[pctAllTimeExp]])</f>
        <v>0.99931990133308868</v>
      </c>
      <c r="Q1535" t="b">
        <f>Table1[[#This Row],[cumPctAllTimeExp]]&lt;0.95</f>
        <v>0</v>
      </c>
    </row>
    <row r="1536" spans="1:17" x14ac:dyDescent="0.25">
      <c r="A1536">
        <v>835</v>
      </c>
      <c r="C1536" t="s">
        <v>2508</v>
      </c>
      <c r="E1536" t="s">
        <v>837</v>
      </c>
      <c r="F1536" s="4">
        <v>0</v>
      </c>
      <c r="G1536" s="4">
        <v>1000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f>SUM(Table1[[#This Row],[2025]:[2018]])</f>
        <v>1000</v>
      </c>
      <c r="O1536" s="2">
        <f>Table1[[#This Row],[ttl]]/SUM(Table1[ttl])</f>
        <v>2.0164289826958136E-6</v>
      </c>
      <c r="P1536" s="3">
        <f>SUM($O$2:Table1[[#This Row],[pctAllTimeExp]])</f>
        <v>0.99932191776207135</v>
      </c>
      <c r="Q1536" t="b">
        <f>Table1[[#This Row],[cumPctAllTimeExp]]&lt;0.95</f>
        <v>0</v>
      </c>
    </row>
    <row r="1537" spans="1:17" x14ac:dyDescent="0.25">
      <c r="A1537">
        <v>876</v>
      </c>
      <c r="C1537" t="s">
        <v>2508</v>
      </c>
      <c r="E1537" t="s">
        <v>878</v>
      </c>
      <c r="F1537" s="4">
        <v>0</v>
      </c>
      <c r="G1537" s="4">
        <v>500</v>
      </c>
      <c r="H1537" s="4">
        <v>500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f>SUM(Table1[[#This Row],[2025]:[2018]])</f>
        <v>1000</v>
      </c>
      <c r="O1537" s="2">
        <f>Table1[[#This Row],[ttl]]/SUM(Table1[ttl])</f>
        <v>2.0164289826958136E-6</v>
      </c>
      <c r="P1537" s="3">
        <f>SUM($O$2:Table1[[#This Row],[pctAllTimeExp]])</f>
        <v>0.99932393419105403</v>
      </c>
      <c r="Q1537" t="b">
        <f>Table1[[#This Row],[cumPctAllTimeExp]]&lt;0.95</f>
        <v>0</v>
      </c>
    </row>
    <row r="1538" spans="1:17" x14ac:dyDescent="0.25">
      <c r="A1538">
        <v>895</v>
      </c>
      <c r="C1538" t="s">
        <v>2508</v>
      </c>
      <c r="E1538" t="s">
        <v>897</v>
      </c>
      <c r="F1538" s="4">
        <v>0</v>
      </c>
      <c r="G1538" s="4">
        <v>350</v>
      </c>
      <c r="H1538" s="4">
        <v>350</v>
      </c>
      <c r="I1538" s="4">
        <v>0</v>
      </c>
      <c r="J1538" s="4">
        <v>0</v>
      </c>
      <c r="K1538" s="4">
        <v>150</v>
      </c>
      <c r="L1538" s="4">
        <v>150</v>
      </c>
      <c r="M1538" s="4">
        <v>0</v>
      </c>
      <c r="N1538" s="4">
        <f>SUM(Table1[[#This Row],[2025]:[2018]])</f>
        <v>1000</v>
      </c>
      <c r="O1538" s="2">
        <f>Table1[[#This Row],[ttl]]/SUM(Table1[ttl])</f>
        <v>2.0164289826958136E-6</v>
      </c>
      <c r="P1538" s="3">
        <f>SUM($O$2:Table1[[#This Row],[pctAllTimeExp]])</f>
        <v>0.99932595062003671</v>
      </c>
      <c r="Q1538" t="b">
        <f>Table1[[#This Row],[cumPctAllTimeExp]]&lt;0.95</f>
        <v>0</v>
      </c>
    </row>
    <row r="1539" spans="1:17" x14ac:dyDescent="0.25">
      <c r="A1539">
        <v>1281</v>
      </c>
      <c r="C1539" t="s">
        <v>2508</v>
      </c>
      <c r="E1539" t="s">
        <v>1283</v>
      </c>
      <c r="F1539" s="4">
        <v>0</v>
      </c>
      <c r="G1539" s="4">
        <v>0</v>
      </c>
      <c r="H1539" s="4">
        <v>0</v>
      </c>
      <c r="I1539" s="4">
        <v>1000</v>
      </c>
      <c r="J1539" s="4">
        <v>0</v>
      </c>
      <c r="K1539" s="4">
        <v>0</v>
      </c>
      <c r="L1539" s="4">
        <v>0</v>
      </c>
      <c r="M1539" s="4">
        <v>0</v>
      </c>
      <c r="N1539" s="4">
        <f>SUM(Table1[[#This Row],[2025]:[2018]])</f>
        <v>1000</v>
      </c>
      <c r="O1539" s="2">
        <f>Table1[[#This Row],[ttl]]/SUM(Table1[ttl])</f>
        <v>2.0164289826958136E-6</v>
      </c>
      <c r="P1539" s="3">
        <f>SUM($O$2:Table1[[#This Row],[pctAllTimeExp]])</f>
        <v>0.99932796704901938</v>
      </c>
      <c r="Q1539" t="b">
        <f>Table1[[#This Row],[cumPctAllTimeExp]]&lt;0.95</f>
        <v>0</v>
      </c>
    </row>
    <row r="1540" spans="1:17" x14ac:dyDescent="0.25">
      <c r="A1540">
        <v>1769</v>
      </c>
      <c r="C1540" t="s">
        <v>2508</v>
      </c>
      <c r="E1540" t="s">
        <v>1771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1000</v>
      </c>
      <c r="L1540" s="4">
        <v>0</v>
      </c>
      <c r="M1540" s="4">
        <v>0</v>
      </c>
      <c r="N1540" s="4">
        <f>SUM(Table1[[#This Row],[2025]:[2018]])</f>
        <v>1000</v>
      </c>
      <c r="O1540" s="2">
        <f>Table1[[#This Row],[ttl]]/SUM(Table1[ttl])</f>
        <v>2.0164289826958136E-6</v>
      </c>
      <c r="P1540" s="3">
        <f>SUM($O$2:Table1[[#This Row],[pctAllTimeExp]])</f>
        <v>0.99932998347800206</v>
      </c>
      <c r="Q1540" t="b">
        <f>Table1[[#This Row],[cumPctAllTimeExp]]&lt;0.95</f>
        <v>0</v>
      </c>
    </row>
    <row r="1541" spans="1:17" x14ac:dyDescent="0.25">
      <c r="A1541">
        <v>1770</v>
      </c>
      <c r="C1541" t="s">
        <v>2508</v>
      </c>
      <c r="E1541" t="s">
        <v>1772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1000</v>
      </c>
      <c r="L1541" s="4">
        <v>0</v>
      </c>
      <c r="M1541" s="4">
        <v>0</v>
      </c>
      <c r="N1541" s="4">
        <f>SUM(Table1[[#This Row],[2025]:[2018]])</f>
        <v>1000</v>
      </c>
      <c r="O1541" s="2">
        <f>Table1[[#This Row],[ttl]]/SUM(Table1[ttl])</f>
        <v>2.0164289826958136E-6</v>
      </c>
      <c r="P1541" s="3">
        <f>SUM($O$2:Table1[[#This Row],[pctAllTimeExp]])</f>
        <v>0.99933199990698474</v>
      </c>
      <c r="Q1541" t="b">
        <f>Table1[[#This Row],[cumPctAllTimeExp]]&lt;0.95</f>
        <v>0</v>
      </c>
    </row>
    <row r="1542" spans="1:17" x14ac:dyDescent="0.25">
      <c r="A1542">
        <v>2334</v>
      </c>
      <c r="C1542" t="s">
        <v>2508</v>
      </c>
      <c r="E1542" t="s">
        <v>2336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1000</v>
      </c>
      <c r="N1542" s="4">
        <f>SUM(Table1[[#This Row],[2025]:[2018]])</f>
        <v>1000</v>
      </c>
      <c r="O1542" s="2">
        <f>Table1[[#This Row],[ttl]]/SUM(Table1[ttl])</f>
        <v>2.0164289826958136E-6</v>
      </c>
      <c r="P1542" s="3">
        <f>SUM($O$2:Table1[[#This Row],[pctAllTimeExp]])</f>
        <v>0.99933401633596741</v>
      </c>
      <c r="Q1542" t="b">
        <f>Table1[[#This Row],[cumPctAllTimeExp]]&lt;0.95</f>
        <v>0</v>
      </c>
    </row>
    <row r="1543" spans="1:17" x14ac:dyDescent="0.25">
      <c r="A1543">
        <v>2335</v>
      </c>
      <c r="C1543" t="s">
        <v>2508</v>
      </c>
      <c r="E1543" t="s">
        <v>2337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1000</v>
      </c>
      <c r="N1543" s="4">
        <f>SUM(Table1[[#This Row],[2025]:[2018]])</f>
        <v>1000</v>
      </c>
      <c r="O1543" s="2">
        <f>Table1[[#This Row],[ttl]]/SUM(Table1[ttl])</f>
        <v>2.0164289826958136E-6</v>
      </c>
      <c r="P1543" s="3">
        <f>SUM($O$2:Table1[[#This Row],[pctAllTimeExp]])</f>
        <v>0.99933603276495009</v>
      </c>
      <c r="Q1543" t="b">
        <f>Table1[[#This Row],[cumPctAllTimeExp]]&lt;0.95</f>
        <v>0</v>
      </c>
    </row>
    <row r="1544" spans="1:17" x14ac:dyDescent="0.25">
      <c r="A1544">
        <v>2336</v>
      </c>
      <c r="C1544" t="s">
        <v>2508</v>
      </c>
      <c r="E1544" t="s">
        <v>2338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1000</v>
      </c>
      <c r="N1544" s="4">
        <f>SUM(Table1[[#This Row],[2025]:[2018]])</f>
        <v>1000</v>
      </c>
      <c r="O1544" s="2">
        <f>Table1[[#This Row],[ttl]]/SUM(Table1[ttl])</f>
        <v>2.0164289826958136E-6</v>
      </c>
      <c r="P1544" s="3">
        <f>SUM($O$2:Table1[[#This Row],[pctAllTimeExp]])</f>
        <v>0.99933804919393276</v>
      </c>
      <c r="Q1544" t="b">
        <f>Table1[[#This Row],[cumPctAllTimeExp]]&lt;0.95</f>
        <v>0</v>
      </c>
    </row>
    <row r="1545" spans="1:17" x14ac:dyDescent="0.25">
      <c r="A1545">
        <v>837</v>
      </c>
      <c r="C1545" t="s">
        <v>2508</v>
      </c>
      <c r="E1545" t="s">
        <v>839</v>
      </c>
      <c r="F1545" s="4">
        <v>0</v>
      </c>
      <c r="G1545" s="4">
        <v>997.72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f>SUM(Table1[[#This Row],[2025]:[2018]])</f>
        <v>997.72</v>
      </c>
      <c r="O1545" s="2">
        <f>Table1[[#This Row],[ttl]]/SUM(Table1[ttl])</f>
        <v>2.0118315246152669E-6</v>
      </c>
      <c r="P1545" s="3">
        <f>SUM($O$2:Table1[[#This Row],[pctAllTimeExp]])</f>
        <v>0.99934006102545736</v>
      </c>
      <c r="Q1545" t="b">
        <f>Table1[[#This Row],[cumPctAllTimeExp]]&lt;0.95</f>
        <v>0</v>
      </c>
    </row>
    <row r="1546" spans="1:17" x14ac:dyDescent="0.25">
      <c r="A1546">
        <v>838</v>
      </c>
      <c r="C1546" t="s">
        <v>2508</v>
      </c>
      <c r="E1546" t="s">
        <v>840</v>
      </c>
      <c r="F1546" s="4">
        <v>0</v>
      </c>
      <c r="G1546" s="4">
        <v>996.4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f>SUM(Table1[[#This Row],[2025]:[2018]])</f>
        <v>996.4</v>
      </c>
      <c r="O1546" s="2">
        <f>Table1[[#This Row],[ttl]]/SUM(Table1[ttl])</f>
        <v>2.0091698383581084E-6</v>
      </c>
      <c r="P1546" s="3">
        <f>SUM($O$2:Table1[[#This Row],[pctAllTimeExp]])</f>
        <v>0.99934207019529575</v>
      </c>
      <c r="Q1546" t="b">
        <f>Table1[[#This Row],[cumPctAllTimeExp]]&lt;0.95</f>
        <v>0</v>
      </c>
    </row>
    <row r="1547" spans="1:17" x14ac:dyDescent="0.25">
      <c r="A1547">
        <v>1486</v>
      </c>
      <c r="C1547" t="s">
        <v>2508</v>
      </c>
      <c r="E1547" t="s">
        <v>1488</v>
      </c>
      <c r="F1547" s="4">
        <v>0</v>
      </c>
      <c r="G1547" s="4">
        <v>0</v>
      </c>
      <c r="H1547" s="4">
        <v>0</v>
      </c>
      <c r="I1547" s="4">
        <v>0</v>
      </c>
      <c r="J1547" s="4">
        <v>995.41</v>
      </c>
      <c r="K1547" s="4">
        <v>0</v>
      </c>
      <c r="L1547" s="4">
        <v>0</v>
      </c>
      <c r="M1547" s="4">
        <v>0</v>
      </c>
      <c r="N1547" s="4">
        <f>SUM(Table1[[#This Row],[2025]:[2018]])</f>
        <v>995.41</v>
      </c>
      <c r="O1547" s="2">
        <f>Table1[[#This Row],[ttl]]/SUM(Table1[ttl])</f>
        <v>2.0071735736652395E-6</v>
      </c>
      <c r="P1547" s="3">
        <f>SUM($O$2:Table1[[#This Row],[pctAllTimeExp]])</f>
        <v>0.99934407736886943</v>
      </c>
      <c r="Q1547" t="b">
        <f>Table1[[#This Row],[cumPctAllTimeExp]]&lt;0.95</f>
        <v>0</v>
      </c>
    </row>
    <row r="1548" spans="1:17" x14ac:dyDescent="0.25">
      <c r="A1548">
        <v>1560</v>
      </c>
      <c r="C1548" t="s">
        <v>2508</v>
      </c>
      <c r="E1548" t="s">
        <v>1562</v>
      </c>
      <c r="F1548" s="4">
        <v>0</v>
      </c>
      <c r="G1548" s="4">
        <v>0</v>
      </c>
      <c r="H1548" s="4">
        <v>0</v>
      </c>
      <c r="I1548" s="4">
        <v>0</v>
      </c>
      <c r="J1548" s="4">
        <v>240</v>
      </c>
      <c r="K1548" s="4">
        <v>425.3</v>
      </c>
      <c r="L1548" s="4">
        <v>270</v>
      </c>
      <c r="M1548" s="4">
        <v>60</v>
      </c>
      <c r="N1548" s="4">
        <f>SUM(Table1[[#This Row],[2025]:[2018]])</f>
        <v>995.3</v>
      </c>
      <c r="O1548" s="2">
        <f>Table1[[#This Row],[ttl]]/SUM(Table1[ttl])</f>
        <v>2.0069517664771431E-6</v>
      </c>
      <c r="P1548" s="3">
        <f>SUM($O$2:Table1[[#This Row],[pctAllTimeExp]])</f>
        <v>0.99934608432063587</v>
      </c>
      <c r="Q1548" t="b">
        <f>Table1[[#This Row],[cumPctAllTimeExp]]&lt;0.95</f>
        <v>0</v>
      </c>
    </row>
    <row r="1549" spans="1:17" x14ac:dyDescent="0.25">
      <c r="A1549">
        <v>1771</v>
      </c>
      <c r="C1549" t="s">
        <v>2508</v>
      </c>
      <c r="E1549" t="s">
        <v>1773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995</v>
      </c>
      <c r="L1549" s="4">
        <v>0</v>
      </c>
      <c r="M1549" s="4">
        <v>0</v>
      </c>
      <c r="N1549" s="4">
        <f>SUM(Table1[[#This Row],[2025]:[2018]])</f>
        <v>995</v>
      </c>
      <c r="O1549" s="2">
        <f>Table1[[#This Row],[ttl]]/SUM(Table1[ttl])</f>
        <v>2.0063468377823346E-6</v>
      </c>
      <c r="P1549" s="3">
        <f>SUM($O$2:Table1[[#This Row],[pctAllTimeExp]])</f>
        <v>0.99934809066747365</v>
      </c>
      <c r="Q1549" t="b">
        <f>Table1[[#This Row],[cumPctAllTimeExp]]&lt;0.95</f>
        <v>0</v>
      </c>
    </row>
    <row r="1550" spans="1:17" x14ac:dyDescent="0.25">
      <c r="A1550">
        <v>2337</v>
      </c>
      <c r="C1550" t="s">
        <v>2508</v>
      </c>
      <c r="E1550" t="s">
        <v>2339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995</v>
      </c>
      <c r="N1550" s="4">
        <f>SUM(Table1[[#This Row],[2025]:[2018]])</f>
        <v>995</v>
      </c>
      <c r="O1550" s="2">
        <f>Table1[[#This Row],[ttl]]/SUM(Table1[ttl])</f>
        <v>2.0063468377823346E-6</v>
      </c>
      <c r="P1550" s="3">
        <f>SUM($O$2:Table1[[#This Row],[pctAllTimeExp]])</f>
        <v>0.99935009701431143</v>
      </c>
      <c r="Q1550" t="b">
        <f>Table1[[#This Row],[cumPctAllTimeExp]]&lt;0.95</f>
        <v>0</v>
      </c>
    </row>
    <row r="1551" spans="1:17" x14ac:dyDescent="0.25">
      <c r="A1551">
        <v>1087</v>
      </c>
      <c r="C1551" t="s">
        <v>2508</v>
      </c>
      <c r="E1551" t="s">
        <v>1089</v>
      </c>
      <c r="F1551" s="4">
        <v>0</v>
      </c>
      <c r="G1551" s="4">
        <v>0</v>
      </c>
      <c r="H1551" s="4">
        <v>994.06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f>SUM(Table1[[#This Row],[2025]:[2018]])</f>
        <v>994.06</v>
      </c>
      <c r="O1551" s="2">
        <f>Table1[[#This Row],[ttl]]/SUM(Table1[ttl])</f>
        <v>2.0044513945386004E-6</v>
      </c>
      <c r="P1551" s="3">
        <f>SUM($O$2:Table1[[#This Row],[pctAllTimeExp]])</f>
        <v>0.99935210146570597</v>
      </c>
      <c r="Q1551" t="b">
        <f>Table1[[#This Row],[cumPctAllTimeExp]]&lt;0.95</f>
        <v>0</v>
      </c>
    </row>
    <row r="1552" spans="1:17" x14ac:dyDescent="0.25">
      <c r="A1552">
        <v>2082</v>
      </c>
      <c r="C1552" t="s">
        <v>2508</v>
      </c>
      <c r="E1552" t="s">
        <v>2084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990</v>
      </c>
      <c r="M1552" s="4">
        <v>0</v>
      </c>
      <c r="N1552" s="4">
        <f>SUM(Table1[[#This Row],[2025]:[2018]])</f>
        <v>990</v>
      </c>
      <c r="O1552" s="2">
        <f>Table1[[#This Row],[ttl]]/SUM(Table1[ttl])</f>
        <v>1.9962646928688551E-6</v>
      </c>
      <c r="P1552" s="3">
        <f>SUM($O$2:Table1[[#This Row],[pctAllTimeExp]])</f>
        <v>0.99935409773039885</v>
      </c>
      <c r="Q1552" t="b">
        <f>Table1[[#This Row],[cumPctAllTimeExp]]&lt;0.95</f>
        <v>0</v>
      </c>
    </row>
    <row r="1553" spans="1:17" x14ac:dyDescent="0.25">
      <c r="A1553">
        <v>2208</v>
      </c>
      <c r="C1553" t="s">
        <v>2508</v>
      </c>
      <c r="E1553" t="s">
        <v>2210</v>
      </c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93.15</v>
      </c>
      <c r="M1553" s="4">
        <v>885.73</v>
      </c>
      <c r="N1553" s="4">
        <f>SUM(Table1[[#This Row],[2025]:[2018]])</f>
        <v>978.88</v>
      </c>
      <c r="O1553" s="2">
        <f>Table1[[#This Row],[ttl]]/SUM(Table1[ttl])</f>
        <v>1.9738420025812778E-6</v>
      </c>
      <c r="P1553" s="3">
        <f>SUM($O$2:Table1[[#This Row],[pctAllTimeExp]])</f>
        <v>0.99935607157240147</v>
      </c>
      <c r="Q1553" t="b">
        <f>Table1[[#This Row],[cumPctAllTimeExp]]&lt;0.95</f>
        <v>0</v>
      </c>
    </row>
    <row r="1554" spans="1:17" x14ac:dyDescent="0.25">
      <c r="A1554">
        <v>890</v>
      </c>
      <c r="C1554" t="s">
        <v>2508</v>
      </c>
      <c r="E1554" t="s">
        <v>892</v>
      </c>
      <c r="F1554" s="4">
        <v>0</v>
      </c>
      <c r="G1554" s="4">
        <v>400</v>
      </c>
      <c r="H1554" s="4">
        <v>0</v>
      </c>
      <c r="I1554" s="4">
        <v>0</v>
      </c>
      <c r="J1554" s="4">
        <v>0</v>
      </c>
      <c r="K1554" s="4">
        <v>300</v>
      </c>
      <c r="L1554" s="4">
        <v>275</v>
      </c>
      <c r="M1554" s="4">
        <v>0</v>
      </c>
      <c r="N1554" s="4">
        <f>SUM(Table1[[#This Row],[2025]:[2018]])</f>
        <v>975</v>
      </c>
      <c r="O1554" s="2">
        <f>Table1[[#This Row],[ttl]]/SUM(Table1[ttl])</f>
        <v>1.9660182581284181E-6</v>
      </c>
      <c r="P1554" s="3">
        <f>SUM($O$2:Table1[[#This Row],[pctAllTimeExp]])</f>
        <v>0.99935803759065955</v>
      </c>
      <c r="Q1554" t="b">
        <f>Table1[[#This Row],[cumPctAllTimeExp]]&lt;0.95</f>
        <v>0</v>
      </c>
    </row>
    <row r="1555" spans="1:17" x14ac:dyDescent="0.25">
      <c r="A1555">
        <v>1090</v>
      </c>
      <c r="C1555" t="s">
        <v>2508</v>
      </c>
      <c r="E1555" t="s">
        <v>1092</v>
      </c>
      <c r="F1555" s="4">
        <v>0</v>
      </c>
      <c r="G1555" s="4">
        <v>0</v>
      </c>
      <c r="H1555" s="4">
        <v>975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f>SUM(Table1[[#This Row],[2025]:[2018]])</f>
        <v>975</v>
      </c>
      <c r="O1555" s="2">
        <f>Table1[[#This Row],[ttl]]/SUM(Table1[ttl])</f>
        <v>1.9660182581284181E-6</v>
      </c>
      <c r="P1555" s="3">
        <f>SUM($O$2:Table1[[#This Row],[pctAllTimeExp]])</f>
        <v>0.99936000360891764</v>
      </c>
      <c r="Q1555" t="b">
        <f>Table1[[#This Row],[cumPctAllTimeExp]]&lt;0.95</f>
        <v>0</v>
      </c>
    </row>
    <row r="1556" spans="1:17" x14ac:dyDescent="0.25">
      <c r="A1556">
        <v>2083</v>
      </c>
      <c r="C1556" t="s">
        <v>2508</v>
      </c>
      <c r="E1556" t="s">
        <v>2085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975</v>
      </c>
      <c r="M1556" s="4">
        <v>0</v>
      </c>
      <c r="N1556" s="4">
        <f>SUM(Table1[[#This Row],[2025]:[2018]])</f>
        <v>975</v>
      </c>
      <c r="O1556" s="2">
        <f>Table1[[#This Row],[ttl]]/SUM(Table1[ttl])</f>
        <v>1.9660182581284181E-6</v>
      </c>
      <c r="P1556" s="3">
        <f>SUM($O$2:Table1[[#This Row],[pctAllTimeExp]])</f>
        <v>0.99936196962717572</v>
      </c>
      <c r="Q1556" t="b">
        <f>Table1[[#This Row],[cumPctAllTimeExp]]&lt;0.95</f>
        <v>0</v>
      </c>
    </row>
    <row r="1557" spans="1:17" x14ac:dyDescent="0.25">
      <c r="A1557">
        <v>1773</v>
      </c>
      <c r="C1557" t="s">
        <v>2508</v>
      </c>
      <c r="E1557" t="s">
        <v>1775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972</v>
      </c>
      <c r="L1557" s="4">
        <v>0</v>
      </c>
      <c r="M1557" s="4">
        <v>0</v>
      </c>
      <c r="N1557" s="4">
        <f>SUM(Table1[[#This Row],[2025]:[2018]])</f>
        <v>972</v>
      </c>
      <c r="O1557" s="2">
        <f>Table1[[#This Row],[ttl]]/SUM(Table1[ttl])</f>
        <v>1.9599689711803308E-6</v>
      </c>
      <c r="P1557" s="3">
        <f>SUM($O$2:Table1[[#This Row],[pctAllTimeExp]])</f>
        <v>0.99936392959614695</v>
      </c>
      <c r="Q1557" t="b">
        <f>Table1[[#This Row],[cumPctAllTimeExp]]&lt;0.95</f>
        <v>0</v>
      </c>
    </row>
    <row r="1558" spans="1:17" x14ac:dyDescent="0.25">
      <c r="A1558">
        <v>2338</v>
      </c>
      <c r="C1558" t="s">
        <v>2508</v>
      </c>
      <c r="E1558" t="s">
        <v>2340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964.08</v>
      </c>
      <c r="N1558" s="4">
        <f>SUM(Table1[[#This Row],[2025]:[2018]])</f>
        <v>964.08</v>
      </c>
      <c r="O1558" s="2">
        <f>Table1[[#This Row],[ttl]]/SUM(Table1[ttl])</f>
        <v>1.9439988536373799E-6</v>
      </c>
      <c r="P1558" s="3">
        <f>SUM($O$2:Table1[[#This Row],[pctAllTimeExp]])</f>
        <v>0.99936587359500062</v>
      </c>
      <c r="Q1558" t="b">
        <f>Table1[[#This Row],[cumPctAllTimeExp]]&lt;0.95</f>
        <v>0</v>
      </c>
    </row>
    <row r="1559" spans="1:17" x14ac:dyDescent="0.25">
      <c r="A1559">
        <v>1109</v>
      </c>
      <c r="C1559" t="s">
        <v>2508</v>
      </c>
      <c r="E1559" t="s">
        <v>1111</v>
      </c>
      <c r="F1559" s="4">
        <v>0</v>
      </c>
      <c r="G1559" s="4">
        <v>0</v>
      </c>
      <c r="H1559" s="4">
        <v>663.6</v>
      </c>
      <c r="I1559" s="4">
        <v>300</v>
      </c>
      <c r="J1559" s="4">
        <v>0</v>
      </c>
      <c r="K1559" s="4">
        <v>0</v>
      </c>
      <c r="L1559" s="4">
        <v>0</v>
      </c>
      <c r="M1559" s="4">
        <v>0</v>
      </c>
      <c r="N1559" s="4">
        <f>SUM(Table1[[#This Row],[2025]:[2018]])</f>
        <v>963.6</v>
      </c>
      <c r="O1559" s="2">
        <f>Table1[[#This Row],[ttl]]/SUM(Table1[ttl])</f>
        <v>1.9430309677256858E-6</v>
      </c>
      <c r="P1559" s="3">
        <f>SUM($O$2:Table1[[#This Row],[pctAllTimeExp]])</f>
        <v>0.9993678166259683</v>
      </c>
      <c r="Q1559" t="b">
        <f>Table1[[#This Row],[cumPctAllTimeExp]]&lt;0.95</f>
        <v>0</v>
      </c>
    </row>
    <row r="1560" spans="1:17" x14ac:dyDescent="0.25">
      <c r="A1560">
        <v>1816</v>
      </c>
      <c r="C1560" t="s">
        <v>2508</v>
      </c>
      <c r="E1560" t="s">
        <v>1818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440</v>
      </c>
      <c r="L1560" s="4">
        <v>480</v>
      </c>
      <c r="M1560" s="4">
        <v>42.52</v>
      </c>
      <c r="N1560" s="4">
        <f>SUM(Table1[[#This Row],[2025]:[2018]])</f>
        <v>962.52</v>
      </c>
      <c r="O1560" s="2">
        <f>Table1[[#This Row],[ttl]]/SUM(Table1[ttl])</f>
        <v>1.9408532244243742E-6</v>
      </c>
      <c r="P1560" s="3">
        <f>SUM($O$2:Table1[[#This Row],[pctAllTimeExp]])</f>
        <v>0.99936975747919277</v>
      </c>
      <c r="Q1560" t="b">
        <f>Table1[[#This Row],[cumPctAllTimeExp]]&lt;0.95</f>
        <v>0</v>
      </c>
    </row>
    <row r="1561" spans="1:17" x14ac:dyDescent="0.25">
      <c r="A1561">
        <v>523</v>
      </c>
      <c r="C1561" t="s">
        <v>2508</v>
      </c>
      <c r="E1561" t="s">
        <v>525</v>
      </c>
      <c r="F1561" s="4">
        <v>620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340</v>
      </c>
      <c r="N1561" s="4">
        <f>SUM(Table1[[#This Row],[2025]:[2018]])</f>
        <v>960</v>
      </c>
      <c r="O1561" s="2">
        <f>Table1[[#This Row],[ttl]]/SUM(Table1[ttl])</f>
        <v>1.935771823387981E-6</v>
      </c>
      <c r="P1561" s="3">
        <f>SUM($O$2:Table1[[#This Row],[pctAllTimeExp]])</f>
        <v>0.99937169325101616</v>
      </c>
      <c r="Q1561" t="b">
        <f>Table1[[#This Row],[cumPctAllTimeExp]]&lt;0.95</f>
        <v>0</v>
      </c>
    </row>
    <row r="1562" spans="1:17" x14ac:dyDescent="0.25">
      <c r="A1562">
        <v>2084</v>
      </c>
      <c r="C1562" t="s">
        <v>2508</v>
      </c>
      <c r="E1562" t="s">
        <v>2086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960</v>
      </c>
      <c r="M1562" s="4">
        <v>0</v>
      </c>
      <c r="N1562" s="4">
        <f>SUM(Table1[[#This Row],[2025]:[2018]])</f>
        <v>960</v>
      </c>
      <c r="O1562" s="2">
        <f>Table1[[#This Row],[ttl]]/SUM(Table1[ttl])</f>
        <v>1.935771823387981E-6</v>
      </c>
      <c r="P1562" s="3">
        <f>SUM($O$2:Table1[[#This Row],[pctAllTimeExp]])</f>
        <v>0.99937362902283955</v>
      </c>
      <c r="Q1562" t="b">
        <f>Table1[[#This Row],[cumPctAllTimeExp]]&lt;0.95</f>
        <v>0</v>
      </c>
    </row>
    <row r="1563" spans="1:17" x14ac:dyDescent="0.25">
      <c r="A1563">
        <v>510</v>
      </c>
      <c r="C1563" t="s">
        <v>2508</v>
      </c>
      <c r="E1563" t="s">
        <v>512</v>
      </c>
      <c r="F1563" s="4">
        <v>722.5</v>
      </c>
      <c r="G1563" s="4">
        <v>235.46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f>SUM(Table1[[#This Row],[2025]:[2018]])</f>
        <v>957.96</v>
      </c>
      <c r="O1563" s="2">
        <f>Table1[[#This Row],[ttl]]/SUM(Table1[ttl])</f>
        <v>1.9316583082632816E-6</v>
      </c>
      <c r="P1563" s="3">
        <f>SUM($O$2:Table1[[#This Row],[pctAllTimeExp]])</f>
        <v>0.99937556068114786</v>
      </c>
      <c r="Q1563" t="b">
        <f>Table1[[#This Row],[cumPctAllTimeExp]]&lt;0.95</f>
        <v>0</v>
      </c>
    </row>
    <row r="1564" spans="1:17" x14ac:dyDescent="0.25">
      <c r="A1564">
        <v>1091</v>
      </c>
      <c r="C1564" t="s">
        <v>2508</v>
      </c>
      <c r="E1564" t="s">
        <v>1093</v>
      </c>
      <c r="F1564" s="4">
        <v>0</v>
      </c>
      <c r="G1564" s="4">
        <v>0</v>
      </c>
      <c r="H1564" s="4">
        <v>955.6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f>SUM(Table1[[#This Row],[2025]:[2018]])</f>
        <v>955.6</v>
      </c>
      <c r="O1564" s="2">
        <f>Table1[[#This Row],[ttl]]/SUM(Table1[ttl])</f>
        <v>1.9268995358641195E-6</v>
      </c>
      <c r="P1564" s="3">
        <f>SUM($O$2:Table1[[#This Row],[pctAllTimeExp]])</f>
        <v>0.99937748758068368</v>
      </c>
      <c r="Q1564" t="b">
        <f>Table1[[#This Row],[cumPctAllTimeExp]]&lt;0.95</f>
        <v>0</v>
      </c>
    </row>
    <row r="1565" spans="1:17" x14ac:dyDescent="0.25">
      <c r="A1565">
        <v>1489</v>
      </c>
      <c r="C1565" t="s">
        <v>2508</v>
      </c>
      <c r="E1565" t="s">
        <v>1491</v>
      </c>
      <c r="F1565" s="4">
        <v>0</v>
      </c>
      <c r="G1565" s="4">
        <v>0</v>
      </c>
      <c r="H1565" s="4">
        <v>0</v>
      </c>
      <c r="I1565" s="4">
        <v>0</v>
      </c>
      <c r="J1565" s="4">
        <v>955</v>
      </c>
      <c r="K1565" s="4">
        <v>0</v>
      </c>
      <c r="L1565" s="4">
        <v>0</v>
      </c>
      <c r="M1565" s="4">
        <v>0</v>
      </c>
      <c r="N1565" s="4">
        <f>SUM(Table1[[#This Row],[2025]:[2018]])</f>
        <v>955</v>
      </c>
      <c r="O1565" s="2">
        <f>Table1[[#This Row],[ttl]]/SUM(Table1[ttl])</f>
        <v>1.925689678474502E-6</v>
      </c>
      <c r="P1565" s="3">
        <f>SUM($O$2:Table1[[#This Row],[pctAllTimeExp]])</f>
        <v>0.99937941327036217</v>
      </c>
      <c r="Q1565" t="b">
        <f>Table1[[#This Row],[cumPctAllTimeExp]]&lt;0.95</f>
        <v>0</v>
      </c>
    </row>
    <row r="1566" spans="1:17" x14ac:dyDescent="0.25">
      <c r="A1566">
        <v>2118</v>
      </c>
      <c r="C1566" t="s">
        <v>2508</v>
      </c>
      <c r="E1566" t="s">
        <v>2120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516.41</v>
      </c>
      <c r="M1566" s="4">
        <v>438.46</v>
      </c>
      <c r="N1566" s="4">
        <f>SUM(Table1[[#This Row],[2025]:[2018]])</f>
        <v>954.86999999999989</v>
      </c>
      <c r="O1566" s="2">
        <f>Table1[[#This Row],[ttl]]/SUM(Table1[ttl])</f>
        <v>1.9254275427067511E-6</v>
      </c>
      <c r="P1566" s="3">
        <f>SUM($O$2:Table1[[#This Row],[pctAllTimeExp]])</f>
        <v>0.99938133869790491</v>
      </c>
      <c r="Q1566" t="b">
        <f>Table1[[#This Row],[cumPctAllTimeExp]]&lt;0.95</f>
        <v>0</v>
      </c>
    </row>
    <row r="1567" spans="1:17" x14ac:dyDescent="0.25">
      <c r="A1567">
        <v>481</v>
      </c>
      <c r="C1567" t="s">
        <v>2508</v>
      </c>
      <c r="E1567" t="s">
        <v>483</v>
      </c>
      <c r="F1567" s="4">
        <v>950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f>SUM(Table1[[#This Row],[2025]:[2018]])</f>
        <v>950</v>
      </c>
      <c r="O1567" s="2">
        <f>Table1[[#This Row],[ttl]]/SUM(Table1[ttl])</f>
        <v>1.915607533561023E-6</v>
      </c>
      <c r="P1567" s="3">
        <f>SUM($O$2:Table1[[#This Row],[pctAllTimeExp]])</f>
        <v>0.99938325430543851</v>
      </c>
      <c r="Q1567" t="b">
        <f>Table1[[#This Row],[cumPctAllTimeExp]]&lt;0.95</f>
        <v>0</v>
      </c>
    </row>
    <row r="1568" spans="1:17" x14ac:dyDescent="0.25">
      <c r="A1568">
        <v>2086</v>
      </c>
      <c r="C1568" t="s">
        <v>2508</v>
      </c>
      <c r="E1568" t="s">
        <v>2088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950</v>
      </c>
      <c r="M1568" s="4">
        <v>0</v>
      </c>
      <c r="N1568" s="4">
        <f>SUM(Table1[[#This Row],[2025]:[2018]])</f>
        <v>950</v>
      </c>
      <c r="O1568" s="2">
        <f>Table1[[#This Row],[ttl]]/SUM(Table1[ttl])</f>
        <v>1.915607533561023E-6</v>
      </c>
      <c r="P1568" s="3">
        <f>SUM($O$2:Table1[[#This Row],[pctAllTimeExp]])</f>
        <v>0.9993851699129721</v>
      </c>
      <c r="Q1568" t="b">
        <f>Table1[[#This Row],[cumPctAllTimeExp]]&lt;0.95</f>
        <v>0</v>
      </c>
    </row>
    <row r="1569" spans="1:17" x14ac:dyDescent="0.25">
      <c r="A1569">
        <v>1857</v>
      </c>
      <c r="C1569" t="s">
        <v>2508</v>
      </c>
      <c r="E1569" t="s">
        <v>1859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230.68</v>
      </c>
      <c r="L1569" s="4">
        <v>236.34</v>
      </c>
      <c r="M1569" s="4">
        <v>472.68</v>
      </c>
      <c r="N1569" s="4">
        <f>SUM(Table1[[#This Row],[2025]:[2018]])</f>
        <v>939.7</v>
      </c>
      <c r="O1569" s="2">
        <f>Table1[[#This Row],[ttl]]/SUM(Table1[ttl])</f>
        <v>1.894838315039256E-6</v>
      </c>
      <c r="P1569" s="3">
        <f>SUM($O$2:Table1[[#This Row],[pctAllTimeExp]])</f>
        <v>0.99938706475128714</v>
      </c>
      <c r="Q1569" t="b">
        <f>Table1[[#This Row],[cumPctAllTimeExp]]&lt;0.95</f>
        <v>0</v>
      </c>
    </row>
    <row r="1570" spans="1:17" x14ac:dyDescent="0.25">
      <c r="A1570">
        <v>2339</v>
      </c>
      <c r="C1570" t="s">
        <v>2508</v>
      </c>
      <c r="E1570" t="s">
        <v>2341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933.75</v>
      </c>
      <c r="N1570" s="4">
        <f>SUM(Table1[[#This Row],[2025]:[2018]])</f>
        <v>933.75</v>
      </c>
      <c r="O1570" s="2">
        <f>Table1[[#This Row],[ttl]]/SUM(Table1[ttl])</f>
        <v>1.8828405625922158E-6</v>
      </c>
      <c r="P1570" s="3">
        <f>SUM($O$2:Table1[[#This Row],[pctAllTimeExp]])</f>
        <v>0.99938894759184971</v>
      </c>
      <c r="Q1570" t="b">
        <f>Table1[[#This Row],[cumPctAllTimeExp]]&lt;0.95</f>
        <v>0</v>
      </c>
    </row>
    <row r="1571" spans="1:17" x14ac:dyDescent="0.25">
      <c r="A1571">
        <v>1515</v>
      </c>
      <c r="C1571" t="s">
        <v>2508</v>
      </c>
      <c r="E1571" t="s">
        <v>1517</v>
      </c>
      <c r="F1571" s="4">
        <v>0</v>
      </c>
      <c r="G1571" s="4">
        <v>0</v>
      </c>
      <c r="H1571" s="4">
        <v>0</v>
      </c>
      <c r="I1571" s="4">
        <v>0</v>
      </c>
      <c r="J1571" s="4">
        <v>566</v>
      </c>
      <c r="K1571" s="4">
        <v>0</v>
      </c>
      <c r="L1571" s="4">
        <v>362.95</v>
      </c>
      <c r="M1571" s="4">
        <v>0</v>
      </c>
      <c r="N1571" s="4">
        <f>SUM(Table1[[#This Row],[2025]:[2018]])</f>
        <v>928.95</v>
      </c>
      <c r="O1571" s="2">
        <f>Table1[[#This Row],[ttl]]/SUM(Table1[ttl])</f>
        <v>1.8731617034752761E-6</v>
      </c>
      <c r="P1571" s="3">
        <f>SUM($O$2:Table1[[#This Row],[pctAllTimeExp]])</f>
        <v>0.99939082075355323</v>
      </c>
      <c r="Q1571" t="b">
        <f>Table1[[#This Row],[cumPctAllTimeExp]]&lt;0.95</f>
        <v>0</v>
      </c>
    </row>
    <row r="1572" spans="1:17" x14ac:dyDescent="0.25">
      <c r="A1572">
        <v>1490</v>
      </c>
      <c r="C1572" t="s">
        <v>2508</v>
      </c>
      <c r="E1572" t="s">
        <v>1492</v>
      </c>
      <c r="F1572" s="4">
        <v>0</v>
      </c>
      <c r="G1572" s="4">
        <v>0</v>
      </c>
      <c r="H1572" s="4">
        <v>0</v>
      </c>
      <c r="I1572" s="4">
        <v>0</v>
      </c>
      <c r="J1572" s="4">
        <v>927.92</v>
      </c>
      <c r="K1572" s="4">
        <v>0</v>
      </c>
      <c r="L1572" s="4">
        <v>0</v>
      </c>
      <c r="M1572" s="4">
        <v>0</v>
      </c>
      <c r="N1572" s="4">
        <f>SUM(Table1[[#This Row],[2025]:[2018]])</f>
        <v>927.92</v>
      </c>
      <c r="O1572" s="2">
        <f>Table1[[#This Row],[ttl]]/SUM(Table1[ttl])</f>
        <v>1.8710847816230992E-6</v>
      </c>
      <c r="P1572" s="3">
        <f>SUM($O$2:Table1[[#This Row],[pctAllTimeExp]])</f>
        <v>0.9993926918383349</v>
      </c>
      <c r="Q1572" t="b">
        <f>Table1[[#This Row],[cumPctAllTimeExp]]&lt;0.95</f>
        <v>0</v>
      </c>
    </row>
    <row r="1573" spans="1:17" x14ac:dyDescent="0.25">
      <c r="A1573">
        <v>1092</v>
      </c>
      <c r="C1573" t="s">
        <v>2508</v>
      </c>
      <c r="E1573" t="s">
        <v>1094</v>
      </c>
      <c r="F1573" s="4">
        <v>0</v>
      </c>
      <c r="G1573" s="4">
        <v>0</v>
      </c>
      <c r="H1573" s="4">
        <v>926.25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f>SUM(Table1[[#This Row],[2025]:[2018]])</f>
        <v>926.25</v>
      </c>
      <c r="O1573" s="2">
        <f>Table1[[#This Row],[ttl]]/SUM(Table1[ttl])</f>
        <v>1.8677173452219972E-6</v>
      </c>
      <c r="P1573" s="3">
        <f>SUM($O$2:Table1[[#This Row],[pctAllTimeExp]])</f>
        <v>0.99939455955568013</v>
      </c>
      <c r="Q1573" t="b">
        <f>Table1[[#This Row],[cumPctAllTimeExp]]&lt;0.95</f>
        <v>0</v>
      </c>
    </row>
    <row r="1574" spans="1:17" x14ac:dyDescent="0.25">
      <c r="A1574">
        <v>1775</v>
      </c>
      <c r="C1574" t="s">
        <v>2508</v>
      </c>
      <c r="E1574" t="s">
        <v>1777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925</v>
      </c>
      <c r="L1574" s="4">
        <v>0</v>
      </c>
      <c r="M1574" s="4">
        <v>0</v>
      </c>
      <c r="N1574" s="4">
        <f>SUM(Table1[[#This Row],[2025]:[2018]])</f>
        <v>925</v>
      </c>
      <c r="O1574" s="2">
        <f>Table1[[#This Row],[ttl]]/SUM(Table1[ttl])</f>
        <v>1.8651968089936275E-6</v>
      </c>
      <c r="P1574" s="3">
        <f>SUM($O$2:Table1[[#This Row],[pctAllTimeExp]])</f>
        <v>0.99939642475248913</v>
      </c>
      <c r="Q1574" t="b">
        <f>Table1[[#This Row],[cumPctAllTimeExp]]&lt;0.95</f>
        <v>0</v>
      </c>
    </row>
    <row r="1575" spans="1:17" x14ac:dyDescent="0.25">
      <c r="A1575">
        <v>1787</v>
      </c>
      <c r="C1575" t="s">
        <v>2508</v>
      </c>
      <c r="E1575" t="s">
        <v>1789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797.89</v>
      </c>
      <c r="L1575" s="4">
        <v>124.43</v>
      </c>
      <c r="M1575" s="4">
        <v>0</v>
      </c>
      <c r="N1575" s="4">
        <f>SUM(Table1[[#This Row],[2025]:[2018]])</f>
        <v>922.31999999999994</v>
      </c>
      <c r="O1575" s="2">
        <f>Table1[[#This Row],[ttl]]/SUM(Table1[ttl])</f>
        <v>1.8597927793200026E-6</v>
      </c>
      <c r="P1575" s="3">
        <f>SUM($O$2:Table1[[#This Row],[pctAllTimeExp]])</f>
        <v>0.99939828454526847</v>
      </c>
      <c r="Q1575" t="b">
        <f>Table1[[#This Row],[cumPctAllTimeExp]]&lt;0.95</f>
        <v>0</v>
      </c>
    </row>
    <row r="1576" spans="1:17" x14ac:dyDescent="0.25">
      <c r="A1576">
        <v>484</v>
      </c>
      <c r="C1576" t="s">
        <v>2508</v>
      </c>
      <c r="E1576" t="s">
        <v>486</v>
      </c>
      <c r="F1576" s="4">
        <v>920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f>SUM(Table1[[#This Row],[2025]:[2018]])</f>
        <v>920</v>
      </c>
      <c r="O1576" s="2">
        <f>Table1[[#This Row],[ttl]]/SUM(Table1[ttl])</f>
        <v>1.8551146640801485E-6</v>
      </c>
      <c r="P1576" s="3">
        <f>SUM($O$2:Table1[[#This Row],[pctAllTimeExp]])</f>
        <v>0.99940013965993257</v>
      </c>
      <c r="Q1576" t="b">
        <f>Table1[[#This Row],[cumPctAllTimeExp]]&lt;0.95</f>
        <v>0</v>
      </c>
    </row>
    <row r="1577" spans="1:17" x14ac:dyDescent="0.25">
      <c r="A1577">
        <v>1283</v>
      </c>
      <c r="C1577" t="s">
        <v>2508</v>
      </c>
      <c r="E1577" t="s">
        <v>1285</v>
      </c>
      <c r="F1577" s="4">
        <v>0</v>
      </c>
      <c r="G1577" s="4">
        <v>0</v>
      </c>
      <c r="H1577" s="4">
        <v>0</v>
      </c>
      <c r="I1577" s="4">
        <v>920</v>
      </c>
      <c r="J1577" s="4">
        <v>0</v>
      </c>
      <c r="K1577" s="4">
        <v>0</v>
      </c>
      <c r="L1577" s="4">
        <v>0</v>
      </c>
      <c r="M1577" s="4">
        <v>0</v>
      </c>
      <c r="N1577" s="4">
        <f>SUM(Table1[[#This Row],[2025]:[2018]])</f>
        <v>920</v>
      </c>
      <c r="O1577" s="2">
        <f>Table1[[#This Row],[ttl]]/SUM(Table1[ttl])</f>
        <v>1.8551146640801485E-6</v>
      </c>
      <c r="P1577" s="3">
        <f>SUM($O$2:Table1[[#This Row],[pctAllTimeExp]])</f>
        <v>0.99940199477459668</v>
      </c>
      <c r="Q1577" t="b">
        <f>Table1[[#This Row],[cumPctAllTimeExp]]&lt;0.95</f>
        <v>0</v>
      </c>
    </row>
    <row r="1578" spans="1:17" x14ac:dyDescent="0.25">
      <c r="A1578">
        <v>2127</v>
      </c>
      <c r="C1578" t="s">
        <v>2508</v>
      </c>
      <c r="E1578" t="s">
        <v>2129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462</v>
      </c>
      <c r="M1578" s="4">
        <v>456</v>
      </c>
      <c r="N1578" s="4">
        <f>SUM(Table1[[#This Row],[2025]:[2018]])</f>
        <v>918</v>
      </c>
      <c r="O1578" s="2">
        <f>Table1[[#This Row],[ttl]]/SUM(Table1[ttl])</f>
        <v>1.8510818061147569E-6</v>
      </c>
      <c r="P1578" s="3">
        <f>SUM($O$2:Table1[[#This Row],[pctAllTimeExp]])</f>
        <v>0.99940384585640285</v>
      </c>
      <c r="Q1578" t="b">
        <f>Table1[[#This Row],[cumPctAllTimeExp]]&lt;0.95</f>
        <v>0</v>
      </c>
    </row>
    <row r="1579" spans="1:17" x14ac:dyDescent="0.25">
      <c r="A1579">
        <v>2340</v>
      </c>
      <c r="C1579" t="s">
        <v>2508</v>
      </c>
      <c r="E1579" t="s">
        <v>2342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912.5</v>
      </c>
      <c r="N1579" s="4">
        <f>SUM(Table1[[#This Row],[2025]:[2018]])</f>
        <v>912.5</v>
      </c>
      <c r="O1579" s="2">
        <f>Table1[[#This Row],[ttl]]/SUM(Table1[ttl])</f>
        <v>1.8399914467099297E-6</v>
      </c>
      <c r="P1579" s="3">
        <f>SUM($O$2:Table1[[#This Row],[pctAllTimeExp]])</f>
        <v>0.99940568584784961</v>
      </c>
      <c r="Q1579" t="b">
        <f>Table1[[#This Row],[cumPctAllTimeExp]]&lt;0.95</f>
        <v>0</v>
      </c>
    </row>
    <row r="1580" spans="1:17" x14ac:dyDescent="0.25">
      <c r="A1580">
        <v>1139</v>
      </c>
      <c r="C1580" t="s">
        <v>2508</v>
      </c>
      <c r="E1580" t="s">
        <v>1141</v>
      </c>
      <c r="F1580" s="4">
        <v>0</v>
      </c>
      <c r="G1580" s="4">
        <v>0</v>
      </c>
      <c r="H1580" s="4">
        <v>310.89999999999998</v>
      </c>
      <c r="I1580" s="4">
        <v>0</v>
      </c>
      <c r="J1580" s="4">
        <v>0</v>
      </c>
      <c r="K1580" s="4">
        <v>0</v>
      </c>
      <c r="L1580" s="4">
        <v>0</v>
      </c>
      <c r="M1580" s="4">
        <v>600</v>
      </c>
      <c r="N1580" s="4">
        <f>SUM(Table1[[#This Row],[2025]:[2018]])</f>
        <v>910.9</v>
      </c>
      <c r="O1580" s="2">
        <f>Table1[[#This Row],[ttl]]/SUM(Table1[ttl])</f>
        <v>1.8367651603376165E-6</v>
      </c>
      <c r="P1580" s="3">
        <f>SUM($O$2:Table1[[#This Row],[pctAllTimeExp]])</f>
        <v>0.99940752261300991</v>
      </c>
      <c r="Q1580" t="b">
        <f>Table1[[#This Row],[cumPctAllTimeExp]]&lt;0.95</f>
        <v>0</v>
      </c>
    </row>
    <row r="1581" spans="1:17" x14ac:dyDescent="0.25">
      <c r="A1581">
        <v>1093</v>
      </c>
      <c r="C1581" t="s">
        <v>2508</v>
      </c>
      <c r="E1581" t="s">
        <v>1095</v>
      </c>
      <c r="F1581" s="4">
        <v>0</v>
      </c>
      <c r="G1581" s="4">
        <v>0</v>
      </c>
      <c r="H1581" s="4">
        <v>900.13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f>SUM(Table1[[#This Row],[2025]:[2018]])</f>
        <v>900.13</v>
      </c>
      <c r="O1581" s="2">
        <f>Table1[[#This Row],[ttl]]/SUM(Table1[ttl])</f>
        <v>1.8150482201939826E-6</v>
      </c>
      <c r="P1581" s="3">
        <f>SUM($O$2:Table1[[#This Row],[pctAllTimeExp]])</f>
        <v>0.99940933766123008</v>
      </c>
      <c r="Q1581" t="b">
        <f>Table1[[#This Row],[cumPctAllTimeExp]]&lt;0.95</f>
        <v>0</v>
      </c>
    </row>
    <row r="1582" spans="1:17" x14ac:dyDescent="0.25">
      <c r="A1582">
        <v>667</v>
      </c>
      <c r="C1582" t="s">
        <v>2508</v>
      </c>
      <c r="E1582" t="s">
        <v>669</v>
      </c>
      <c r="F1582" s="4">
        <v>100</v>
      </c>
      <c r="G1582" s="4">
        <v>100</v>
      </c>
      <c r="H1582" s="4">
        <v>200</v>
      </c>
      <c r="I1582" s="4">
        <v>0</v>
      </c>
      <c r="J1582" s="4">
        <v>0</v>
      </c>
      <c r="K1582" s="4">
        <v>200</v>
      </c>
      <c r="L1582" s="4">
        <v>100</v>
      </c>
      <c r="M1582" s="4">
        <v>200</v>
      </c>
      <c r="N1582" s="4">
        <f>SUM(Table1[[#This Row],[2025]:[2018]])</f>
        <v>900</v>
      </c>
      <c r="O1582" s="2">
        <f>Table1[[#This Row],[ttl]]/SUM(Table1[ttl])</f>
        <v>1.8147860844262322E-6</v>
      </c>
      <c r="P1582" s="3">
        <f>SUM($O$2:Table1[[#This Row],[pctAllTimeExp]])</f>
        <v>0.99941115244731449</v>
      </c>
      <c r="Q1582" t="b">
        <f>Table1[[#This Row],[cumPctAllTimeExp]]&lt;0.95</f>
        <v>0</v>
      </c>
    </row>
    <row r="1583" spans="1:17" x14ac:dyDescent="0.25">
      <c r="A1583">
        <v>1094</v>
      </c>
      <c r="C1583" t="s">
        <v>2508</v>
      </c>
      <c r="E1583" t="s">
        <v>1096</v>
      </c>
      <c r="F1583" s="4">
        <v>0</v>
      </c>
      <c r="G1583" s="4">
        <v>0</v>
      </c>
      <c r="H1583" s="4">
        <v>900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f>SUM(Table1[[#This Row],[2025]:[2018]])</f>
        <v>900</v>
      </c>
      <c r="O1583" s="2">
        <f>Table1[[#This Row],[ttl]]/SUM(Table1[ttl])</f>
        <v>1.8147860844262322E-6</v>
      </c>
      <c r="P1583" s="3">
        <f>SUM($O$2:Table1[[#This Row],[pctAllTimeExp]])</f>
        <v>0.9994129672333989</v>
      </c>
      <c r="Q1583" t="b">
        <f>Table1[[#This Row],[cumPctAllTimeExp]]&lt;0.95</f>
        <v>0</v>
      </c>
    </row>
    <row r="1584" spans="1:17" x14ac:dyDescent="0.25">
      <c r="A1584">
        <v>1328</v>
      </c>
      <c r="C1584" t="s">
        <v>2508</v>
      </c>
      <c r="E1584" t="s">
        <v>1330</v>
      </c>
      <c r="F1584" s="4">
        <v>0</v>
      </c>
      <c r="G1584" s="4">
        <v>0</v>
      </c>
      <c r="H1584" s="4">
        <v>0</v>
      </c>
      <c r="I1584" s="4">
        <v>350</v>
      </c>
      <c r="J1584" s="4">
        <v>0</v>
      </c>
      <c r="K1584" s="4">
        <v>0</v>
      </c>
      <c r="L1584" s="4">
        <v>550</v>
      </c>
      <c r="M1584" s="4">
        <v>0</v>
      </c>
      <c r="N1584" s="4">
        <f>SUM(Table1[[#This Row],[2025]:[2018]])</f>
        <v>900</v>
      </c>
      <c r="O1584" s="2">
        <f>Table1[[#This Row],[ttl]]/SUM(Table1[ttl])</f>
        <v>1.8147860844262322E-6</v>
      </c>
      <c r="P1584" s="3">
        <f>SUM($O$2:Table1[[#This Row],[pctAllTimeExp]])</f>
        <v>0.99941478201948331</v>
      </c>
      <c r="Q1584" t="b">
        <f>Table1[[#This Row],[cumPctAllTimeExp]]&lt;0.95</f>
        <v>0</v>
      </c>
    </row>
    <row r="1585" spans="1:17" x14ac:dyDescent="0.25">
      <c r="A1585">
        <v>1813</v>
      </c>
      <c r="C1585" t="s">
        <v>2508</v>
      </c>
      <c r="E1585" t="s">
        <v>1815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450</v>
      </c>
      <c r="L1585" s="4">
        <v>0</v>
      </c>
      <c r="M1585" s="4">
        <v>450</v>
      </c>
      <c r="N1585" s="4">
        <f>SUM(Table1[[#This Row],[2025]:[2018]])</f>
        <v>900</v>
      </c>
      <c r="O1585" s="2">
        <f>Table1[[#This Row],[ttl]]/SUM(Table1[ttl])</f>
        <v>1.8147860844262322E-6</v>
      </c>
      <c r="P1585" s="3">
        <f>SUM($O$2:Table1[[#This Row],[pctAllTimeExp]])</f>
        <v>0.99941659680556771</v>
      </c>
      <c r="Q1585" t="b">
        <f>Table1[[#This Row],[cumPctAllTimeExp]]&lt;0.95</f>
        <v>0</v>
      </c>
    </row>
    <row r="1586" spans="1:17" x14ac:dyDescent="0.25">
      <c r="A1586">
        <v>1824</v>
      </c>
      <c r="C1586" t="s">
        <v>2508</v>
      </c>
      <c r="E1586" t="s">
        <v>1826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400</v>
      </c>
      <c r="L1586" s="4">
        <v>500</v>
      </c>
      <c r="M1586" s="4">
        <v>0</v>
      </c>
      <c r="N1586" s="4">
        <f>SUM(Table1[[#This Row],[2025]:[2018]])</f>
        <v>900</v>
      </c>
      <c r="O1586" s="2">
        <f>Table1[[#This Row],[ttl]]/SUM(Table1[ttl])</f>
        <v>1.8147860844262322E-6</v>
      </c>
      <c r="P1586" s="3">
        <f>SUM($O$2:Table1[[#This Row],[pctAllTimeExp]])</f>
        <v>0.99941841159165212</v>
      </c>
      <c r="Q1586" t="b">
        <f>Table1[[#This Row],[cumPctAllTimeExp]]&lt;0.95</f>
        <v>0</v>
      </c>
    </row>
    <row r="1587" spans="1:17" x14ac:dyDescent="0.25">
      <c r="A1587">
        <v>2131</v>
      </c>
      <c r="C1587" t="s">
        <v>2508</v>
      </c>
      <c r="E1587" t="s">
        <v>2133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450</v>
      </c>
      <c r="M1587" s="4">
        <v>450</v>
      </c>
      <c r="N1587" s="4">
        <f>SUM(Table1[[#This Row],[2025]:[2018]])</f>
        <v>900</v>
      </c>
      <c r="O1587" s="2">
        <f>Table1[[#This Row],[ttl]]/SUM(Table1[ttl])</f>
        <v>1.8147860844262322E-6</v>
      </c>
      <c r="P1587" s="3">
        <f>SUM($O$2:Table1[[#This Row],[pctAllTimeExp]])</f>
        <v>0.99942022637773653</v>
      </c>
      <c r="Q1587" t="b">
        <f>Table1[[#This Row],[cumPctAllTimeExp]]&lt;0.95</f>
        <v>0</v>
      </c>
    </row>
    <row r="1588" spans="1:17" x14ac:dyDescent="0.25">
      <c r="A1588">
        <v>488</v>
      </c>
      <c r="C1588" t="s">
        <v>2508</v>
      </c>
      <c r="E1588" t="s">
        <v>490</v>
      </c>
      <c r="F1588" s="4">
        <v>898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f>SUM(Table1[[#This Row],[2025]:[2018]])</f>
        <v>898</v>
      </c>
      <c r="O1588" s="2">
        <f>Table1[[#This Row],[ttl]]/SUM(Table1[ttl])</f>
        <v>1.8107532264608406E-6</v>
      </c>
      <c r="P1588" s="3">
        <f>SUM($O$2:Table1[[#This Row],[pctAllTimeExp]])</f>
        <v>0.999422037130963</v>
      </c>
      <c r="Q1588" t="b">
        <f>Table1[[#This Row],[cumPctAllTimeExp]]&lt;0.95</f>
        <v>0</v>
      </c>
    </row>
    <row r="1589" spans="1:17" x14ac:dyDescent="0.25">
      <c r="A1589">
        <v>2341</v>
      </c>
      <c r="C1589" t="s">
        <v>2508</v>
      </c>
      <c r="E1589" t="s">
        <v>2343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896.17</v>
      </c>
      <c r="N1589" s="4">
        <f>SUM(Table1[[#This Row],[2025]:[2018]])</f>
        <v>896.17</v>
      </c>
      <c r="O1589" s="2">
        <f>Table1[[#This Row],[ttl]]/SUM(Table1[ttl])</f>
        <v>1.8070631614225071E-6</v>
      </c>
      <c r="P1589" s="3">
        <f>SUM($O$2:Table1[[#This Row],[pctAllTimeExp]])</f>
        <v>0.99942384419412444</v>
      </c>
      <c r="Q1589" t="b">
        <f>Table1[[#This Row],[cumPctAllTimeExp]]&lt;0.95</f>
        <v>0</v>
      </c>
    </row>
    <row r="1590" spans="1:17" x14ac:dyDescent="0.25">
      <c r="A1590">
        <v>2087</v>
      </c>
      <c r="C1590" t="s">
        <v>2508</v>
      </c>
      <c r="E1590" t="s">
        <v>2089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893.5</v>
      </c>
      <c r="M1590" s="4">
        <v>0</v>
      </c>
      <c r="N1590" s="4">
        <f>SUM(Table1[[#This Row],[2025]:[2018]])</f>
        <v>893.5</v>
      </c>
      <c r="O1590" s="2">
        <f>Table1[[#This Row],[ttl]]/SUM(Table1[ttl])</f>
        <v>1.8016792960387093E-6</v>
      </c>
      <c r="P1590" s="3">
        <f>SUM($O$2:Table1[[#This Row],[pctAllTimeExp]])</f>
        <v>0.99942564587342053</v>
      </c>
      <c r="Q1590" t="b">
        <f>Table1[[#This Row],[cumPctAllTimeExp]]&lt;0.95</f>
        <v>0</v>
      </c>
    </row>
    <row r="1591" spans="1:17" x14ac:dyDescent="0.25">
      <c r="A1591">
        <v>1095</v>
      </c>
      <c r="C1591" t="s">
        <v>2508</v>
      </c>
      <c r="E1591" t="s">
        <v>1097</v>
      </c>
      <c r="F1591" s="4">
        <v>0</v>
      </c>
      <c r="G1591" s="4">
        <v>0</v>
      </c>
      <c r="H1591" s="4">
        <v>888.11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f>SUM(Table1[[#This Row],[2025]:[2018]])</f>
        <v>888.11</v>
      </c>
      <c r="O1591" s="2">
        <f>Table1[[#This Row],[ttl]]/SUM(Table1[ttl])</f>
        <v>1.790810743821979E-6</v>
      </c>
      <c r="P1591" s="3">
        <f>SUM($O$2:Table1[[#This Row],[pctAllTimeExp]])</f>
        <v>0.99942743668416434</v>
      </c>
      <c r="Q1591" t="b">
        <f>Table1[[#This Row],[cumPctAllTimeExp]]&lt;0.95</f>
        <v>0</v>
      </c>
    </row>
    <row r="1592" spans="1:17" x14ac:dyDescent="0.25">
      <c r="A1592">
        <v>885</v>
      </c>
      <c r="C1592" t="s">
        <v>2508</v>
      </c>
      <c r="E1592" t="s">
        <v>887</v>
      </c>
      <c r="F1592" s="4">
        <v>0</v>
      </c>
      <c r="G1592" s="4">
        <v>440</v>
      </c>
      <c r="H1592" s="4">
        <v>440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f>SUM(Table1[[#This Row],[2025]:[2018]])</f>
        <v>880</v>
      </c>
      <c r="O1592" s="2">
        <f>Table1[[#This Row],[ttl]]/SUM(Table1[ttl])</f>
        <v>1.7744575047723159E-6</v>
      </c>
      <c r="P1592" s="3">
        <f>SUM($O$2:Table1[[#This Row],[pctAllTimeExp]])</f>
        <v>0.99942921114166916</v>
      </c>
      <c r="Q1592" t="b">
        <f>Table1[[#This Row],[cumPctAllTimeExp]]&lt;0.95</f>
        <v>0</v>
      </c>
    </row>
    <row r="1593" spans="1:17" x14ac:dyDescent="0.25">
      <c r="A1593">
        <v>2342</v>
      </c>
      <c r="C1593" t="s">
        <v>2508</v>
      </c>
      <c r="E1593" t="s">
        <v>2344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878.91</v>
      </c>
      <c r="N1593" s="4">
        <f>SUM(Table1[[#This Row],[2025]:[2018]])</f>
        <v>878.91</v>
      </c>
      <c r="O1593" s="2">
        <f>Table1[[#This Row],[ttl]]/SUM(Table1[ttl])</f>
        <v>1.7722595971811774E-6</v>
      </c>
      <c r="P1593" s="3">
        <f>SUM($O$2:Table1[[#This Row],[pctAllTimeExp]])</f>
        <v>0.99943098340126635</v>
      </c>
      <c r="Q1593" t="b">
        <f>Table1[[#This Row],[cumPctAllTimeExp]]&lt;0.95</f>
        <v>0</v>
      </c>
    </row>
    <row r="1594" spans="1:17" x14ac:dyDescent="0.25">
      <c r="A1594">
        <v>1287</v>
      </c>
      <c r="C1594" t="s">
        <v>2508</v>
      </c>
      <c r="E1594" t="s">
        <v>1289</v>
      </c>
      <c r="F1594" s="4">
        <v>0</v>
      </c>
      <c r="G1594" s="4">
        <v>0</v>
      </c>
      <c r="H1594" s="4">
        <v>0</v>
      </c>
      <c r="I1594" s="4">
        <v>878</v>
      </c>
      <c r="J1594" s="4">
        <v>0</v>
      </c>
      <c r="K1594" s="4">
        <v>0</v>
      </c>
      <c r="L1594" s="4">
        <v>0</v>
      </c>
      <c r="M1594" s="4">
        <v>0</v>
      </c>
      <c r="N1594" s="4">
        <f>SUM(Table1[[#This Row],[2025]:[2018]])</f>
        <v>878</v>
      </c>
      <c r="O1594" s="2">
        <f>Table1[[#This Row],[ttl]]/SUM(Table1[ttl])</f>
        <v>1.7704246468069243E-6</v>
      </c>
      <c r="P1594" s="3">
        <f>SUM($O$2:Table1[[#This Row],[pctAllTimeExp]])</f>
        <v>0.99943275382591312</v>
      </c>
      <c r="Q1594" t="b">
        <f>Table1[[#This Row],[cumPctAllTimeExp]]&lt;0.95</f>
        <v>0</v>
      </c>
    </row>
    <row r="1595" spans="1:17" x14ac:dyDescent="0.25">
      <c r="A1595">
        <v>1777</v>
      </c>
      <c r="C1595" t="s">
        <v>2508</v>
      </c>
      <c r="E1595" t="s">
        <v>1779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876.93</v>
      </c>
      <c r="L1595" s="4">
        <v>0</v>
      </c>
      <c r="M1595" s="4">
        <v>0</v>
      </c>
      <c r="N1595" s="4">
        <f>SUM(Table1[[#This Row],[2025]:[2018]])</f>
        <v>876.93</v>
      </c>
      <c r="O1595" s="2">
        <f>Table1[[#This Row],[ttl]]/SUM(Table1[ttl])</f>
        <v>1.7682670677954397E-6</v>
      </c>
      <c r="P1595" s="3">
        <f>SUM($O$2:Table1[[#This Row],[pctAllTimeExp]])</f>
        <v>0.99943452209298089</v>
      </c>
      <c r="Q1595" t="b">
        <f>Table1[[#This Row],[cumPctAllTimeExp]]&lt;0.95</f>
        <v>0</v>
      </c>
    </row>
    <row r="1596" spans="1:17" x14ac:dyDescent="0.25">
      <c r="A1596">
        <v>621</v>
      </c>
      <c r="C1596" t="s">
        <v>2508</v>
      </c>
      <c r="E1596" t="s">
        <v>623</v>
      </c>
      <c r="F1596" s="4">
        <v>225</v>
      </c>
      <c r="G1596" s="4">
        <v>250</v>
      </c>
      <c r="H1596" s="4">
        <v>400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f>SUM(Table1[[#This Row],[2025]:[2018]])</f>
        <v>875</v>
      </c>
      <c r="O1596" s="2">
        <f>Table1[[#This Row],[ttl]]/SUM(Table1[ttl])</f>
        <v>1.7643753598588369E-6</v>
      </c>
      <c r="P1596" s="3">
        <f>SUM($O$2:Table1[[#This Row],[pctAllTimeExp]])</f>
        <v>0.99943628646834071</v>
      </c>
      <c r="Q1596" t="b">
        <f>Table1[[#This Row],[cumPctAllTimeExp]]&lt;0.95</f>
        <v>0</v>
      </c>
    </row>
    <row r="1597" spans="1:17" x14ac:dyDescent="0.25">
      <c r="A1597">
        <v>842</v>
      </c>
      <c r="C1597" t="s">
        <v>2508</v>
      </c>
      <c r="E1597" t="s">
        <v>844</v>
      </c>
      <c r="F1597" s="4">
        <v>0</v>
      </c>
      <c r="G1597" s="4">
        <v>875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f>SUM(Table1[[#This Row],[2025]:[2018]])</f>
        <v>875</v>
      </c>
      <c r="O1597" s="2">
        <f>Table1[[#This Row],[ttl]]/SUM(Table1[ttl])</f>
        <v>1.7643753598588369E-6</v>
      </c>
      <c r="P1597" s="3">
        <f>SUM($O$2:Table1[[#This Row],[pctAllTimeExp]])</f>
        <v>0.99943805084370052</v>
      </c>
      <c r="Q1597" t="b">
        <f>Table1[[#This Row],[cumPctAllTimeExp]]&lt;0.95</f>
        <v>0</v>
      </c>
    </row>
    <row r="1598" spans="1:17" x14ac:dyDescent="0.25">
      <c r="A1598">
        <v>2343</v>
      </c>
      <c r="C1598" t="s">
        <v>2508</v>
      </c>
      <c r="E1598" t="s">
        <v>2345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875</v>
      </c>
      <c r="N1598" s="4">
        <f>SUM(Table1[[#This Row],[2025]:[2018]])</f>
        <v>875</v>
      </c>
      <c r="O1598" s="2">
        <f>Table1[[#This Row],[ttl]]/SUM(Table1[ttl])</f>
        <v>1.7643753598588369E-6</v>
      </c>
      <c r="P1598" s="3">
        <f>SUM($O$2:Table1[[#This Row],[pctAllTimeExp]])</f>
        <v>0.99943981521906033</v>
      </c>
      <c r="Q1598" t="b">
        <f>Table1[[#This Row],[cumPctAllTimeExp]]&lt;0.95</f>
        <v>0</v>
      </c>
    </row>
    <row r="1599" spans="1:17" x14ac:dyDescent="0.25">
      <c r="A1599">
        <v>2088</v>
      </c>
      <c r="C1599" t="s">
        <v>2508</v>
      </c>
      <c r="E1599" t="s">
        <v>2090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873.67</v>
      </c>
      <c r="M1599" s="4">
        <v>0</v>
      </c>
      <c r="N1599" s="4">
        <f>SUM(Table1[[#This Row],[2025]:[2018]])</f>
        <v>873.67</v>
      </c>
      <c r="O1599" s="2">
        <f>Table1[[#This Row],[ttl]]/SUM(Table1[ttl])</f>
        <v>1.7616935093118513E-6</v>
      </c>
      <c r="P1599" s="3">
        <f>SUM($O$2:Table1[[#This Row],[pctAllTimeExp]])</f>
        <v>0.99944157691256963</v>
      </c>
      <c r="Q1599" t="b">
        <f>Table1[[#This Row],[cumPctAllTimeExp]]&lt;0.95</f>
        <v>0</v>
      </c>
    </row>
    <row r="1600" spans="1:17" x14ac:dyDescent="0.25">
      <c r="A1600">
        <v>2089</v>
      </c>
      <c r="C1600" t="s">
        <v>2508</v>
      </c>
      <c r="E1600" t="s">
        <v>2091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866.4</v>
      </c>
      <c r="M1600" s="4">
        <v>0</v>
      </c>
      <c r="N1600" s="4">
        <f>SUM(Table1[[#This Row],[2025]:[2018]])</f>
        <v>866.4</v>
      </c>
      <c r="O1600" s="2">
        <f>Table1[[#This Row],[ttl]]/SUM(Table1[ttl])</f>
        <v>1.7470340706076528E-6</v>
      </c>
      <c r="P1600" s="3">
        <f>SUM($O$2:Table1[[#This Row],[pctAllTimeExp]])</f>
        <v>0.99944332394664026</v>
      </c>
      <c r="Q1600" t="b">
        <f>Table1[[#This Row],[cumPctAllTimeExp]]&lt;0.95</f>
        <v>0</v>
      </c>
    </row>
    <row r="1601" spans="1:17" x14ac:dyDescent="0.25">
      <c r="A1601">
        <v>613</v>
      </c>
      <c r="C1601" t="s">
        <v>2508</v>
      </c>
      <c r="E1601" t="s">
        <v>615</v>
      </c>
      <c r="F1601" s="4">
        <v>280</v>
      </c>
      <c r="G1601" s="4">
        <v>0</v>
      </c>
      <c r="H1601" s="4">
        <v>0</v>
      </c>
      <c r="I1601" s="4">
        <v>260</v>
      </c>
      <c r="J1601" s="4">
        <v>325</v>
      </c>
      <c r="K1601" s="4">
        <v>0</v>
      </c>
      <c r="L1601" s="4">
        <v>0</v>
      </c>
      <c r="M1601" s="4">
        <v>0</v>
      </c>
      <c r="N1601" s="4">
        <f>SUM(Table1[[#This Row],[2025]:[2018]])</f>
        <v>865</v>
      </c>
      <c r="O1601" s="2">
        <f>Table1[[#This Row],[ttl]]/SUM(Table1[ttl])</f>
        <v>1.7442110700318786E-6</v>
      </c>
      <c r="P1601" s="3">
        <f>SUM($O$2:Table1[[#This Row],[pctAllTimeExp]])</f>
        <v>0.99944506815771028</v>
      </c>
      <c r="Q1601" t="b">
        <f>Table1[[#This Row],[cumPctAllTimeExp]]&lt;0.95</f>
        <v>0</v>
      </c>
    </row>
    <row r="1602" spans="1:17" x14ac:dyDescent="0.25">
      <c r="A1602">
        <v>1779</v>
      </c>
      <c r="C1602" t="s">
        <v>2508</v>
      </c>
      <c r="E1602" t="s">
        <v>1781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864</v>
      </c>
      <c r="L1602" s="4">
        <v>0</v>
      </c>
      <c r="M1602" s="4">
        <v>0</v>
      </c>
      <c r="N1602" s="4">
        <f>SUM(Table1[[#This Row],[2025]:[2018]])</f>
        <v>864</v>
      </c>
      <c r="O1602" s="2">
        <f>Table1[[#This Row],[ttl]]/SUM(Table1[ttl])</f>
        <v>1.7421946410491829E-6</v>
      </c>
      <c r="P1602" s="3">
        <f>SUM($O$2:Table1[[#This Row],[pctAllTimeExp]])</f>
        <v>0.99944681035235128</v>
      </c>
      <c r="Q1602" t="b">
        <f>Table1[[#This Row],[cumPctAllTimeExp]]&lt;0.95</f>
        <v>0</v>
      </c>
    </row>
    <row r="1603" spans="1:17" x14ac:dyDescent="0.25">
      <c r="A1603">
        <v>2344</v>
      </c>
      <c r="C1603" t="s">
        <v>2508</v>
      </c>
      <c r="E1603" t="s">
        <v>2346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864</v>
      </c>
      <c r="N1603" s="4">
        <f>SUM(Table1[[#This Row],[2025]:[2018]])</f>
        <v>864</v>
      </c>
      <c r="O1603" s="2">
        <f>Table1[[#This Row],[ttl]]/SUM(Table1[ttl])</f>
        <v>1.7421946410491829E-6</v>
      </c>
      <c r="P1603" s="3">
        <f>SUM($O$2:Table1[[#This Row],[pctAllTimeExp]])</f>
        <v>0.99944855254699227</v>
      </c>
      <c r="Q1603" t="b">
        <f>Table1[[#This Row],[cumPctAllTimeExp]]&lt;0.95</f>
        <v>0</v>
      </c>
    </row>
    <row r="1604" spans="1:17" x14ac:dyDescent="0.25">
      <c r="A1604">
        <v>1780</v>
      </c>
      <c r="C1604" t="s">
        <v>2508</v>
      </c>
      <c r="E1604" t="s">
        <v>1782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853</v>
      </c>
      <c r="L1604" s="4">
        <v>0</v>
      </c>
      <c r="M1604" s="4">
        <v>0</v>
      </c>
      <c r="N1604" s="4">
        <f>SUM(Table1[[#This Row],[2025]:[2018]])</f>
        <v>853</v>
      </c>
      <c r="O1604" s="2">
        <f>Table1[[#This Row],[ttl]]/SUM(Table1[ttl])</f>
        <v>1.720013922239529E-6</v>
      </c>
      <c r="P1604" s="3">
        <f>SUM($O$2:Table1[[#This Row],[pctAllTimeExp]])</f>
        <v>0.99945027256091457</v>
      </c>
      <c r="Q1604" t="b">
        <f>Table1[[#This Row],[cumPctAllTimeExp]]&lt;0.95</f>
        <v>0</v>
      </c>
    </row>
    <row r="1605" spans="1:17" x14ac:dyDescent="0.25">
      <c r="A1605">
        <v>1097</v>
      </c>
      <c r="C1605" t="s">
        <v>2508</v>
      </c>
      <c r="E1605" t="s">
        <v>1099</v>
      </c>
      <c r="F1605" s="4">
        <v>0</v>
      </c>
      <c r="G1605" s="4">
        <v>0</v>
      </c>
      <c r="H1605" s="4">
        <v>850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f>SUM(Table1[[#This Row],[2025]:[2018]])</f>
        <v>850</v>
      </c>
      <c r="O1605" s="2">
        <f>Table1[[#This Row],[ttl]]/SUM(Table1[ttl])</f>
        <v>1.7139646352914415E-6</v>
      </c>
      <c r="P1605" s="3">
        <f>SUM($O$2:Table1[[#This Row],[pctAllTimeExp]])</f>
        <v>0.9994519865255499</v>
      </c>
      <c r="Q1605" t="b">
        <f>Table1[[#This Row],[cumPctAllTimeExp]]&lt;0.95</f>
        <v>0</v>
      </c>
    </row>
    <row r="1606" spans="1:17" x14ac:dyDescent="0.25">
      <c r="A1606">
        <v>1137</v>
      </c>
      <c r="C1606" t="s">
        <v>2508</v>
      </c>
      <c r="E1606" t="s">
        <v>1139</v>
      </c>
      <c r="F1606" s="4">
        <v>0</v>
      </c>
      <c r="G1606" s="4">
        <v>0</v>
      </c>
      <c r="H1606" s="4">
        <v>350</v>
      </c>
      <c r="I1606" s="4">
        <v>0</v>
      </c>
      <c r="J1606" s="4">
        <v>0</v>
      </c>
      <c r="K1606" s="4">
        <v>500</v>
      </c>
      <c r="L1606" s="4">
        <v>0</v>
      </c>
      <c r="M1606" s="4">
        <v>0</v>
      </c>
      <c r="N1606" s="4">
        <f>SUM(Table1[[#This Row],[2025]:[2018]])</f>
        <v>850</v>
      </c>
      <c r="O1606" s="2">
        <f>Table1[[#This Row],[ttl]]/SUM(Table1[ttl])</f>
        <v>1.7139646352914415E-6</v>
      </c>
      <c r="P1606" s="3">
        <f>SUM($O$2:Table1[[#This Row],[pctAllTimeExp]])</f>
        <v>0.99945370049018523</v>
      </c>
      <c r="Q1606" t="b">
        <f>Table1[[#This Row],[cumPctAllTimeExp]]&lt;0.95</f>
        <v>0</v>
      </c>
    </row>
    <row r="1607" spans="1:17" x14ac:dyDescent="0.25">
      <c r="A1607">
        <v>1491</v>
      </c>
      <c r="C1607" t="s">
        <v>2508</v>
      </c>
      <c r="E1607" t="s">
        <v>1493</v>
      </c>
      <c r="F1607" s="4">
        <v>0</v>
      </c>
      <c r="G1607" s="4">
        <v>0</v>
      </c>
      <c r="H1607" s="4">
        <v>0</v>
      </c>
      <c r="I1607" s="4">
        <v>0</v>
      </c>
      <c r="J1607" s="4">
        <v>850</v>
      </c>
      <c r="K1607" s="4">
        <v>0</v>
      </c>
      <c r="L1607" s="4">
        <v>0</v>
      </c>
      <c r="M1607" s="4">
        <v>0</v>
      </c>
      <c r="N1607" s="4">
        <f>SUM(Table1[[#This Row],[2025]:[2018]])</f>
        <v>850</v>
      </c>
      <c r="O1607" s="2">
        <f>Table1[[#This Row],[ttl]]/SUM(Table1[ttl])</f>
        <v>1.7139646352914415E-6</v>
      </c>
      <c r="P1607" s="3">
        <f>SUM($O$2:Table1[[#This Row],[pctAllTimeExp]])</f>
        <v>0.99945541445482056</v>
      </c>
      <c r="Q1607" t="b">
        <f>Table1[[#This Row],[cumPctAllTimeExp]]&lt;0.95</f>
        <v>0</v>
      </c>
    </row>
    <row r="1608" spans="1:17" x14ac:dyDescent="0.25">
      <c r="A1608">
        <v>1782</v>
      </c>
      <c r="C1608" t="s">
        <v>2508</v>
      </c>
      <c r="E1608" t="s">
        <v>1784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850</v>
      </c>
      <c r="L1608" s="4">
        <v>0</v>
      </c>
      <c r="M1608" s="4">
        <v>0</v>
      </c>
      <c r="N1608" s="4">
        <f>SUM(Table1[[#This Row],[2025]:[2018]])</f>
        <v>850</v>
      </c>
      <c r="O1608" s="2">
        <f>Table1[[#This Row],[ttl]]/SUM(Table1[ttl])</f>
        <v>1.7139646352914415E-6</v>
      </c>
      <c r="P1608" s="3">
        <f>SUM($O$2:Table1[[#This Row],[pctAllTimeExp]])</f>
        <v>0.99945712841945589</v>
      </c>
      <c r="Q1608" t="b">
        <f>Table1[[#This Row],[cumPctAllTimeExp]]&lt;0.95</f>
        <v>0</v>
      </c>
    </row>
    <row r="1609" spans="1:17" x14ac:dyDescent="0.25">
      <c r="A1609">
        <v>1103</v>
      </c>
      <c r="C1609" t="s">
        <v>2508</v>
      </c>
      <c r="E1609" t="s">
        <v>1105</v>
      </c>
      <c r="F1609" s="4">
        <v>0</v>
      </c>
      <c r="G1609" s="4">
        <v>0</v>
      </c>
      <c r="H1609" s="4">
        <v>754.4</v>
      </c>
      <c r="I1609" s="4">
        <v>0</v>
      </c>
      <c r="J1609" s="4">
        <v>0</v>
      </c>
      <c r="K1609" s="4">
        <v>0</v>
      </c>
      <c r="L1609" s="4">
        <v>0</v>
      </c>
      <c r="M1609" s="4">
        <v>92.69</v>
      </c>
      <c r="N1609" s="4">
        <f>SUM(Table1[[#This Row],[2025]:[2018]])</f>
        <v>847.08999999999992</v>
      </c>
      <c r="O1609" s="2">
        <f>Table1[[#This Row],[ttl]]/SUM(Table1[ttl])</f>
        <v>1.7080968269517964E-6</v>
      </c>
      <c r="P1609" s="3">
        <f>SUM($O$2:Table1[[#This Row],[pctAllTimeExp]])</f>
        <v>0.99945883651628287</v>
      </c>
      <c r="Q1609" t="b">
        <f>Table1[[#This Row],[cumPctAllTimeExp]]&lt;0.95</f>
        <v>0</v>
      </c>
    </row>
    <row r="1610" spans="1:17" x14ac:dyDescent="0.25">
      <c r="A1610">
        <v>843</v>
      </c>
      <c r="C1610" t="s">
        <v>2508</v>
      </c>
      <c r="E1610" t="s">
        <v>845</v>
      </c>
      <c r="F1610" s="4">
        <v>0</v>
      </c>
      <c r="G1610" s="4">
        <v>841.5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f>SUM(Table1[[#This Row],[2025]:[2018]])</f>
        <v>841.5</v>
      </c>
      <c r="O1610" s="2">
        <f>Table1[[#This Row],[ttl]]/SUM(Table1[ttl])</f>
        <v>1.6968249889385271E-6</v>
      </c>
      <c r="P1610" s="3">
        <f>SUM($O$2:Table1[[#This Row],[pctAllTimeExp]])</f>
        <v>0.99946053334127183</v>
      </c>
      <c r="Q1610" t="b">
        <f>Table1[[#This Row],[cumPctAllTimeExp]]&lt;0.95</f>
        <v>0</v>
      </c>
    </row>
    <row r="1611" spans="1:17" x14ac:dyDescent="0.25">
      <c r="A1611">
        <v>534</v>
      </c>
      <c r="C1611" t="s">
        <v>2508</v>
      </c>
      <c r="E1611" t="s">
        <v>536</v>
      </c>
      <c r="F1611" s="4">
        <v>600</v>
      </c>
      <c r="G1611" s="4">
        <v>240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f>SUM(Table1[[#This Row],[2025]:[2018]])</f>
        <v>840</v>
      </c>
      <c r="O1611" s="2">
        <f>Table1[[#This Row],[ttl]]/SUM(Table1[ttl])</f>
        <v>1.6938003454644833E-6</v>
      </c>
      <c r="P1611" s="3">
        <f>SUM($O$2:Table1[[#This Row],[pctAllTimeExp]])</f>
        <v>0.99946222714161725</v>
      </c>
      <c r="Q1611" t="b">
        <f>Table1[[#This Row],[cumPctAllTimeExp]]&lt;0.95</f>
        <v>0</v>
      </c>
    </row>
    <row r="1612" spans="1:17" x14ac:dyDescent="0.25">
      <c r="A1612">
        <v>569</v>
      </c>
      <c r="C1612" t="s">
        <v>2508</v>
      </c>
      <c r="E1612" t="s">
        <v>571</v>
      </c>
      <c r="F1612" s="4">
        <v>480</v>
      </c>
      <c r="G1612" s="4">
        <v>360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f>SUM(Table1[[#This Row],[2025]:[2018]])</f>
        <v>840</v>
      </c>
      <c r="O1612" s="2">
        <f>Table1[[#This Row],[ttl]]/SUM(Table1[ttl])</f>
        <v>1.6938003454644833E-6</v>
      </c>
      <c r="P1612" s="3">
        <f>SUM($O$2:Table1[[#This Row],[pctAllTimeExp]])</f>
        <v>0.99946392094196268</v>
      </c>
      <c r="Q1612" t="b">
        <f>Table1[[#This Row],[cumPctAllTimeExp]]&lt;0.95</f>
        <v>0</v>
      </c>
    </row>
    <row r="1613" spans="1:17" x14ac:dyDescent="0.25">
      <c r="A1613">
        <v>1122</v>
      </c>
      <c r="C1613" t="s">
        <v>2508</v>
      </c>
      <c r="E1613" t="s">
        <v>1124</v>
      </c>
      <c r="F1613" s="4">
        <v>0</v>
      </c>
      <c r="G1613" s="4">
        <v>0</v>
      </c>
      <c r="H1613" s="4">
        <v>480</v>
      </c>
      <c r="I1613" s="4">
        <v>360</v>
      </c>
      <c r="J1613" s="4">
        <v>0</v>
      </c>
      <c r="K1613" s="4">
        <v>0</v>
      </c>
      <c r="L1613" s="4">
        <v>0</v>
      </c>
      <c r="M1613" s="4">
        <v>0</v>
      </c>
      <c r="N1613" s="4">
        <f>SUM(Table1[[#This Row],[2025]:[2018]])</f>
        <v>840</v>
      </c>
      <c r="O1613" s="2">
        <f>Table1[[#This Row],[ttl]]/SUM(Table1[ttl])</f>
        <v>1.6938003454644833E-6</v>
      </c>
      <c r="P1613" s="3">
        <f>SUM($O$2:Table1[[#This Row],[pctAllTimeExp]])</f>
        <v>0.99946561474230811</v>
      </c>
      <c r="Q1613" t="b">
        <f>Table1[[#This Row],[cumPctAllTimeExp]]&lt;0.95</f>
        <v>0</v>
      </c>
    </row>
    <row r="1614" spans="1:17" x14ac:dyDescent="0.25">
      <c r="A1614">
        <v>844</v>
      </c>
      <c r="C1614" t="s">
        <v>2508</v>
      </c>
      <c r="E1614" t="s">
        <v>846</v>
      </c>
      <c r="F1614" s="4">
        <v>0</v>
      </c>
      <c r="G1614" s="4">
        <v>837.5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f>SUM(Table1[[#This Row],[2025]:[2018]])</f>
        <v>837.5</v>
      </c>
      <c r="O1614" s="2">
        <f>Table1[[#This Row],[ttl]]/SUM(Table1[ttl])</f>
        <v>1.6887592730077438E-6</v>
      </c>
      <c r="P1614" s="3">
        <f>SUM($O$2:Table1[[#This Row],[pctAllTimeExp]])</f>
        <v>0.99946730350158108</v>
      </c>
      <c r="Q1614" t="b">
        <f>Table1[[#This Row],[cumPctAllTimeExp]]&lt;0.95</f>
        <v>0</v>
      </c>
    </row>
    <row r="1615" spans="1:17" x14ac:dyDescent="0.25">
      <c r="A1615">
        <v>1783</v>
      </c>
      <c r="C1615" t="s">
        <v>2508</v>
      </c>
      <c r="E1615" t="s">
        <v>1785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830.07</v>
      </c>
      <c r="L1615" s="4">
        <v>0</v>
      </c>
      <c r="M1615" s="4">
        <v>0</v>
      </c>
      <c r="N1615" s="4">
        <f>SUM(Table1[[#This Row],[2025]:[2018]])</f>
        <v>830.07</v>
      </c>
      <c r="O1615" s="2">
        <f>Table1[[#This Row],[ttl]]/SUM(Table1[ttl])</f>
        <v>1.673777205666314E-6</v>
      </c>
      <c r="P1615" s="3">
        <f>SUM($O$2:Table1[[#This Row],[pctAllTimeExp]])</f>
        <v>0.9994689772787867</v>
      </c>
      <c r="Q1615" t="b">
        <f>Table1[[#This Row],[cumPctAllTimeExp]]&lt;0.95</f>
        <v>0</v>
      </c>
    </row>
    <row r="1616" spans="1:17" x14ac:dyDescent="0.25">
      <c r="A1616">
        <v>2090</v>
      </c>
      <c r="C1616" t="s">
        <v>2508</v>
      </c>
      <c r="E1616" t="s">
        <v>2092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827.09</v>
      </c>
      <c r="M1616" s="4">
        <v>0</v>
      </c>
      <c r="N1616" s="4">
        <f>SUM(Table1[[#This Row],[2025]:[2018]])</f>
        <v>827.09</v>
      </c>
      <c r="O1616" s="2">
        <f>Table1[[#This Row],[ttl]]/SUM(Table1[ttl])</f>
        <v>1.6677682472978804E-6</v>
      </c>
      <c r="P1616" s="3">
        <f>SUM($O$2:Table1[[#This Row],[pctAllTimeExp]])</f>
        <v>0.99947064504703398</v>
      </c>
      <c r="Q1616" t="b">
        <f>Table1[[#This Row],[cumPctAllTimeExp]]&lt;0.95</f>
        <v>0</v>
      </c>
    </row>
    <row r="1617" spans="1:17" x14ac:dyDescent="0.25">
      <c r="A1617">
        <v>497</v>
      </c>
      <c r="C1617" t="s">
        <v>2508</v>
      </c>
      <c r="E1617" t="s">
        <v>499</v>
      </c>
      <c r="F1617" s="4">
        <v>825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f>SUM(Table1[[#This Row],[2025]:[2018]])</f>
        <v>825</v>
      </c>
      <c r="O1617" s="2">
        <f>Table1[[#This Row],[ttl]]/SUM(Table1[ttl])</f>
        <v>1.663553910724046E-6</v>
      </c>
      <c r="P1617" s="3">
        <f>SUM($O$2:Table1[[#This Row],[pctAllTimeExp]])</f>
        <v>0.99947230860094471</v>
      </c>
      <c r="Q1617" t="b">
        <f>Table1[[#This Row],[cumPctAllTimeExp]]&lt;0.95</f>
        <v>0</v>
      </c>
    </row>
    <row r="1618" spans="1:17" x14ac:dyDescent="0.25">
      <c r="A1618">
        <v>1492</v>
      </c>
      <c r="C1618" t="s">
        <v>2508</v>
      </c>
      <c r="E1618" t="s">
        <v>1494</v>
      </c>
      <c r="F1618" s="4">
        <v>0</v>
      </c>
      <c r="G1618" s="4">
        <v>0</v>
      </c>
      <c r="H1618" s="4">
        <v>0</v>
      </c>
      <c r="I1618" s="4">
        <v>0</v>
      </c>
      <c r="J1618" s="4">
        <v>825</v>
      </c>
      <c r="K1618" s="4">
        <v>0</v>
      </c>
      <c r="L1618" s="4">
        <v>0</v>
      </c>
      <c r="M1618" s="4">
        <v>0</v>
      </c>
      <c r="N1618" s="4">
        <f>SUM(Table1[[#This Row],[2025]:[2018]])</f>
        <v>825</v>
      </c>
      <c r="O1618" s="2">
        <f>Table1[[#This Row],[ttl]]/SUM(Table1[ttl])</f>
        <v>1.663553910724046E-6</v>
      </c>
      <c r="P1618" s="3">
        <f>SUM($O$2:Table1[[#This Row],[pctAllTimeExp]])</f>
        <v>0.99947397215485545</v>
      </c>
      <c r="Q1618" t="b">
        <f>Table1[[#This Row],[cumPctAllTimeExp]]&lt;0.95</f>
        <v>0</v>
      </c>
    </row>
    <row r="1619" spans="1:17" x14ac:dyDescent="0.25">
      <c r="A1619">
        <v>929</v>
      </c>
      <c r="C1619" t="s">
        <v>2508</v>
      </c>
      <c r="E1619" t="s">
        <v>931</v>
      </c>
      <c r="F1619" s="4">
        <v>0</v>
      </c>
      <c r="G1619" s="4">
        <v>125</v>
      </c>
      <c r="H1619" s="4">
        <v>25</v>
      </c>
      <c r="I1619" s="4">
        <v>0</v>
      </c>
      <c r="J1619" s="4">
        <v>235</v>
      </c>
      <c r="K1619" s="4">
        <v>430</v>
      </c>
      <c r="L1619" s="4">
        <v>0</v>
      </c>
      <c r="M1619" s="4">
        <v>0</v>
      </c>
      <c r="N1619" s="4">
        <f>SUM(Table1[[#This Row],[2025]:[2018]])</f>
        <v>815</v>
      </c>
      <c r="O1619" s="2">
        <f>Table1[[#This Row],[ttl]]/SUM(Table1[ttl])</f>
        <v>1.643389620897088E-6</v>
      </c>
      <c r="P1619" s="3">
        <f>SUM($O$2:Table1[[#This Row],[pctAllTimeExp]])</f>
        <v>0.99947561554447639</v>
      </c>
      <c r="Q1619" t="b">
        <f>Table1[[#This Row],[cumPctAllTimeExp]]&lt;0.95</f>
        <v>0</v>
      </c>
    </row>
    <row r="1620" spans="1:17" x14ac:dyDescent="0.25">
      <c r="A1620">
        <v>2345</v>
      </c>
      <c r="C1620" t="s">
        <v>2508</v>
      </c>
      <c r="E1620" t="s">
        <v>2347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814.08</v>
      </c>
      <c r="N1620" s="4">
        <f>SUM(Table1[[#This Row],[2025]:[2018]])</f>
        <v>814.08</v>
      </c>
      <c r="O1620" s="2">
        <f>Table1[[#This Row],[ttl]]/SUM(Table1[ttl])</f>
        <v>1.6415345062330079E-6</v>
      </c>
      <c r="P1620" s="3">
        <f>SUM($O$2:Table1[[#This Row],[pctAllTimeExp]])</f>
        <v>0.99947725707898261</v>
      </c>
      <c r="Q1620" t="b">
        <f>Table1[[#This Row],[cumPctAllTimeExp]]&lt;0.95</f>
        <v>0</v>
      </c>
    </row>
    <row r="1621" spans="1:17" x14ac:dyDescent="0.25">
      <c r="A1621">
        <v>2091</v>
      </c>
      <c r="C1621" t="s">
        <v>2508</v>
      </c>
      <c r="E1621" t="s">
        <v>2093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810</v>
      </c>
      <c r="M1621" s="4">
        <v>0</v>
      </c>
      <c r="N1621" s="4">
        <f>SUM(Table1[[#This Row],[2025]:[2018]])</f>
        <v>810</v>
      </c>
      <c r="O1621" s="2">
        <f>Table1[[#This Row],[ttl]]/SUM(Table1[ttl])</f>
        <v>1.633307475983609E-6</v>
      </c>
      <c r="P1621" s="3">
        <f>SUM($O$2:Table1[[#This Row],[pctAllTimeExp]])</f>
        <v>0.99947889038645854</v>
      </c>
      <c r="Q1621" t="b">
        <f>Table1[[#This Row],[cumPctAllTimeExp]]&lt;0.95</f>
        <v>0</v>
      </c>
    </row>
    <row r="1622" spans="1:17" x14ac:dyDescent="0.25">
      <c r="A1622">
        <v>498</v>
      </c>
      <c r="C1622" t="s">
        <v>2508</v>
      </c>
      <c r="E1622" t="s">
        <v>500</v>
      </c>
      <c r="F1622" s="4">
        <v>803.83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f>SUM(Table1[[#This Row],[2025]:[2018]])</f>
        <v>803.83</v>
      </c>
      <c r="O1622" s="2">
        <f>Table1[[#This Row],[ttl]]/SUM(Table1[ttl])</f>
        <v>1.6208661091603757E-6</v>
      </c>
      <c r="P1622" s="3">
        <f>SUM($O$2:Table1[[#This Row],[pctAllTimeExp]])</f>
        <v>0.99948051125256765</v>
      </c>
      <c r="Q1622" t="b">
        <f>Table1[[#This Row],[cumPctAllTimeExp]]&lt;0.95</f>
        <v>0</v>
      </c>
    </row>
    <row r="1623" spans="1:17" x14ac:dyDescent="0.25">
      <c r="A1623">
        <v>1784</v>
      </c>
      <c r="C1623" t="s">
        <v>2508</v>
      </c>
      <c r="E1623" t="s">
        <v>1786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802</v>
      </c>
      <c r="L1623" s="4">
        <v>0</v>
      </c>
      <c r="M1623" s="4">
        <v>0</v>
      </c>
      <c r="N1623" s="4">
        <f>SUM(Table1[[#This Row],[2025]:[2018]])</f>
        <v>802</v>
      </c>
      <c r="O1623" s="2">
        <f>Table1[[#This Row],[ttl]]/SUM(Table1[ttl])</f>
        <v>1.6171760441220425E-6</v>
      </c>
      <c r="P1623" s="3">
        <f>SUM($O$2:Table1[[#This Row],[pctAllTimeExp]])</f>
        <v>0.99948212842861173</v>
      </c>
      <c r="Q1623" t="b">
        <f>Table1[[#This Row],[cumPctAllTimeExp]]&lt;0.95</f>
        <v>0</v>
      </c>
    </row>
    <row r="1624" spans="1:17" x14ac:dyDescent="0.25">
      <c r="A1624">
        <v>500</v>
      </c>
      <c r="C1624" t="s">
        <v>2508</v>
      </c>
      <c r="E1624" t="s">
        <v>502</v>
      </c>
      <c r="F1624" s="4">
        <v>800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f>SUM(Table1[[#This Row],[2025]:[2018]])</f>
        <v>800</v>
      </c>
      <c r="O1624" s="2">
        <f>Table1[[#This Row],[ttl]]/SUM(Table1[ttl])</f>
        <v>1.6131431861566507E-6</v>
      </c>
      <c r="P1624" s="3">
        <f>SUM($O$2:Table1[[#This Row],[pctAllTimeExp]])</f>
        <v>0.99948374157179787</v>
      </c>
      <c r="Q1624" t="b">
        <f>Table1[[#This Row],[cumPctAllTimeExp]]&lt;0.95</f>
        <v>0</v>
      </c>
    </row>
    <row r="1625" spans="1:17" x14ac:dyDescent="0.25">
      <c r="A1625">
        <v>503</v>
      </c>
      <c r="C1625" t="s">
        <v>2508</v>
      </c>
      <c r="E1625" t="s">
        <v>505</v>
      </c>
      <c r="F1625" s="4">
        <v>800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f>SUM(Table1[[#This Row],[2025]:[2018]])</f>
        <v>800</v>
      </c>
      <c r="O1625" s="2">
        <f>Table1[[#This Row],[ttl]]/SUM(Table1[ttl])</f>
        <v>1.6131431861566507E-6</v>
      </c>
      <c r="P1625" s="3">
        <f>SUM($O$2:Table1[[#This Row],[pctAllTimeExp]])</f>
        <v>0.99948535471498401</v>
      </c>
      <c r="Q1625" t="b">
        <f>Table1[[#This Row],[cumPctAllTimeExp]]&lt;0.95</f>
        <v>0</v>
      </c>
    </row>
    <row r="1626" spans="1:17" x14ac:dyDescent="0.25">
      <c r="A1626">
        <v>846</v>
      </c>
      <c r="C1626" t="s">
        <v>2508</v>
      </c>
      <c r="E1626" t="s">
        <v>848</v>
      </c>
      <c r="F1626" s="4">
        <v>0</v>
      </c>
      <c r="G1626" s="4">
        <v>800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f>SUM(Table1[[#This Row],[2025]:[2018]])</f>
        <v>800</v>
      </c>
      <c r="O1626" s="2">
        <f>Table1[[#This Row],[ttl]]/SUM(Table1[ttl])</f>
        <v>1.6131431861566507E-6</v>
      </c>
      <c r="P1626" s="3">
        <f>SUM($O$2:Table1[[#This Row],[pctAllTimeExp]])</f>
        <v>0.99948696785817015</v>
      </c>
      <c r="Q1626" t="b">
        <f>Table1[[#This Row],[cumPctAllTimeExp]]&lt;0.95</f>
        <v>0</v>
      </c>
    </row>
    <row r="1627" spans="1:17" x14ac:dyDescent="0.25">
      <c r="A1627">
        <v>1100</v>
      </c>
      <c r="C1627" t="s">
        <v>2508</v>
      </c>
      <c r="E1627" t="s">
        <v>1102</v>
      </c>
      <c r="F1627" s="4">
        <v>0</v>
      </c>
      <c r="G1627" s="4">
        <v>0</v>
      </c>
      <c r="H1627" s="4">
        <v>800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f>SUM(Table1[[#This Row],[2025]:[2018]])</f>
        <v>800</v>
      </c>
      <c r="O1627" s="2">
        <f>Table1[[#This Row],[ttl]]/SUM(Table1[ttl])</f>
        <v>1.6131431861566507E-6</v>
      </c>
      <c r="P1627" s="3">
        <f>SUM($O$2:Table1[[#This Row],[pctAllTimeExp]])</f>
        <v>0.99948858100135629</v>
      </c>
      <c r="Q1627" t="b">
        <f>Table1[[#This Row],[cumPctAllTimeExp]]&lt;0.95</f>
        <v>0</v>
      </c>
    </row>
    <row r="1628" spans="1:17" x14ac:dyDescent="0.25">
      <c r="A1628">
        <v>1131</v>
      </c>
      <c r="C1628" t="s">
        <v>2508</v>
      </c>
      <c r="E1628" t="s">
        <v>1133</v>
      </c>
      <c r="F1628" s="4">
        <v>0</v>
      </c>
      <c r="G1628" s="4">
        <v>0</v>
      </c>
      <c r="H1628" s="4">
        <v>400</v>
      </c>
      <c r="I1628" s="4">
        <v>0</v>
      </c>
      <c r="J1628" s="4">
        <v>400</v>
      </c>
      <c r="K1628" s="4">
        <v>0</v>
      </c>
      <c r="L1628" s="4">
        <v>0</v>
      </c>
      <c r="M1628" s="4">
        <v>0</v>
      </c>
      <c r="N1628" s="4">
        <f>SUM(Table1[[#This Row],[2025]:[2018]])</f>
        <v>800</v>
      </c>
      <c r="O1628" s="2">
        <f>Table1[[#This Row],[ttl]]/SUM(Table1[ttl])</f>
        <v>1.6131431861566507E-6</v>
      </c>
      <c r="P1628" s="3">
        <f>SUM($O$2:Table1[[#This Row],[pctAllTimeExp]])</f>
        <v>0.99949019414454243</v>
      </c>
      <c r="Q1628" t="b">
        <f>Table1[[#This Row],[cumPctAllTimeExp]]&lt;0.95</f>
        <v>0</v>
      </c>
    </row>
    <row r="1629" spans="1:17" x14ac:dyDescent="0.25">
      <c r="A1629">
        <v>1291</v>
      </c>
      <c r="C1629" t="s">
        <v>2508</v>
      </c>
      <c r="E1629" t="s">
        <v>1293</v>
      </c>
      <c r="F1629" s="4">
        <v>0</v>
      </c>
      <c r="G1629" s="4">
        <v>0</v>
      </c>
      <c r="H1629" s="4">
        <v>0</v>
      </c>
      <c r="I1629" s="4">
        <v>800</v>
      </c>
      <c r="J1629" s="4">
        <v>0</v>
      </c>
      <c r="K1629" s="4">
        <v>0</v>
      </c>
      <c r="L1629" s="4">
        <v>0</v>
      </c>
      <c r="M1629" s="4">
        <v>0</v>
      </c>
      <c r="N1629" s="4">
        <f>SUM(Table1[[#This Row],[2025]:[2018]])</f>
        <v>800</v>
      </c>
      <c r="O1629" s="2">
        <f>Table1[[#This Row],[ttl]]/SUM(Table1[ttl])</f>
        <v>1.6131431861566507E-6</v>
      </c>
      <c r="P1629" s="3">
        <f>SUM($O$2:Table1[[#This Row],[pctAllTimeExp]])</f>
        <v>0.99949180728772857</v>
      </c>
      <c r="Q1629" t="b">
        <f>Table1[[#This Row],[cumPctAllTimeExp]]&lt;0.95</f>
        <v>0</v>
      </c>
    </row>
    <row r="1630" spans="1:17" x14ac:dyDescent="0.25">
      <c r="A1630">
        <v>1292</v>
      </c>
      <c r="C1630" t="s">
        <v>2508</v>
      </c>
      <c r="E1630" t="s">
        <v>1294</v>
      </c>
      <c r="F1630" s="4">
        <v>0</v>
      </c>
      <c r="G1630" s="4">
        <v>0</v>
      </c>
      <c r="H1630" s="4">
        <v>0</v>
      </c>
      <c r="I1630" s="4">
        <v>800</v>
      </c>
      <c r="J1630" s="4">
        <v>0</v>
      </c>
      <c r="K1630" s="4">
        <v>0</v>
      </c>
      <c r="L1630" s="4">
        <v>0</v>
      </c>
      <c r="M1630" s="4">
        <v>0</v>
      </c>
      <c r="N1630" s="4">
        <f>SUM(Table1[[#This Row],[2025]:[2018]])</f>
        <v>800</v>
      </c>
      <c r="O1630" s="2">
        <f>Table1[[#This Row],[ttl]]/SUM(Table1[ttl])</f>
        <v>1.6131431861566507E-6</v>
      </c>
      <c r="P1630" s="3">
        <f>SUM($O$2:Table1[[#This Row],[pctAllTimeExp]])</f>
        <v>0.99949342043091471</v>
      </c>
      <c r="Q1630" t="b">
        <f>Table1[[#This Row],[cumPctAllTimeExp]]&lt;0.95</f>
        <v>0</v>
      </c>
    </row>
    <row r="1631" spans="1:17" x14ac:dyDescent="0.25">
      <c r="A1631">
        <v>1493</v>
      </c>
      <c r="C1631" t="s">
        <v>2508</v>
      </c>
      <c r="E1631" t="s">
        <v>1495</v>
      </c>
      <c r="F1631" s="4">
        <v>0</v>
      </c>
      <c r="G1631" s="4">
        <v>0</v>
      </c>
      <c r="H1631" s="4">
        <v>0</v>
      </c>
      <c r="I1631" s="4">
        <v>0</v>
      </c>
      <c r="J1631" s="4">
        <v>800</v>
      </c>
      <c r="K1631" s="4">
        <v>0</v>
      </c>
      <c r="L1631" s="4">
        <v>0</v>
      </c>
      <c r="M1631" s="4">
        <v>0</v>
      </c>
      <c r="N1631" s="4">
        <f>SUM(Table1[[#This Row],[2025]:[2018]])</f>
        <v>800</v>
      </c>
      <c r="O1631" s="2">
        <f>Table1[[#This Row],[ttl]]/SUM(Table1[ttl])</f>
        <v>1.6131431861566507E-6</v>
      </c>
      <c r="P1631" s="3">
        <f>SUM($O$2:Table1[[#This Row],[pctAllTimeExp]])</f>
        <v>0.99949503357410086</v>
      </c>
      <c r="Q1631" t="b">
        <f>Table1[[#This Row],[cumPctAllTimeExp]]&lt;0.95</f>
        <v>0</v>
      </c>
    </row>
    <row r="1632" spans="1:17" x14ac:dyDescent="0.25">
      <c r="A1632">
        <v>1531</v>
      </c>
      <c r="C1632" t="s">
        <v>2508</v>
      </c>
      <c r="E1632" t="s">
        <v>1533</v>
      </c>
      <c r="F1632" s="4">
        <v>0</v>
      </c>
      <c r="G1632" s="4">
        <v>0</v>
      </c>
      <c r="H1632" s="4">
        <v>0</v>
      </c>
      <c r="I1632" s="4">
        <v>0</v>
      </c>
      <c r="J1632" s="4">
        <v>400</v>
      </c>
      <c r="K1632" s="4">
        <v>400</v>
      </c>
      <c r="L1632" s="4">
        <v>0</v>
      </c>
      <c r="M1632" s="4">
        <v>0</v>
      </c>
      <c r="N1632" s="4">
        <f>SUM(Table1[[#This Row],[2025]:[2018]])</f>
        <v>800</v>
      </c>
      <c r="O1632" s="2">
        <f>Table1[[#This Row],[ttl]]/SUM(Table1[ttl])</f>
        <v>1.6131431861566507E-6</v>
      </c>
      <c r="P1632" s="3">
        <f>SUM($O$2:Table1[[#This Row],[pctAllTimeExp]])</f>
        <v>0.999496646717287</v>
      </c>
      <c r="Q1632" t="b">
        <f>Table1[[#This Row],[cumPctAllTimeExp]]&lt;0.95</f>
        <v>0</v>
      </c>
    </row>
    <row r="1633" spans="1:17" x14ac:dyDescent="0.25">
      <c r="A1633">
        <v>1786</v>
      </c>
      <c r="C1633" t="s">
        <v>2508</v>
      </c>
      <c r="E1633" t="s">
        <v>1788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800</v>
      </c>
      <c r="L1633" s="4">
        <v>0</v>
      </c>
      <c r="M1633" s="4">
        <v>0</v>
      </c>
      <c r="N1633" s="4">
        <f>SUM(Table1[[#This Row],[2025]:[2018]])</f>
        <v>800</v>
      </c>
      <c r="O1633" s="2">
        <f>Table1[[#This Row],[ttl]]/SUM(Table1[ttl])</f>
        <v>1.6131431861566507E-6</v>
      </c>
      <c r="P1633" s="3">
        <f>SUM($O$2:Table1[[#This Row],[pctAllTimeExp]])</f>
        <v>0.99949825986047314</v>
      </c>
      <c r="Q1633" t="b">
        <f>Table1[[#This Row],[cumPctAllTimeExp]]&lt;0.95</f>
        <v>0</v>
      </c>
    </row>
    <row r="1634" spans="1:17" x14ac:dyDescent="0.25">
      <c r="A1634">
        <v>1822</v>
      </c>
      <c r="C1634" t="s">
        <v>2508</v>
      </c>
      <c r="E1634" t="s">
        <v>1824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400</v>
      </c>
      <c r="L1634" s="4">
        <v>400</v>
      </c>
      <c r="M1634" s="4">
        <v>0</v>
      </c>
      <c r="N1634" s="4">
        <f>SUM(Table1[[#This Row],[2025]:[2018]])</f>
        <v>800</v>
      </c>
      <c r="O1634" s="2">
        <f>Table1[[#This Row],[ttl]]/SUM(Table1[ttl])</f>
        <v>1.6131431861566507E-6</v>
      </c>
      <c r="P1634" s="3">
        <f>SUM($O$2:Table1[[#This Row],[pctAllTimeExp]])</f>
        <v>0.99949987300365928</v>
      </c>
      <c r="Q1634" t="b">
        <f>Table1[[#This Row],[cumPctAllTimeExp]]&lt;0.95</f>
        <v>0</v>
      </c>
    </row>
    <row r="1635" spans="1:17" x14ac:dyDescent="0.25">
      <c r="A1635">
        <v>2092</v>
      </c>
      <c r="C1635" t="s">
        <v>2508</v>
      </c>
      <c r="E1635" t="s">
        <v>2094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800</v>
      </c>
      <c r="M1635" s="4">
        <v>0</v>
      </c>
      <c r="N1635" s="4">
        <f>SUM(Table1[[#This Row],[2025]:[2018]])</f>
        <v>800</v>
      </c>
      <c r="O1635" s="2">
        <f>Table1[[#This Row],[ttl]]/SUM(Table1[ttl])</f>
        <v>1.6131431861566507E-6</v>
      </c>
      <c r="P1635" s="3">
        <f>SUM($O$2:Table1[[#This Row],[pctAllTimeExp]])</f>
        <v>0.99950148614684542</v>
      </c>
      <c r="Q1635" t="b">
        <f>Table1[[#This Row],[cumPctAllTimeExp]]&lt;0.95</f>
        <v>0</v>
      </c>
    </row>
    <row r="1636" spans="1:17" x14ac:dyDescent="0.25">
      <c r="A1636">
        <v>2093</v>
      </c>
      <c r="C1636" t="s">
        <v>2508</v>
      </c>
      <c r="E1636" t="s">
        <v>2095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800</v>
      </c>
      <c r="M1636" s="4">
        <v>0</v>
      </c>
      <c r="N1636" s="4">
        <f>SUM(Table1[[#This Row],[2025]:[2018]])</f>
        <v>800</v>
      </c>
      <c r="O1636" s="2">
        <f>Table1[[#This Row],[ttl]]/SUM(Table1[ttl])</f>
        <v>1.6131431861566507E-6</v>
      </c>
      <c r="P1636" s="3">
        <f>SUM($O$2:Table1[[#This Row],[pctAllTimeExp]])</f>
        <v>0.99950309929003156</v>
      </c>
      <c r="Q1636" t="b">
        <f>Table1[[#This Row],[cumPctAllTimeExp]]&lt;0.95</f>
        <v>0</v>
      </c>
    </row>
    <row r="1637" spans="1:17" x14ac:dyDescent="0.25">
      <c r="A1637">
        <v>1101</v>
      </c>
      <c r="C1637" t="s">
        <v>2508</v>
      </c>
      <c r="E1637" t="s">
        <v>1103</v>
      </c>
      <c r="F1637" s="4">
        <v>0</v>
      </c>
      <c r="G1637" s="4">
        <v>0</v>
      </c>
      <c r="H1637" s="4">
        <v>795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f>SUM(Table1[[#This Row],[2025]:[2018]])</f>
        <v>795</v>
      </c>
      <c r="O1637" s="2">
        <f>Table1[[#This Row],[ttl]]/SUM(Table1[ttl])</f>
        <v>1.6030610412431717E-6</v>
      </c>
      <c r="P1637" s="3">
        <f>SUM($O$2:Table1[[#This Row],[pctAllTimeExp]])</f>
        <v>0.9995047023510728</v>
      </c>
      <c r="Q1637" t="b">
        <f>Table1[[#This Row],[cumPctAllTimeExp]]&lt;0.95</f>
        <v>0</v>
      </c>
    </row>
    <row r="1638" spans="1:17" x14ac:dyDescent="0.25">
      <c r="A1638">
        <v>505</v>
      </c>
      <c r="C1638" t="s">
        <v>2508</v>
      </c>
      <c r="E1638" t="s">
        <v>507</v>
      </c>
      <c r="F1638" s="4">
        <v>782.99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f>SUM(Table1[[#This Row],[2025]:[2018]])</f>
        <v>782.99</v>
      </c>
      <c r="O1638" s="2">
        <f>Table1[[#This Row],[ttl]]/SUM(Table1[ttl])</f>
        <v>1.5788437291609951E-6</v>
      </c>
      <c r="P1638" s="3">
        <f>SUM($O$2:Table1[[#This Row],[pctAllTimeExp]])</f>
        <v>0.999506281194802</v>
      </c>
      <c r="Q1638" t="b">
        <f>Table1[[#This Row],[cumPctAllTimeExp]]&lt;0.95</f>
        <v>0</v>
      </c>
    </row>
    <row r="1639" spans="1:17" x14ac:dyDescent="0.25">
      <c r="A1639">
        <v>2107</v>
      </c>
      <c r="C1639" t="s">
        <v>2508</v>
      </c>
      <c r="E1639" t="s">
        <v>2109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613.20000000000005</v>
      </c>
      <c r="M1639" s="4">
        <v>167.2</v>
      </c>
      <c r="N1639" s="4">
        <f>SUM(Table1[[#This Row],[2025]:[2018]])</f>
        <v>780.40000000000009</v>
      </c>
      <c r="O1639" s="2">
        <f>Table1[[#This Row],[ttl]]/SUM(Table1[ttl])</f>
        <v>1.573621178095813E-6</v>
      </c>
      <c r="P1639" s="3">
        <f>SUM($O$2:Table1[[#This Row],[pctAllTimeExp]])</f>
        <v>0.99950785481598015</v>
      </c>
      <c r="Q1639" t="b">
        <f>Table1[[#This Row],[cumPctAllTimeExp]]&lt;0.95</f>
        <v>0</v>
      </c>
    </row>
    <row r="1640" spans="1:17" x14ac:dyDescent="0.25">
      <c r="A1640">
        <v>568</v>
      </c>
      <c r="C1640" t="s">
        <v>2508</v>
      </c>
      <c r="E1640" t="s">
        <v>570</v>
      </c>
      <c r="F1640" s="4">
        <v>480</v>
      </c>
      <c r="G1640" s="4">
        <v>300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f>SUM(Table1[[#This Row],[2025]:[2018]])</f>
        <v>780</v>
      </c>
      <c r="O1640" s="2">
        <f>Table1[[#This Row],[ttl]]/SUM(Table1[ttl])</f>
        <v>1.5728146065027344E-6</v>
      </c>
      <c r="P1640" s="3">
        <f>SUM($O$2:Table1[[#This Row],[pctAllTimeExp]])</f>
        <v>0.9995094276305867</v>
      </c>
      <c r="Q1640" t="b">
        <f>Table1[[#This Row],[cumPctAllTimeExp]]&lt;0.95</f>
        <v>0</v>
      </c>
    </row>
    <row r="1641" spans="1:17" x14ac:dyDescent="0.25">
      <c r="A1641">
        <v>2346</v>
      </c>
      <c r="C1641" t="s">
        <v>2508</v>
      </c>
      <c r="E1641" t="s">
        <v>2348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780</v>
      </c>
      <c r="N1641" s="4">
        <f>SUM(Table1[[#This Row],[2025]:[2018]])</f>
        <v>780</v>
      </c>
      <c r="O1641" s="2">
        <f>Table1[[#This Row],[ttl]]/SUM(Table1[ttl])</f>
        <v>1.5728146065027344E-6</v>
      </c>
      <c r="P1641" s="3">
        <f>SUM($O$2:Table1[[#This Row],[pctAllTimeExp]])</f>
        <v>0.99951100044519325</v>
      </c>
      <c r="Q1641" t="b">
        <f>Table1[[#This Row],[cumPctAllTimeExp]]&lt;0.95</f>
        <v>0</v>
      </c>
    </row>
    <row r="1642" spans="1:17" x14ac:dyDescent="0.25">
      <c r="A1642">
        <v>2347</v>
      </c>
      <c r="C1642" t="s">
        <v>2508</v>
      </c>
      <c r="E1642" t="s">
        <v>2349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780</v>
      </c>
      <c r="N1642" s="4">
        <f>SUM(Table1[[#This Row],[2025]:[2018]])</f>
        <v>780</v>
      </c>
      <c r="O1642" s="2">
        <f>Table1[[#This Row],[ttl]]/SUM(Table1[ttl])</f>
        <v>1.5728146065027344E-6</v>
      </c>
      <c r="P1642" s="3">
        <f>SUM($O$2:Table1[[#This Row],[pctAllTimeExp]])</f>
        <v>0.99951257325979981</v>
      </c>
      <c r="Q1642" t="b">
        <f>Table1[[#This Row],[cumPctAllTimeExp]]&lt;0.95</f>
        <v>0</v>
      </c>
    </row>
    <row r="1643" spans="1:17" x14ac:dyDescent="0.25">
      <c r="A1643">
        <v>507</v>
      </c>
      <c r="C1643" t="s">
        <v>2508</v>
      </c>
      <c r="E1643" t="s">
        <v>509</v>
      </c>
      <c r="F1643" s="4">
        <v>777.68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f>SUM(Table1[[#This Row],[2025]:[2018]])</f>
        <v>777.68</v>
      </c>
      <c r="O1643" s="2">
        <f>Table1[[#This Row],[ttl]]/SUM(Table1[ttl])</f>
        <v>1.5681364912628801E-6</v>
      </c>
      <c r="P1643" s="3">
        <f>SUM($O$2:Table1[[#This Row],[pctAllTimeExp]])</f>
        <v>0.99951414139629102</v>
      </c>
      <c r="Q1643" t="b">
        <f>Table1[[#This Row],[cumPctAllTimeExp]]&lt;0.95</f>
        <v>0</v>
      </c>
    </row>
    <row r="1644" spans="1:17" x14ac:dyDescent="0.25">
      <c r="A1644">
        <v>2348</v>
      </c>
      <c r="C1644" t="s">
        <v>2508</v>
      </c>
      <c r="E1644" t="s">
        <v>2350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776.26</v>
      </c>
      <c r="N1644" s="4">
        <f>SUM(Table1[[#This Row],[2025]:[2018]])</f>
        <v>776.26</v>
      </c>
      <c r="O1644" s="2">
        <f>Table1[[#This Row],[ttl]]/SUM(Table1[ttl])</f>
        <v>1.5652731621074522E-6</v>
      </c>
      <c r="P1644" s="3">
        <f>SUM($O$2:Table1[[#This Row],[pctAllTimeExp]])</f>
        <v>0.99951570666945311</v>
      </c>
      <c r="Q1644" t="b">
        <f>Table1[[#This Row],[cumPctAllTimeExp]]&lt;0.95</f>
        <v>0</v>
      </c>
    </row>
    <row r="1645" spans="1:17" x14ac:dyDescent="0.25">
      <c r="A1645">
        <v>848</v>
      </c>
      <c r="C1645" t="s">
        <v>2508</v>
      </c>
      <c r="E1645" t="s">
        <v>850</v>
      </c>
      <c r="F1645" s="4">
        <v>0</v>
      </c>
      <c r="G1645" s="4">
        <v>769.4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f>SUM(Table1[[#This Row],[2025]:[2018]])</f>
        <v>769.4</v>
      </c>
      <c r="O1645" s="2">
        <f>Table1[[#This Row],[ttl]]/SUM(Table1[ttl])</f>
        <v>1.5514404592861589E-6</v>
      </c>
      <c r="P1645" s="3">
        <f>SUM($O$2:Table1[[#This Row],[pctAllTimeExp]])</f>
        <v>0.99951725810991243</v>
      </c>
      <c r="Q1645" t="b">
        <f>Table1[[#This Row],[cumPctAllTimeExp]]&lt;0.95</f>
        <v>0</v>
      </c>
    </row>
    <row r="1646" spans="1:17" x14ac:dyDescent="0.25">
      <c r="A1646">
        <v>508</v>
      </c>
      <c r="C1646" t="s">
        <v>2508</v>
      </c>
      <c r="E1646" t="s">
        <v>510</v>
      </c>
      <c r="F1646" s="4">
        <v>766.02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f>SUM(Table1[[#This Row],[2025]:[2018]])</f>
        <v>766.02</v>
      </c>
      <c r="O1646" s="2">
        <f>Table1[[#This Row],[ttl]]/SUM(Table1[ttl])</f>
        <v>1.5446249293246471E-6</v>
      </c>
      <c r="P1646" s="3">
        <f>SUM($O$2:Table1[[#This Row],[pctAllTimeExp]])</f>
        <v>0.99951880273484173</v>
      </c>
      <c r="Q1646" t="b">
        <f>Table1[[#This Row],[cumPctAllTimeExp]]&lt;0.95</f>
        <v>0</v>
      </c>
    </row>
    <row r="1647" spans="1:17" x14ac:dyDescent="0.25">
      <c r="A1647">
        <v>933</v>
      </c>
      <c r="C1647" t="s">
        <v>2508</v>
      </c>
      <c r="E1647" t="s">
        <v>935</v>
      </c>
      <c r="F1647" s="4">
        <v>0</v>
      </c>
      <c r="G1647" s="4">
        <v>100</v>
      </c>
      <c r="H1647" s="4">
        <v>305</v>
      </c>
      <c r="I1647" s="4">
        <v>0</v>
      </c>
      <c r="J1647" s="4">
        <v>240</v>
      </c>
      <c r="K1647" s="4">
        <v>120</v>
      </c>
      <c r="L1647" s="4">
        <v>0</v>
      </c>
      <c r="M1647" s="4">
        <v>0</v>
      </c>
      <c r="N1647" s="4">
        <f>SUM(Table1[[#This Row],[2025]:[2018]])</f>
        <v>765</v>
      </c>
      <c r="O1647" s="2">
        <f>Table1[[#This Row],[ttl]]/SUM(Table1[ttl])</f>
        <v>1.5425681717622974E-6</v>
      </c>
      <c r="P1647" s="3">
        <f>SUM($O$2:Table1[[#This Row],[pctAllTimeExp]])</f>
        <v>0.99952034530301348</v>
      </c>
      <c r="Q1647" t="b">
        <f>Table1[[#This Row],[cumPctAllTimeExp]]&lt;0.95</f>
        <v>0</v>
      </c>
    </row>
    <row r="1648" spans="1:17" x14ac:dyDescent="0.25">
      <c r="A1648">
        <v>1494</v>
      </c>
      <c r="C1648" t="s">
        <v>2508</v>
      </c>
      <c r="E1648" t="s">
        <v>1496</v>
      </c>
      <c r="F1648" s="4">
        <v>0</v>
      </c>
      <c r="G1648" s="4">
        <v>0</v>
      </c>
      <c r="H1648" s="4">
        <v>0</v>
      </c>
      <c r="I1648" s="4">
        <v>0</v>
      </c>
      <c r="J1648" s="4">
        <v>760</v>
      </c>
      <c r="K1648" s="4">
        <v>0</v>
      </c>
      <c r="L1648" s="4">
        <v>0</v>
      </c>
      <c r="M1648" s="4">
        <v>0</v>
      </c>
      <c r="N1648" s="4">
        <f>SUM(Table1[[#This Row],[2025]:[2018]])</f>
        <v>760</v>
      </c>
      <c r="O1648" s="2">
        <f>Table1[[#This Row],[ttl]]/SUM(Table1[ttl])</f>
        <v>1.5324860268488184E-6</v>
      </c>
      <c r="P1648" s="3">
        <f>SUM($O$2:Table1[[#This Row],[pctAllTimeExp]])</f>
        <v>0.99952187778904034</v>
      </c>
      <c r="Q1648" t="b">
        <f>Table1[[#This Row],[cumPctAllTimeExp]]&lt;0.95</f>
        <v>0</v>
      </c>
    </row>
    <row r="1649" spans="1:17" x14ac:dyDescent="0.25">
      <c r="A1649">
        <v>2140</v>
      </c>
      <c r="C1649" t="s">
        <v>2508</v>
      </c>
      <c r="E1649" t="s">
        <v>2142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380</v>
      </c>
      <c r="M1649" s="4">
        <v>380</v>
      </c>
      <c r="N1649" s="4">
        <f>SUM(Table1[[#This Row],[2025]:[2018]])</f>
        <v>760</v>
      </c>
      <c r="O1649" s="2">
        <f>Table1[[#This Row],[ttl]]/SUM(Table1[ttl])</f>
        <v>1.5324860268488184E-6</v>
      </c>
      <c r="P1649" s="3">
        <f>SUM($O$2:Table1[[#This Row],[pctAllTimeExp]])</f>
        <v>0.99952341027506719</v>
      </c>
      <c r="Q1649" t="b">
        <f>Table1[[#This Row],[cumPctAllTimeExp]]&lt;0.95</f>
        <v>0</v>
      </c>
    </row>
    <row r="1650" spans="1:17" x14ac:dyDescent="0.25">
      <c r="A1650">
        <v>1612</v>
      </c>
      <c r="C1650" t="s">
        <v>2508</v>
      </c>
      <c r="E1650" t="s">
        <v>1614</v>
      </c>
      <c r="F1650" s="4">
        <v>0</v>
      </c>
      <c r="G1650" s="4">
        <v>0</v>
      </c>
      <c r="H1650" s="4">
        <v>0</v>
      </c>
      <c r="I1650" s="4">
        <v>0</v>
      </c>
      <c r="J1650" s="4">
        <v>109.63</v>
      </c>
      <c r="K1650" s="4">
        <v>432.55</v>
      </c>
      <c r="L1650" s="4">
        <v>214.07</v>
      </c>
      <c r="M1650" s="4">
        <v>0</v>
      </c>
      <c r="N1650" s="4">
        <f>SUM(Table1[[#This Row],[2025]:[2018]])</f>
        <v>756.25</v>
      </c>
      <c r="O1650" s="2">
        <f>Table1[[#This Row],[ttl]]/SUM(Table1[ttl])</f>
        <v>1.5249244181637089E-6</v>
      </c>
      <c r="P1650" s="3">
        <f>SUM($O$2:Table1[[#This Row],[pctAllTimeExp]])</f>
        <v>0.99952493519948538</v>
      </c>
      <c r="Q1650" t="b">
        <f>Table1[[#This Row],[cumPctAllTimeExp]]&lt;0.95</f>
        <v>0</v>
      </c>
    </row>
    <row r="1651" spans="1:17" x14ac:dyDescent="0.25">
      <c r="A1651">
        <v>1495</v>
      </c>
      <c r="C1651" t="s">
        <v>2508</v>
      </c>
      <c r="E1651" t="s">
        <v>1497</v>
      </c>
      <c r="F1651" s="4">
        <v>0</v>
      </c>
      <c r="G1651" s="4">
        <v>0</v>
      </c>
      <c r="H1651" s="4">
        <v>0</v>
      </c>
      <c r="I1651" s="4">
        <v>0</v>
      </c>
      <c r="J1651" s="4">
        <v>753.5</v>
      </c>
      <c r="K1651" s="4">
        <v>0</v>
      </c>
      <c r="L1651" s="4">
        <v>0</v>
      </c>
      <c r="M1651" s="4">
        <v>0</v>
      </c>
      <c r="N1651" s="4">
        <f>SUM(Table1[[#This Row],[2025]:[2018]])</f>
        <v>753.5</v>
      </c>
      <c r="O1651" s="2">
        <f>Table1[[#This Row],[ttl]]/SUM(Table1[ttl])</f>
        <v>1.5193792384612955E-6</v>
      </c>
      <c r="P1651" s="3">
        <f>SUM($O$2:Table1[[#This Row],[pctAllTimeExp]])</f>
        <v>0.9995264545787238</v>
      </c>
      <c r="Q1651" t="b">
        <f>Table1[[#This Row],[cumPctAllTimeExp]]&lt;0.95</f>
        <v>0</v>
      </c>
    </row>
    <row r="1652" spans="1:17" x14ac:dyDescent="0.25">
      <c r="A1652">
        <v>1105</v>
      </c>
      <c r="C1652" t="s">
        <v>2508</v>
      </c>
      <c r="E1652" t="s">
        <v>1107</v>
      </c>
      <c r="F1652" s="4">
        <v>0</v>
      </c>
      <c r="G1652" s="4">
        <v>0</v>
      </c>
      <c r="H1652" s="4">
        <v>750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f>SUM(Table1[[#This Row],[2025]:[2018]])</f>
        <v>750</v>
      </c>
      <c r="O1652" s="2">
        <f>Table1[[#This Row],[ttl]]/SUM(Table1[ttl])</f>
        <v>1.5123217370218601E-6</v>
      </c>
      <c r="P1652" s="3">
        <f>SUM($O$2:Table1[[#This Row],[pctAllTimeExp]])</f>
        <v>0.99952796690046086</v>
      </c>
      <c r="Q1652" t="b">
        <f>Table1[[#This Row],[cumPctAllTimeExp]]&lt;0.95</f>
        <v>0</v>
      </c>
    </row>
    <row r="1653" spans="1:17" x14ac:dyDescent="0.25">
      <c r="A1653">
        <v>1106</v>
      </c>
      <c r="C1653" t="s">
        <v>2508</v>
      </c>
      <c r="E1653" t="s">
        <v>1108</v>
      </c>
      <c r="F1653" s="4">
        <v>0</v>
      </c>
      <c r="G1653" s="4">
        <v>0</v>
      </c>
      <c r="H1653" s="4">
        <v>750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f>SUM(Table1[[#This Row],[2025]:[2018]])</f>
        <v>750</v>
      </c>
      <c r="O1653" s="2">
        <f>Table1[[#This Row],[ttl]]/SUM(Table1[ttl])</f>
        <v>1.5123217370218601E-6</v>
      </c>
      <c r="P1653" s="3">
        <f>SUM($O$2:Table1[[#This Row],[pctAllTimeExp]])</f>
        <v>0.99952947922219793</v>
      </c>
      <c r="Q1653" t="b">
        <f>Table1[[#This Row],[cumPctAllTimeExp]]&lt;0.95</f>
        <v>0</v>
      </c>
    </row>
    <row r="1654" spans="1:17" x14ac:dyDescent="0.25">
      <c r="A1654">
        <v>1174</v>
      </c>
      <c r="C1654" t="s">
        <v>2508</v>
      </c>
      <c r="E1654" t="s">
        <v>1176</v>
      </c>
      <c r="F1654" s="4">
        <v>0</v>
      </c>
      <c r="G1654" s="4">
        <v>0</v>
      </c>
      <c r="H1654" s="4">
        <v>100</v>
      </c>
      <c r="I1654" s="4">
        <v>100</v>
      </c>
      <c r="J1654" s="4">
        <v>0</v>
      </c>
      <c r="K1654" s="4">
        <v>300</v>
      </c>
      <c r="L1654" s="4">
        <v>100</v>
      </c>
      <c r="M1654" s="4">
        <v>150</v>
      </c>
      <c r="N1654" s="4">
        <f>SUM(Table1[[#This Row],[2025]:[2018]])</f>
        <v>750</v>
      </c>
      <c r="O1654" s="2">
        <f>Table1[[#This Row],[ttl]]/SUM(Table1[ttl])</f>
        <v>1.5123217370218601E-6</v>
      </c>
      <c r="P1654" s="3">
        <f>SUM($O$2:Table1[[#This Row],[pctAllTimeExp]])</f>
        <v>0.99953099154393499</v>
      </c>
      <c r="Q1654" t="b">
        <f>Table1[[#This Row],[cumPctAllTimeExp]]&lt;0.95</f>
        <v>0</v>
      </c>
    </row>
    <row r="1655" spans="1:17" x14ac:dyDescent="0.25">
      <c r="A1655">
        <v>1496</v>
      </c>
      <c r="C1655" t="s">
        <v>2508</v>
      </c>
      <c r="E1655" t="s">
        <v>1498</v>
      </c>
      <c r="F1655" s="4">
        <v>0</v>
      </c>
      <c r="G1655" s="4">
        <v>0</v>
      </c>
      <c r="H1655" s="4">
        <v>0</v>
      </c>
      <c r="I1655" s="4">
        <v>0</v>
      </c>
      <c r="J1655" s="4">
        <v>750</v>
      </c>
      <c r="K1655" s="4">
        <v>0</v>
      </c>
      <c r="L1655" s="4">
        <v>0</v>
      </c>
      <c r="M1655" s="4">
        <v>0</v>
      </c>
      <c r="N1655" s="4">
        <f>SUM(Table1[[#This Row],[2025]:[2018]])</f>
        <v>750</v>
      </c>
      <c r="O1655" s="2">
        <f>Table1[[#This Row],[ttl]]/SUM(Table1[ttl])</f>
        <v>1.5123217370218601E-6</v>
      </c>
      <c r="P1655" s="3">
        <f>SUM($O$2:Table1[[#This Row],[pctAllTimeExp]])</f>
        <v>0.99953250386567205</v>
      </c>
      <c r="Q1655" t="b">
        <f>Table1[[#This Row],[cumPctAllTimeExp]]&lt;0.95</f>
        <v>0</v>
      </c>
    </row>
    <row r="1656" spans="1:17" x14ac:dyDescent="0.25">
      <c r="A1656">
        <v>1497</v>
      </c>
      <c r="C1656" t="s">
        <v>2508</v>
      </c>
      <c r="E1656" t="s">
        <v>1499</v>
      </c>
      <c r="F1656" s="4">
        <v>0</v>
      </c>
      <c r="G1656" s="4">
        <v>0</v>
      </c>
      <c r="H1656" s="4">
        <v>0</v>
      </c>
      <c r="I1656" s="4">
        <v>0</v>
      </c>
      <c r="J1656" s="4">
        <v>750</v>
      </c>
      <c r="K1656" s="4">
        <v>0</v>
      </c>
      <c r="L1656" s="4">
        <v>0</v>
      </c>
      <c r="M1656" s="4">
        <v>0</v>
      </c>
      <c r="N1656" s="4">
        <f>SUM(Table1[[#This Row],[2025]:[2018]])</f>
        <v>750</v>
      </c>
      <c r="O1656" s="2">
        <f>Table1[[#This Row],[ttl]]/SUM(Table1[ttl])</f>
        <v>1.5123217370218601E-6</v>
      </c>
      <c r="P1656" s="3">
        <f>SUM($O$2:Table1[[#This Row],[pctAllTimeExp]])</f>
        <v>0.99953401618740911</v>
      </c>
      <c r="Q1656" t="b">
        <f>Table1[[#This Row],[cumPctAllTimeExp]]&lt;0.95</f>
        <v>0</v>
      </c>
    </row>
    <row r="1657" spans="1:17" x14ac:dyDescent="0.25">
      <c r="A1657">
        <v>1498</v>
      </c>
      <c r="C1657" t="s">
        <v>2508</v>
      </c>
      <c r="E1657" t="s">
        <v>1500</v>
      </c>
      <c r="F1657" s="4">
        <v>0</v>
      </c>
      <c r="G1657" s="4">
        <v>0</v>
      </c>
      <c r="H1657" s="4">
        <v>0</v>
      </c>
      <c r="I1657" s="4">
        <v>0</v>
      </c>
      <c r="J1657" s="4">
        <v>750</v>
      </c>
      <c r="K1657" s="4">
        <v>0</v>
      </c>
      <c r="L1657" s="4">
        <v>0</v>
      </c>
      <c r="M1657" s="4">
        <v>0</v>
      </c>
      <c r="N1657" s="4">
        <f>SUM(Table1[[#This Row],[2025]:[2018]])</f>
        <v>750</v>
      </c>
      <c r="O1657" s="2">
        <f>Table1[[#This Row],[ttl]]/SUM(Table1[ttl])</f>
        <v>1.5123217370218601E-6</v>
      </c>
      <c r="P1657" s="3">
        <f>SUM($O$2:Table1[[#This Row],[pctAllTimeExp]])</f>
        <v>0.99953552850914618</v>
      </c>
      <c r="Q1657" t="b">
        <f>Table1[[#This Row],[cumPctAllTimeExp]]&lt;0.95</f>
        <v>0</v>
      </c>
    </row>
    <row r="1658" spans="1:17" x14ac:dyDescent="0.25">
      <c r="A1658">
        <v>1499</v>
      </c>
      <c r="C1658" t="s">
        <v>2508</v>
      </c>
      <c r="E1658" t="s">
        <v>1501</v>
      </c>
      <c r="F1658" s="4">
        <v>0</v>
      </c>
      <c r="G1658" s="4">
        <v>0</v>
      </c>
      <c r="H1658" s="4">
        <v>0</v>
      </c>
      <c r="I1658" s="4">
        <v>0</v>
      </c>
      <c r="J1658" s="4">
        <v>750</v>
      </c>
      <c r="K1658" s="4">
        <v>0</v>
      </c>
      <c r="L1658" s="4">
        <v>0</v>
      </c>
      <c r="M1658" s="4">
        <v>0</v>
      </c>
      <c r="N1658" s="4">
        <f>SUM(Table1[[#This Row],[2025]:[2018]])</f>
        <v>750</v>
      </c>
      <c r="O1658" s="2">
        <f>Table1[[#This Row],[ttl]]/SUM(Table1[ttl])</f>
        <v>1.5123217370218601E-6</v>
      </c>
      <c r="P1658" s="3">
        <f>SUM($O$2:Table1[[#This Row],[pctAllTimeExp]])</f>
        <v>0.99953704083088324</v>
      </c>
      <c r="Q1658" t="b">
        <f>Table1[[#This Row],[cumPctAllTimeExp]]&lt;0.95</f>
        <v>0</v>
      </c>
    </row>
    <row r="1659" spans="1:17" x14ac:dyDescent="0.25">
      <c r="A1659">
        <v>1788</v>
      </c>
      <c r="C1659" t="s">
        <v>2508</v>
      </c>
      <c r="E1659" t="s">
        <v>1790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750</v>
      </c>
      <c r="L1659" s="4">
        <v>0</v>
      </c>
      <c r="M1659" s="4">
        <v>0</v>
      </c>
      <c r="N1659" s="4">
        <f>SUM(Table1[[#This Row],[2025]:[2018]])</f>
        <v>750</v>
      </c>
      <c r="O1659" s="2">
        <f>Table1[[#This Row],[ttl]]/SUM(Table1[ttl])</f>
        <v>1.5123217370218601E-6</v>
      </c>
      <c r="P1659" s="3">
        <f>SUM($O$2:Table1[[#This Row],[pctAllTimeExp]])</f>
        <v>0.9995385531526203</v>
      </c>
      <c r="Q1659" t="b">
        <f>Table1[[#This Row],[cumPctAllTimeExp]]&lt;0.95</f>
        <v>0</v>
      </c>
    </row>
    <row r="1660" spans="1:17" x14ac:dyDescent="0.25">
      <c r="A1660">
        <v>1851</v>
      </c>
      <c r="C1660" t="s">
        <v>2508</v>
      </c>
      <c r="E1660" t="s">
        <v>1853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250</v>
      </c>
      <c r="L1660" s="4">
        <v>250</v>
      </c>
      <c r="M1660" s="4">
        <v>250</v>
      </c>
      <c r="N1660" s="4">
        <f>SUM(Table1[[#This Row],[2025]:[2018]])</f>
        <v>750</v>
      </c>
      <c r="O1660" s="2">
        <f>Table1[[#This Row],[ttl]]/SUM(Table1[ttl])</f>
        <v>1.5123217370218601E-6</v>
      </c>
      <c r="P1660" s="3">
        <f>SUM($O$2:Table1[[#This Row],[pctAllTimeExp]])</f>
        <v>0.99954006547435736</v>
      </c>
      <c r="Q1660" t="b">
        <f>Table1[[#This Row],[cumPctAllTimeExp]]&lt;0.95</f>
        <v>0</v>
      </c>
    </row>
    <row r="1661" spans="1:17" x14ac:dyDescent="0.25">
      <c r="A1661">
        <v>2095</v>
      </c>
      <c r="C1661" t="s">
        <v>2508</v>
      </c>
      <c r="E1661" t="s">
        <v>2097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750</v>
      </c>
      <c r="M1661" s="4">
        <v>0</v>
      </c>
      <c r="N1661" s="4">
        <f>SUM(Table1[[#This Row],[2025]:[2018]])</f>
        <v>750</v>
      </c>
      <c r="O1661" s="2">
        <f>Table1[[#This Row],[ttl]]/SUM(Table1[ttl])</f>
        <v>1.5123217370218601E-6</v>
      </c>
      <c r="P1661" s="3">
        <f>SUM($O$2:Table1[[#This Row],[pctAllTimeExp]])</f>
        <v>0.99954157779609443</v>
      </c>
      <c r="Q1661" t="b">
        <f>Table1[[#This Row],[cumPctAllTimeExp]]&lt;0.95</f>
        <v>0</v>
      </c>
    </row>
    <row r="1662" spans="1:17" x14ac:dyDescent="0.25">
      <c r="A1662">
        <v>2096</v>
      </c>
      <c r="C1662" t="s">
        <v>2508</v>
      </c>
      <c r="E1662" t="s">
        <v>2098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750</v>
      </c>
      <c r="M1662" s="4">
        <v>0</v>
      </c>
      <c r="N1662" s="4">
        <f>SUM(Table1[[#This Row],[2025]:[2018]])</f>
        <v>750</v>
      </c>
      <c r="O1662" s="2">
        <f>Table1[[#This Row],[ttl]]/SUM(Table1[ttl])</f>
        <v>1.5123217370218601E-6</v>
      </c>
      <c r="P1662" s="3">
        <f>SUM($O$2:Table1[[#This Row],[pctAllTimeExp]])</f>
        <v>0.99954309011783149</v>
      </c>
      <c r="Q1662" t="b">
        <f>Table1[[#This Row],[cumPctAllTimeExp]]&lt;0.95</f>
        <v>0</v>
      </c>
    </row>
    <row r="1663" spans="1:17" x14ac:dyDescent="0.25">
      <c r="A1663">
        <v>2097</v>
      </c>
      <c r="C1663" t="s">
        <v>2508</v>
      </c>
      <c r="E1663" t="s">
        <v>2099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750</v>
      </c>
      <c r="M1663" s="4">
        <v>0</v>
      </c>
      <c r="N1663" s="4">
        <f>SUM(Table1[[#This Row],[2025]:[2018]])</f>
        <v>750</v>
      </c>
      <c r="O1663" s="2">
        <f>Table1[[#This Row],[ttl]]/SUM(Table1[ttl])</f>
        <v>1.5123217370218601E-6</v>
      </c>
      <c r="P1663" s="3">
        <f>SUM($O$2:Table1[[#This Row],[pctAllTimeExp]])</f>
        <v>0.99954460243956855</v>
      </c>
      <c r="Q1663" t="b">
        <f>Table1[[#This Row],[cumPctAllTimeExp]]&lt;0.95</f>
        <v>0</v>
      </c>
    </row>
    <row r="1664" spans="1:17" x14ac:dyDescent="0.25">
      <c r="A1664">
        <v>509</v>
      </c>
      <c r="C1664" t="s">
        <v>2508</v>
      </c>
      <c r="E1664" t="s">
        <v>511</v>
      </c>
      <c r="F1664" s="4">
        <v>747.24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f>SUM(Table1[[#This Row],[2025]:[2018]])</f>
        <v>747.24</v>
      </c>
      <c r="O1664" s="2">
        <f>Table1[[#This Row],[ttl]]/SUM(Table1[ttl])</f>
        <v>1.5067563930296197E-6</v>
      </c>
      <c r="P1664" s="3">
        <f>SUM($O$2:Table1[[#This Row],[pctAllTimeExp]])</f>
        <v>0.99954610919596154</v>
      </c>
      <c r="Q1664" t="b">
        <f>Table1[[#This Row],[cumPctAllTimeExp]]&lt;0.95</f>
        <v>0</v>
      </c>
    </row>
    <row r="1665" spans="1:17" x14ac:dyDescent="0.25">
      <c r="A1665">
        <v>2349</v>
      </c>
      <c r="C1665" t="s">
        <v>2508</v>
      </c>
      <c r="E1665" t="s">
        <v>2351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743.36</v>
      </c>
      <c r="N1665" s="4">
        <f>SUM(Table1[[#This Row],[2025]:[2018]])</f>
        <v>743.36</v>
      </c>
      <c r="O1665" s="2">
        <f>Table1[[#This Row],[ttl]]/SUM(Table1[ttl])</f>
        <v>1.49893264857676E-6</v>
      </c>
      <c r="P1665" s="3">
        <f>SUM($O$2:Table1[[#This Row],[pctAllTimeExp]])</f>
        <v>0.9995476081286101</v>
      </c>
      <c r="Q1665" t="b">
        <f>Table1[[#This Row],[cumPctAllTimeExp]]&lt;0.95</f>
        <v>0</v>
      </c>
    </row>
    <row r="1666" spans="1:17" x14ac:dyDescent="0.25">
      <c r="A1666">
        <v>1296</v>
      </c>
      <c r="C1666" t="s">
        <v>2508</v>
      </c>
      <c r="E1666" t="s">
        <v>1298</v>
      </c>
      <c r="F1666" s="4">
        <v>0</v>
      </c>
      <c r="G1666" s="4">
        <v>0</v>
      </c>
      <c r="H1666" s="4">
        <v>0</v>
      </c>
      <c r="I1666" s="4">
        <v>740</v>
      </c>
      <c r="J1666" s="4">
        <v>0</v>
      </c>
      <c r="K1666" s="4">
        <v>0</v>
      </c>
      <c r="L1666" s="4">
        <v>0</v>
      </c>
      <c r="M1666" s="4">
        <v>0</v>
      </c>
      <c r="N1666" s="4">
        <f>SUM(Table1[[#This Row],[2025]:[2018]])</f>
        <v>740</v>
      </c>
      <c r="O1666" s="2">
        <f>Table1[[#This Row],[ttl]]/SUM(Table1[ttl])</f>
        <v>1.4921574471949021E-6</v>
      </c>
      <c r="P1666" s="3">
        <f>SUM($O$2:Table1[[#This Row],[pctAllTimeExp]])</f>
        <v>0.99954910028605726</v>
      </c>
      <c r="Q1666" t="b">
        <f>Table1[[#This Row],[cumPctAllTimeExp]]&lt;0.95</f>
        <v>0</v>
      </c>
    </row>
    <row r="1667" spans="1:17" x14ac:dyDescent="0.25">
      <c r="A1667">
        <v>1826</v>
      </c>
      <c r="C1667" t="s">
        <v>2508</v>
      </c>
      <c r="E1667" t="s">
        <v>1828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397</v>
      </c>
      <c r="L1667" s="4">
        <v>186</v>
      </c>
      <c r="M1667" s="4">
        <v>157</v>
      </c>
      <c r="N1667" s="4">
        <f>SUM(Table1[[#This Row],[2025]:[2018]])</f>
        <v>740</v>
      </c>
      <c r="O1667" s="2">
        <f>Table1[[#This Row],[ttl]]/SUM(Table1[ttl])</f>
        <v>1.4921574471949021E-6</v>
      </c>
      <c r="P1667" s="3">
        <f>SUM($O$2:Table1[[#This Row],[pctAllTimeExp]])</f>
        <v>0.99955059244350442</v>
      </c>
      <c r="Q1667" t="b">
        <f>Table1[[#This Row],[cumPctAllTimeExp]]&lt;0.95</f>
        <v>0</v>
      </c>
    </row>
    <row r="1668" spans="1:17" x14ac:dyDescent="0.25">
      <c r="A1668">
        <v>2350</v>
      </c>
      <c r="C1668" t="s">
        <v>2508</v>
      </c>
      <c r="E1668" t="s">
        <v>2352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736</v>
      </c>
      <c r="N1668" s="4">
        <f>SUM(Table1[[#This Row],[2025]:[2018]])</f>
        <v>736</v>
      </c>
      <c r="O1668" s="2">
        <f>Table1[[#This Row],[ttl]]/SUM(Table1[ttl])</f>
        <v>1.4840917312641187E-6</v>
      </c>
      <c r="P1668" s="3">
        <f>SUM($O$2:Table1[[#This Row],[pctAllTimeExp]])</f>
        <v>0.9995520765352357</v>
      </c>
      <c r="Q1668" t="b">
        <f>Table1[[#This Row],[cumPctAllTimeExp]]&lt;0.95</f>
        <v>0</v>
      </c>
    </row>
    <row r="1669" spans="1:17" x14ac:dyDescent="0.25">
      <c r="A1669">
        <v>1107</v>
      </c>
      <c r="C1669" t="s">
        <v>2508</v>
      </c>
      <c r="E1669" t="s">
        <v>1109</v>
      </c>
      <c r="F1669" s="4">
        <v>0</v>
      </c>
      <c r="G1669" s="4">
        <v>0</v>
      </c>
      <c r="H1669" s="4">
        <v>730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f>SUM(Table1[[#This Row],[2025]:[2018]])</f>
        <v>730</v>
      </c>
      <c r="O1669" s="2">
        <f>Table1[[#This Row],[ttl]]/SUM(Table1[ttl])</f>
        <v>1.4719931573679438E-6</v>
      </c>
      <c r="P1669" s="3">
        <f>SUM($O$2:Table1[[#This Row],[pctAllTimeExp]])</f>
        <v>0.99955354852839307</v>
      </c>
      <c r="Q1669" t="b">
        <f>Table1[[#This Row],[cumPctAllTimeExp]]&lt;0.95</f>
        <v>0</v>
      </c>
    </row>
    <row r="1670" spans="1:17" x14ac:dyDescent="0.25">
      <c r="A1670">
        <v>1146</v>
      </c>
      <c r="C1670" t="s">
        <v>2508</v>
      </c>
      <c r="E1670" t="s">
        <v>1148</v>
      </c>
      <c r="F1670" s="4">
        <v>0</v>
      </c>
      <c r="G1670" s="4">
        <v>0</v>
      </c>
      <c r="H1670" s="4">
        <v>289.45999999999998</v>
      </c>
      <c r="I1670" s="4">
        <v>161.71</v>
      </c>
      <c r="J1670" s="4">
        <v>0</v>
      </c>
      <c r="K1670" s="4">
        <v>0</v>
      </c>
      <c r="L1670" s="4">
        <v>0</v>
      </c>
      <c r="M1670" s="4">
        <v>272.52999999999997</v>
      </c>
      <c r="N1670" s="4">
        <f>SUM(Table1[[#This Row],[2025]:[2018]])</f>
        <v>723.69999999999993</v>
      </c>
      <c r="O1670" s="2">
        <f>Table1[[#This Row],[ttl]]/SUM(Table1[ttl])</f>
        <v>1.4592896547769601E-6</v>
      </c>
      <c r="P1670" s="3">
        <f>SUM($O$2:Table1[[#This Row],[pctAllTimeExp]])</f>
        <v>0.99955500781804785</v>
      </c>
      <c r="Q1670" t="b">
        <f>Table1[[#This Row],[cumPctAllTimeExp]]&lt;0.95</f>
        <v>0</v>
      </c>
    </row>
    <row r="1671" spans="1:17" x14ac:dyDescent="0.25">
      <c r="A1671">
        <v>2165</v>
      </c>
      <c r="C1671" t="s">
        <v>2508</v>
      </c>
      <c r="E1671" t="s">
        <v>2167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240</v>
      </c>
      <c r="M1671" s="4">
        <v>480</v>
      </c>
      <c r="N1671" s="4">
        <f>SUM(Table1[[#This Row],[2025]:[2018]])</f>
        <v>720</v>
      </c>
      <c r="O1671" s="2">
        <f>Table1[[#This Row],[ttl]]/SUM(Table1[ttl])</f>
        <v>1.4518288675409858E-6</v>
      </c>
      <c r="P1671" s="3">
        <f>SUM($O$2:Table1[[#This Row],[pctAllTimeExp]])</f>
        <v>0.99955645964691542</v>
      </c>
      <c r="Q1671" t="b">
        <f>Table1[[#This Row],[cumPctAllTimeExp]]&lt;0.95</f>
        <v>0</v>
      </c>
    </row>
    <row r="1672" spans="1:17" x14ac:dyDescent="0.25">
      <c r="A1672">
        <v>852</v>
      </c>
      <c r="C1672" t="s">
        <v>2508</v>
      </c>
      <c r="E1672" t="s">
        <v>854</v>
      </c>
      <c r="F1672" s="4">
        <v>0</v>
      </c>
      <c r="G1672" s="4">
        <v>717.66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f>SUM(Table1[[#This Row],[2025]:[2018]])</f>
        <v>717.66</v>
      </c>
      <c r="O1672" s="2">
        <f>Table1[[#This Row],[ttl]]/SUM(Table1[ttl])</f>
        <v>1.4471104237214774E-6</v>
      </c>
      <c r="P1672" s="3">
        <f>SUM($O$2:Table1[[#This Row],[pctAllTimeExp]])</f>
        <v>0.99955790675733913</v>
      </c>
      <c r="Q1672" t="b">
        <f>Table1[[#This Row],[cumPctAllTimeExp]]&lt;0.95</f>
        <v>0</v>
      </c>
    </row>
    <row r="1673" spans="1:17" x14ac:dyDescent="0.25">
      <c r="A1673">
        <v>853</v>
      </c>
      <c r="C1673" t="s">
        <v>2508</v>
      </c>
      <c r="E1673" t="s">
        <v>855</v>
      </c>
      <c r="F1673" s="4">
        <v>0</v>
      </c>
      <c r="G1673" s="4">
        <v>696.25</v>
      </c>
      <c r="H1673" s="4">
        <v>0</v>
      </c>
      <c r="I1673" s="4">
        <v>0</v>
      </c>
      <c r="J1673" s="4">
        <v>0</v>
      </c>
      <c r="K1673" s="4">
        <v>20.010000000000002</v>
      </c>
      <c r="L1673" s="4">
        <v>0</v>
      </c>
      <c r="M1673" s="4">
        <v>0</v>
      </c>
      <c r="N1673" s="4">
        <f>SUM(Table1[[#This Row],[2025]:[2018]])</f>
        <v>716.26</v>
      </c>
      <c r="O1673" s="2">
        <f>Table1[[#This Row],[ttl]]/SUM(Table1[ttl])</f>
        <v>1.4442874231457033E-6</v>
      </c>
      <c r="P1673" s="3">
        <f>SUM($O$2:Table1[[#This Row],[pctAllTimeExp]])</f>
        <v>0.99955935104476223</v>
      </c>
      <c r="Q1673" t="b">
        <f>Table1[[#This Row],[cumPctAllTimeExp]]&lt;0.95</f>
        <v>0</v>
      </c>
    </row>
    <row r="1674" spans="1:17" x14ac:dyDescent="0.25">
      <c r="A1674">
        <v>1297</v>
      </c>
      <c r="C1674" t="s">
        <v>2508</v>
      </c>
      <c r="E1674" t="s">
        <v>1299</v>
      </c>
      <c r="F1674" s="4">
        <v>0</v>
      </c>
      <c r="G1674" s="4">
        <v>0</v>
      </c>
      <c r="H1674" s="4">
        <v>0</v>
      </c>
      <c r="I1674" s="4">
        <v>715</v>
      </c>
      <c r="J1674" s="4">
        <v>0</v>
      </c>
      <c r="K1674" s="4">
        <v>0</v>
      </c>
      <c r="L1674" s="4">
        <v>0</v>
      </c>
      <c r="M1674" s="4">
        <v>0</v>
      </c>
      <c r="N1674" s="4">
        <f>SUM(Table1[[#This Row],[2025]:[2018]])</f>
        <v>715</v>
      </c>
      <c r="O1674" s="2">
        <f>Table1[[#This Row],[ttl]]/SUM(Table1[ttl])</f>
        <v>1.4417467226275065E-6</v>
      </c>
      <c r="P1674" s="3">
        <f>SUM($O$2:Table1[[#This Row],[pctAllTimeExp]])</f>
        <v>0.99956079279148491</v>
      </c>
      <c r="Q1674" t="b">
        <f>Table1[[#This Row],[cumPctAllTimeExp]]&lt;0.95</f>
        <v>0</v>
      </c>
    </row>
    <row r="1675" spans="1:17" x14ac:dyDescent="0.25">
      <c r="A1675">
        <v>1791</v>
      </c>
      <c r="C1675" t="s">
        <v>2508</v>
      </c>
      <c r="E1675" t="s">
        <v>1793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713.31</v>
      </c>
      <c r="L1675" s="4">
        <v>0</v>
      </c>
      <c r="M1675" s="4">
        <v>0</v>
      </c>
      <c r="N1675" s="4">
        <f>SUM(Table1[[#This Row],[2025]:[2018]])</f>
        <v>713.31</v>
      </c>
      <c r="O1675" s="2">
        <f>Table1[[#This Row],[ttl]]/SUM(Table1[ttl])</f>
        <v>1.4383389576467506E-6</v>
      </c>
      <c r="P1675" s="3">
        <f>SUM($O$2:Table1[[#This Row],[pctAllTimeExp]])</f>
        <v>0.99956223113044251</v>
      </c>
      <c r="Q1675" t="b">
        <f>Table1[[#This Row],[cumPctAllTimeExp]]&lt;0.95</f>
        <v>0</v>
      </c>
    </row>
    <row r="1676" spans="1:17" x14ac:dyDescent="0.25">
      <c r="A1676">
        <v>2351</v>
      </c>
      <c r="C1676" t="s">
        <v>2508</v>
      </c>
      <c r="E1676" t="s">
        <v>2353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708.39</v>
      </c>
      <c r="N1676" s="4">
        <f>SUM(Table1[[#This Row],[2025]:[2018]])</f>
        <v>708.39</v>
      </c>
      <c r="O1676" s="2">
        <f>Table1[[#This Row],[ttl]]/SUM(Table1[ttl])</f>
        <v>1.4284181270518873E-6</v>
      </c>
      <c r="P1676" s="3">
        <f>SUM($O$2:Table1[[#This Row],[pctAllTimeExp]])</f>
        <v>0.99956365954856952</v>
      </c>
      <c r="Q1676" t="b">
        <f>Table1[[#This Row],[cumPctAllTimeExp]]&lt;0.95</f>
        <v>0</v>
      </c>
    </row>
    <row r="1677" spans="1:17" x14ac:dyDescent="0.25">
      <c r="A1677">
        <v>512</v>
      </c>
      <c r="C1677" t="s">
        <v>2508</v>
      </c>
      <c r="E1677" t="s">
        <v>514</v>
      </c>
      <c r="F1677" s="4">
        <v>700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f>SUM(Table1[[#This Row],[2025]:[2018]])</f>
        <v>700</v>
      </c>
      <c r="O1677" s="2">
        <f>Table1[[#This Row],[ttl]]/SUM(Table1[ttl])</f>
        <v>1.4115002878870695E-6</v>
      </c>
      <c r="P1677" s="3">
        <f>SUM($O$2:Table1[[#This Row],[pctAllTimeExp]])</f>
        <v>0.99956507104885739</v>
      </c>
      <c r="Q1677" t="b">
        <f>Table1[[#This Row],[cumPctAllTimeExp]]&lt;0.95</f>
        <v>0</v>
      </c>
    </row>
    <row r="1678" spans="1:17" x14ac:dyDescent="0.25">
      <c r="A1678">
        <v>513</v>
      </c>
      <c r="C1678" t="s">
        <v>2508</v>
      </c>
      <c r="E1678" t="s">
        <v>515</v>
      </c>
      <c r="F1678" s="4">
        <v>700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f>SUM(Table1[[#This Row],[2025]:[2018]])</f>
        <v>700</v>
      </c>
      <c r="O1678" s="2">
        <f>Table1[[#This Row],[ttl]]/SUM(Table1[ttl])</f>
        <v>1.4115002878870695E-6</v>
      </c>
      <c r="P1678" s="3">
        <f>SUM($O$2:Table1[[#This Row],[pctAllTimeExp]])</f>
        <v>0.99956648254914526</v>
      </c>
      <c r="Q1678" t="b">
        <f>Table1[[#This Row],[cumPctAllTimeExp]]&lt;0.95</f>
        <v>0</v>
      </c>
    </row>
    <row r="1679" spans="1:17" x14ac:dyDescent="0.25">
      <c r="A1679">
        <v>665</v>
      </c>
      <c r="C1679" t="s">
        <v>2508</v>
      </c>
      <c r="E1679" t="s">
        <v>667</v>
      </c>
      <c r="F1679" s="4">
        <v>100</v>
      </c>
      <c r="G1679" s="4">
        <v>100</v>
      </c>
      <c r="H1679" s="4">
        <v>100</v>
      </c>
      <c r="I1679" s="4">
        <v>100</v>
      </c>
      <c r="J1679" s="4">
        <v>0</v>
      </c>
      <c r="K1679" s="4">
        <v>0</v>
      </c>
      <c r="L1679" s="4">
        <v>200</v>
      </c>
      <c r="M1679" s="4">
        <v>100</v>
      </c>
      <c r="N1679" s="4">
        <f>SUM(Table1[[#This Row],[2025]:[2018]])</f>
        <v>700</v>
      </c>
      <c r="O1679" s="2">
        <f>Table1[[#This Row],[ttl]]/SUM(Table1[ttl])</f>
        <v>1.4115002878870695E-6</v>
      </c>
      <c r="P1679" s="3">
        <f>SUM($O$2:Table1[[#This Row],[pctAllTimeExp]])</f>
        <v>0.99956789404943314</v>
      </c>
      <c r="Q1679" t="b">
        <f>Table1[[#This Row],[cumPctAllTimeExp]]&lt;0.95</f>
        <v>0</v>
      </c>
    </row>
    <row r="1680" spans="1:17" x14ac:dyDescent="0.25">
      <c r="A1680">
        <v>1136</v>
      </c>
      <c r="C1680" t="s">
        <v>2508</v>
      </c>
      <c r="E1680" t="s">
        <v>1138</v>
      </c>
      <c r="F1680" s="4">
        <v>0</v>
      </c>
      <c r="G1680" s="4">
        <v>0</v>
      </c>
      <c r="H1680" s="4">
        <v>350</v>
      </c>
      <c r="I1680" s="4">
        <v>0</v>
      </c>
      <c r="J1680" s="4">
        <v>350</v>
      </c>
      <c r="K1680" s="4">
        <v>0</v>
      </c>
      <c r="L1680" s="4">
        <v>0</v>
      </c>
      <c r="M1680" s="4">
        <v>0</v>
      </c>
      <c r="N1680" s="4">
        <f>SUM(Table1[[#This Row],[2025]:[2018]])</f>
        <v>700</v>
      </c>
      <c r="O1680" s="2">
        <f>Table1[[#This Row],[ttl]]/SUM(Table1[ttl])</f>
        <v>1.4115002878870695E-6</v>
      </c>
      <c r="P1680" s="3">
        <f>SUM($O$2:Table1[[#This Row],[pctAllTimeExp]])</f>
        <v>0.99956930554972101</v>
      </c>
      <c r="Q1680" t="b">
        <f>Table1[[#This Row],[cumPctAllTimeExp]]&lt;0.95</f>
        <v>0</v>
      </c>
    </row>
    <row r="1681" spans="1:17" x14ac:dyDescent="0.25">
      <c r="A1681">
        <v>1500</v>
      </c>
      <c r="C1681" t="s">
        <v>2508</v>
      </c>
      <c r="E1681" t="s">
        <v>1502</v>
      </c>
      <c r="F1681" s="4">
        <v>0</v>
      </c>
      <c r="G1681" s="4">
        <v>0</v>
      </c>
      <c r="H1681" s="4">
        <v>0</v>
      </c>
      <c r="I1681" s="4">
        <v>0</v>
      </c>
      <c r="J1681" s="4">
        <v>700</v>
      </c>
      <c r="K1681" s="4">
        <v>0</v>
      </c>
      <c r="L1681" s="4">
        <v>0</v>
      </c>
      <c r="M1681" s="4">
        <v>0</v>
      </c>
      <c r="N1681" s="4">
        <f>SUM(Table1[[#This Row],[2025]:[2018]])</f>
        <v>700</v>
      </c>
      <c r="O1681" s="2">
        <f>Table1[[#This Row],[ttl]]/SUM(Table1[ttl])</f>
        <v>1.4115002878870695E-6</v>
      </c>
      <c r="P1681" s="3">
        <f>SUM($O$2:Table1[[#This Row],[pctAllTimeExp]])</f>
        <v>0.99957071705000888</v>
      </c>
      <c r="Q1681" t="b">
        <f>Table1[[#This Row],[cumPctAllTimeExp]]&lt;0.95</f>
        <v>0</v>
      </c>
    </row>
    <row r="1682" spans="1:17" x14ac:dyDescent="0.25">
      <c r="A1682">
        <v>2101</v>
      </c>
      <c r="C1682" t="s">
        <v>2508</v>
      </c>
      <c r="E1682" t="s">
        <v>2103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700</v>
      </c>
      <c r="M1682" s="4">
        <v>0</v>
      </c>
      <c r="N1682" s="4">
        <f>SUM(Table1[[#This Row],[2025]:[2018]])</f>
        <v>700</v>
      </c>
      <c r="O1682" s="2">
        <f>Table1[[#This Row],[ttl]]/SUM(Table1[ttl])</f>
        <v>1.4115002878870695E-6</v>
      </c>
      <c r="P1682" s="3">
        <f>SUM($O$2:Table1[[#This Row],[pctAllTimeExp]])</f>
        <v>0.99957212855029676</v>
      </c>
      <c r="Q1682" t="b">
        <f>Table1[[#This Row],[cumPctAllTimeExp]]&lt;0.95</f>
        <v>0</v>
      </c>
    </row>
    <row r="1683" spans="1:17" x14ac:dyDescent="0.25">
      <c r="A1683">
        <v>2129</v>
      </c>
      <c r="C1683" t="s">
        <v>2508</v>
      </c>
      <c r="E1683" t="s">
        <v>2131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450</v>
      </c>
      <c r="M1683" s="4">
        <v>250</v>
      </c>
      <c r="N1683" s="4">
        <f>SUM(Table1[[#This Row],[2025]:[2018]])</f>
        <v>700</v>
      </c>
      <c r="O1683" s="2">
        <f>Table1[[#This Row],[ttl]]/SUM(Table1[ttl])</f>
        <v>1.4115002878870695E-6</v>
      </c>
      <c r="P1683" s="3">
        <f>SUM($O$2:Table1[[#This Row],[pctAllTimeExp]])</f>
        <v>0.99957354005058463</v>
      </c>
      <c r="Q1683" t="b">
        <f>Table1[[#This Row],[cumPctAllTimeExp]]&lt;0.95</f>
        <v>0</v>
      </c>
    </row>
    <row r="1684" spans="1:17" x14ac:dyDescent="0.25">
      <c r="A1684">
        <v>2352</v>
      </c>
      <c r="C1684" t="s">
        <v>2508</v>
      </c>
      <c r="E1684" t="s">
        <v>2354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700</v>
      </c>
      <c r="N1684" s="4">
        <f>SUM(Table1[[#This Row],[2025]:[2018]])</f>
        <v>700</v>
      </c>
      <c r="O1684" s="2">
        <f>Table1[[#This Row],[ttl]]/SUM(Table1[ttl])</f>
        <v>1.4115002878870695E-6</v>
      </c>
      <c r="P1684" s="3">
        <f>SUM($O$2:Table1[[#This Row],[pctAllTimeExp]])</f>
        <v>0.9995749515508725</v>
      </c>
      <c r="Q1684" t="b">
        <f>Table1[[#This Row],[cumPctAllTimeExp]]&lt;0.95</f>
        <v>0</v>
      </c>
    </row>
    <row r="1685" spans="1:17" x14ac:dyDescent="0.25">
      <c r="A1685">
        <v>2102</v>
      </c>
      <c r="C1685" t="s">
        <v>2508</v>
      </c>
      <c r="E1685" t="s">
        <v>2104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>
        <v>695</v>
      </c>
      <c r="M1685" s="4">
        <v>0</v>
      </c>
      <c r="N1685" s="4">
        <f>SUM(Table1[[#This Row],[2025]:[2018]])</f>
        <v>695</v>
      </c>
      <c r="O1685" s="2">
        <f>Table1[[#This Row],[ttl]]/SUM(Table1[ttl])</f>
        <v>1.4014181429735905E-6</v>
      </c>
      <c r="P1685" s="3">
        <f>SUM($O$2:Table1[[#This Row],[pctAllTimeExp]])</f>
        <v>0.99957635296901548</v>
      </c>
      <c r="Q1685" t="b">
        <f>Table1[[#This Row],[cumPctAllTimeExp]]&lt;0.95</f>
        <v>0</v>
      </c>
    </row>
    <row r="1686" spans="1:17" x14ac:dyDescent="0.25">
      <c r="A1686">
        <v>854</v>
      </c>
      <c r="C1686" t="s">
        <v>2508</v>
      </c>
      <c r="E1686" t="s">
        <v>856</v>
      </c>
      <c r="F1686" s="4">
        <v>0</v>
      </c>
      <c r="G1686" s="4">
        <v>692.49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f>SUM(Table1[[#This Row],[2025]:[2018]])</f>
        <v>692.49</v>
      </c>
      <c r="O1686" s="2">
        <f>Table1[[#This Row],[ttl]]/SUM(Table1[ttl])</f>
        <v>1.3963569062270239E-6</v>
      </c>
      <c r="P1686" s="3">
        <f>SUM($O$2:Table1[[#This Row],[pctAllTimeExp]])</f>
        <v>0.99957774932592169</v>
      </c>
      <c r="Q1686" t="b">
        <f>Table1[[#This Row],[cumPctAllTimeExp]]&lt;0.95</f>
        <v>0</v>
      </c>
    </row>
    <row r="1687" spans="1:17" x14ac:dyDescent="0.25">
      <c r="A1687">
        <v>2353</v>
      </c>
      <c r="C1687" t="s">
        <v>2508</v>
      </c>
      <c r="E1687" t="s">
        <v>2355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690</v>
      </c>
      <c r="N1687" s="4">
        <f>SUM(Table1[[#This Row],[2025]:[2018]])</f>
        <v>690</v>
      </c>
      <c r="O1687" s="2">
        <f>Table1[[#This Row],[ttl]]/SUM(Table1[ttl])</f>
        <v>1.3913359980601112E-6</v>
      </c>
      <c r="P1687" s="3">
        <f>SUM($O$2:Table1[[#This Row],[pctAllTimeExp]])</f>
        <v>0.99957914066191977</v>
      </c>
      <c r="Q1687" t="b">
        <f>Table1[[#This Row],[cumPctAllTimeExp]]&lt;0.95</f>
        <v>0</v>
      </c>
    </row>
    <row r="1688" spans="1:17" x14ac:dyDescent="0.25">
      <c r="A1688">
        <v>1502</v>
      </c>
      <c r="C1688" t="s">
        <v>2508</v>
      </c>
      <c r="E1688" t="s">
        <v>1504</v>
      </c>
      <c r="F1688" s="4">
        <v>0</v>
      </c>
      <c r="G1688" s="4">
        <v>0</v>
      </c>
      <c r="H1688" s="4">
        <v>0</v>
      </c>
      <c r="I1688" s="4">
        <v>0</v>
      </c>
      <c r="J1688" s="4">
        <v>687.5</v>
      </c>
      <c r="K1688" s="4">
        <v>0</v>
      </c>
      <c r="L1688" s="4">
        <v>0</v>
      </c>
      <c r="M1688" s="4">
        <v>0</v>
      </c>
      <c r="N1688" s="4">
        <f>SUM(Table1[[#This Row],[2025]:[2018]])</f>
        <v>687.5</v>
      </c>
      <c r="O1688" s="2">
        <f>Table1[[#This Row],[ttl]]/SUM(Table1[ttl])</f>
        <v>1.3862949256033717E-6</v>
      </c>
      <c r="P1688" s="3">
        <f>SUM($O$2:Table1[[#This Row],[pctAllTimeExp]])</f>
        <v>0.99958052695684541</v>
      </c>
      <c r="Q1688" t="b">
        <f>Table1[[#This Row],[cumPctAllTimeExp]]&lt;0.95</f>
        <v>0</v>
      </c>
    </row>
    <row r="1689" spans="1:17" x14ac:dyDescent="0.25">
      <c r="A1689">
        <v>2354</v>
      </c>
      <c r="C1689" t="s">
        <v>2508</v>
      </c>
      <c r="E1689" t="s">
        <v>2356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685.85</v>
      </c>
      <c r="N1689" s="4">
        <f>SUM(Table1[[#This Row],[2025]:[2018]])</f>
        <v>685.85</v>
      </c>
      <c r="O1689" s="2">
        <f>Table1[[#This Row],[ttl]]/SUM(Table1[ttl])</f>
        <v>1.3829678177819238E-6</v>
      </c>
      <c r="P1689" s="3">
        <f>SUM($O$2:Table1[[#This Row],[pctAllTimeExp]])</f>
        <v>0.99958190992466323</v>
      </c>
      <c r="Q1689" t="b">
        <f>Table1[[#This Row],[cumPctAllTimeExp]]&lt;0.95</f>
        <v>0</v>
      </c>
    </row>
    <row r="1690" spans="1:17" x14ac:dyDescent="0.25">
      <c r="A1690">
        <v>1564</v>
      </c>
      <c r="C1690" t="s">
        <v>2508</v>
      </c>
      <c r="E1690" t="s">
        <v>1566</v>
      </c>
      <c r="F1690" s="4">
        <v>0</v>
      </c>
      <c r="G1690" s="4">
        <v>0</v>
      </c>
      <c r="H1690" s="4">
        <v>0</v>
      </c>
      <c r="I1690" s="4">
        <v>0</v>
      </c>
      <c r="J1690" s="4">
        <v>235</v>
      </c>
      <c r="K1690" s="4">
        <v>240</v>
      </c>
      <c r="L1690" s="4">
        <v>0</v>
      </c>
      <c r="M1690" s="4">
        <v>210</v>
      </c>
      <c r="N1690" s="4">
        <f>SUM(Table1[[#This Row],[2025]:[2018]])</f>
        <v>685</v>
      </c>
      <c r="O1690" s="2">
        <f>Table1[[#This Row],[ttl]]/SUM(Table1[ttl])</f>
        <v>1.3812538531466322E-6</v>
      </c>
      <c r="P1690" s="3">
        <f>SUM($O$2:Table1[[#This Row],[pctAllTimeExp]])</f>
        <v>0.99958329117851641</v>
      </c>
      <c r="Q1690" t="b">
        <f>Table1[[#This Row],[cumPctAllTimeExp]]&lt;0.95</f>
        <v>0</v>
      </c>
    </row>
    <row r="1691" spans="1:17" x14ac:dyDescent="0.25">
      <c r="A1691">
        <v>2355</v>
      </c>
      <c r="C1691" t="s">
        <v>2508</v>
      </c>
      <c r="E1691" t="s">
        <v>2357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683.5</v>
      </c>
      <c r="N1691" s="4">
        <f>SUM(Table1[[#This Row],[2025]:[2018]])</f>
        <v>683.5</v>
      </c>
      <c r="O1691" s="2">
        <f>Table1[[#This Row],[ttl]]/SUM(Table1[ttl])</f>
        <v>1.3782292096725886E-6</v>
      </c>
      <c r="P1691" s="3">
        <f>SUM($O$2:Table1[[#This Row],[pctAllTimeExp]])</f>
        <v>0.99958466940772606</v>
      </c>
      <c r="Q1691" t="b">
        <f>Table1[[#This Row],[cumPctAllTimeExp]]&lt;0.95</f>
        <v>0</v>
      </c>
    </row>
    <row r="1692" spans="1:17" x14ac:dyDescent="0.25">
      <c r="A1692">
        <v>1532</v>
      </c>
      <c r="C1692" t="s">
        <v>2508</v>
      </c>
      <c r="E1692" t="s">
        <v>1534</v>
      </c>
      <c r="F1692" s="4">
        <v>0</v>
      </c>
      <c r="G1692" s="4">
        <v>0</v>
      </c>
      <c r="H1692" s="4">
        <v>0</v>
      </c>
      <c r="I1692" s="4">
        <v>0</v>
      </c>
      <c r="J1692" s="4">
        <v>350.65</v>
      </c>
      <c r="K1692" s="4">
        <v>190.97</v>
      </c>
      <c r="L1692" s="4">
        <v>0</v>
      </c>
      <c r="M1692" s="4">
        <v>135.97</v>
      </c>
      <c r="N1692" s="4">
        <f>SUM(Table1[[#This Row],[2025]:[2018]])</f>
        <v>677.59</v>
      </c>
      <c r="O1692" s="2">
        <f>Table1[[#This Row],[ttl]]/SUM(Table1[ttl])</f>
        <v>1.3663121143848563E-6</v>
      </c>
      <c r="P1692" s="3">
        <f>SUM($O$2:Table1[[#This Row],[pctAllTimeExp]])</f>
        <v>0.99958603571984039</v>
      </c>
      <c r="Q1692" t="b">
        <f>Table1[[#This Row],[cumPctAllTimeExp]]&lt;0.95</f>
        <v>0</v>
      </c>
    </row>
    <row r="1693" spans="1:17" x14ac:dyDescent="0.25">
      <c r="A1693">
        <v>2135</v>
      </c>
      <c r="C1693" t="s">
        <v>2508</v>
      </c>
      <c r="E1693" t="s">
        <v>2137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409</v>
      </c>
      <c r="M1693" s="4">
        <v>266.83</v>
      </c>
      <c r="N1693" s="4">
        <f>SUM(Table1[[#This Row],[2025]:[2018]])</f>
        <v>675.82999999999993</v>
      </c>
      <c r="O1693" s="2">
        <f>Table1[[#This Row],[ttl]]/SUM(Table1[ttl])</f>
        <v>1.3627631993753115E-6</v>
      </c>
      <c r="P1693" s="3">
        <f>SUM($O$2:Table1[[#This Row],[pctAllTimeExp]])</f>
        <v>0.99958739848303979</v>
      </c>
      <c r="Q1693" t="b">
        <f>Table1[[#This Row],[cumPctAllTimeExp]]&lt;0.95</f>
        <v>0</v>
      </c>
    </row>
    <row r="1694" spans="1:17" x14ac:dyDescent="0.25">
      <c r="A1694">
        <v>1299</v>
      </c>
      <c r="C1694" t="s">
        <v>2508</v>
      </c>
      <c r="E1694" t="s">
        <v>1301</v>
      </c>
      <c r="F1694" s="4">
        <v>0</v>
      </c>
      <c r="G1694" s="4">
        <v>0</v>
      </c>
      <c r="H1694" s="4">
        <v>0</v>
      </c>
      <c r="I1694" s="4">
        <v>675</v>
      </c>
      <c r="J1694" s="4">
        <v>0</v>
      </c>
      <c r="K1694" s="4">
        <v>0</v>
      </c>
      <c r="L1694" s="4">
        <v>0</v>
      </c>
      <c r="M1694" s="4">
        <v>0</v>
      </c>
      <c r="N1694" s="4">
        <f>SUM(Table1[[#This Row],[2025]:[2018]])</f>
        <v>675</v>
      </c>
      <c r="O1694" s="2">
        <f>Table1[[#This Row],[ttl]]/SUM(Table1[ttl])</f>
        <v>1.3610895633196742E-6</v>
      </c>
      <c r="P1694" s="3">
        <f>SUM($O$2:Table1[[#This Row],[pctAllTimeExp]])</f>
        <v>0.99958875957260307</v>
      </c>
      <c r="Q1694" t="b">
        <f>Table1[[#This Row],[cumPctAllTimeExp]]&lt;0.95</f>
        <v>0</v>
      </c>
    </row>
    <row r="1695" spans="1:17" x14ac:dyDescent="0.25">
      <c r="A1695">
        <v>1504</v>
      </c>
      <c r="C1695" t="s">
        <v>2508</v>
      </c>
      <c r="E1695" t="s">
        <v>1506</v>
      </c>
      <c r="F1695" s="4">
        <v>0</v>
      </c>
      <c r="G1695" s="4">
        <v>0</v>
      </c>
      <c r="H1695" s="4">
        <v>0</v>
      </c>
      <c r="I1695" s="4">
        <v>0</v>
      </c>
      <c r="J1695" s="4">
        <v>675</v>
      </c>
      <c r="K1695" s="4">
        <v>0</v>
      </c>
      <c r="L1695" s="4">
        <v>0</v>
      </c>
      <c r="M1695" s="4">
        <v>0</v>
      </c>
      <c r="N1695" s="4">
        <f>SUM(Table1[[#This Row],[2025]:[2018]])</f>
        <v>675</v>
      </c>
      <c r="O1695" s="2">
        <f>Table1[[#This Row],[ttl]]/SUM(Table1[ttl])</f>
        <v>1.3610895633196742E-6</v>
      </c>
      <c r="P1695" s="3">
        <f>SUM($O$2:Table1[[#This Row],[pctAllTimeExp]])</f>
        <v>0.99959012066216635</v>
      </c>
      <c r="Q1695" t="b">
        <f>Table1[[#This Row],[cumPctAllTimeExp]]&lt;0.95</f>
        <v>0</v>
      </c>
    </row>
    <row r="1696" spans="1:17" x14ac:dyDescent="0.25">
      <c r="A1696">
        <v>2103</v>
      </c>
      <c r="C1696" t="s">
        <v>2508</v>
      </c>
      <c r="E1696" t="s">
        <v>2105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675</v>
      </c>
      <c r="M1696" s="4">
        <v>0</v>
      </c>
      <c r="N1696" s="4">
        <f>SUM(Table1[[#This Row],[2025]:[2018]])</f>
        <v>675</v>
      </c>
      <c r="O1696" s="2">
        <f>Table1[[#This Row],[ttl]]/SUM(Table1[ttl])</f>
        <v>1.3610895633196742E-6</v>
      </c>
      <c r="P1696" s="3">
        <f>SUM($O$2:Table1[[#This Row],[pctAllTimeExp]])</f>
        <v>0.99959148175172963</v>
      </c>
      <c r="Q1696" t="b">
        <f>Table1[[#This Row],[cumPctAllTimeExp]]&lt;0.95</f>
        <v>0</v>
      </c>
    </row>
    <row r="1697" spans="1:17" x14ac:dyDescent="0.25">
      <c r="A1697">
        <v>1300</v>
      </c>
      <c r="C1697" t="s">
        <v>2508</v>
      </c>
      <c r="E1697" t="s">
        <v>1302</v>
      </c>
      <c r="F1697" s="4">
        <v>0</v>
      </c>
      <c r="G1697" s="4">
        <v>0</v>
      </c>
      <c r="H1697" s="4">
        <v>0</v>
      </c>
      <c r="I1697" s="4">
        <v>669.97</v>
      </c>
      <c r="J1697" s="4">
        <v>0</v>
      </c>
      <c r="K1697" s="4">
        <v>0</v>
      </c>
      <c r="L1697" s="4">
        <v>0</v>
      </c>
      <c r="M1697" s="4">
        <v>0</v>
      </c>
      <c r="N1697" s="4">
        <f>SUM(Table1[[#This Row],[2025]:[2018]])</f>
        <v>669.97</v>
      </c>
      <c r="O1697" s="2">
        <f>Table1[[#This Row],[ttl]]/SUM(Table1[ttl])</f>
        <v>1.3509469255367143E-6</v>
      </c>
      <c r="P1697" s="3">
        <f>SUM($O$2:Table1[[#This Row],[pctAllTimeExp]])</f>
        <v>0.99959283269865518</v>
      </c>
      <c r="Q1697" t="b">
        <f>Table1[[#This Row],[cumPctAllTimeExp]]&lt;0.95</f>
        <v>0</v>
      </c>
    </row>
    <row r="1698" spans="1:17" x14ac:dyDescent="0.25">
      <c r="A1698">
        <v>2104</v>
      </c>
      <c r="C1698" t="s">
        <v>2508</v>
      </c>
      <c r="E1698" t="s">
        <v>2106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666.67</v>
      </c>
      <c r="M1698" s="4">
        <v>0</v>
      </c>
      <c r="N1698" s="4">
        <f>SUM(Table1[[#This Row],[2025]:[2018]])</f>
        <v>666.67</v>
      </c>
      <c r="O1698" s="2">
        <f>Table1[[#This Row],[ttl]]/SUM(Table1[ttl])</f>
        <v>1.3442927098938179E-6</v>
      </c>
      <c r="P1698" s="3">
        <f>SUM($O$2:Table1[[#This Row],[pctAllTimeExp]])</f>
        <v>0.9995941769913651</v>
      </c>
      <c r="Q1698" t="b">
        <f>Table1[[#This Row],[cumPctAllTimeExp]]&lt;0.95</f>
        <v>0</v>
      </c>
    </row>
    <row r="1699" spans="1:17" x14ac:dyDescent="0.25">
      <c r="A1699">
        <v>1926</v>
      </c>
      <c r="C1699" t="s">
        <v>2508</v>
      </c>
      <c r="E1699" t="s">
        <v>1928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61.95</v>
      </c>
      <c r="L1699" s="4">
        <v>592.83000000000004</v>
      </c>
      <c r="M1699" s="4">
        <v>6.84</v>
      </c>
      <c r="N1699" s="4">
        <f>SUM(Table1[[#This Row],[2025]:[2018]])</f>
        <v>661.62000000000012</v>
      </c>
      <c r="O1699" s="2">
        <f>Table1[[#This Row],[ttl]]/SUM(Table1[ttl])</f>
        <v>1.3341097435312044E-6</v>
      </c>
      <c r="P1699" s="3">
        <f>SUM($O$2:Table1[[#This Row],[pctAllTimeExp]])</f>
        <v>0.99959551110110867</v>
      </c>
      <c r="Q1699" t="b">
        <f>Table1[[#This Row],[cumPctAllTimeExp]]&lt;0.95</f>
        <v>0</v>
      </c>
    </row>
    <row r="1700" spans="1:17" x14ac:dyDescent="0.25">
      <c r="A1700">
        <v>1538</v>
      </c>
      <c r="C1700" t="s">
        <v>2508</v>
      </c>
      <c r="E1700" t="s">
        <v>1540</v>
      </c>
      <c r="F1700" s="4">
        <v>0</v>
      </c>
      <c r="G1700" s="4">
        <v>0</v>
      </c>
      <c r="H1700" s="4">
        <v>0</v>
      </c>
      <c r="I1700" s="4">
        <v>0</v>
      </c>
      <c r="J1700" s="4">
        <v>330.6</v>
      </c>
      <c r="K1700" s="4">
        <v>330.6</v>
      </c>
      <c r="L1700" s="4">
        <v>0</v>
      </c>
      <c r="M1700" s="4">
        <v>0</v>
      </c>
      <c r="N1700" s="4">
        <f>SUM(Table1[[#This Row],[2025]:[2018]])</f>
        <v>661.2</v>
      </c>
      <c r="O1700" s="2">
        <f>Table1[[#This Row],[ttl]]/SUM(Table1[ttl])</f>
        <v>1.333262843358472E-6</v>
      </c>
      <c r="P1700" s="3">
        <f>SUM($O$2:Table1[[#This Row],[pctAllTimeExp]])</f>
        <v>0.99959684436395202</v>
      </c>
      <c r="Q1700" t="b">
        <f>Table1[[#This Row],[cumPctAllTimeExp]]&lt;0.95</f>
        <v>0</v>
      </c>
    </row>
    <row r="1701" spans="1:17" x14ac:dyDescent="0.25">
      <c r="A1701">
        <v>2356</v>
      </c>
      <c r="C1701" t="s">
        <v>2508</v>
      </c>
      <c r="E1701" t="s">
        <v>2358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660</v>
      </c>
      <c r="N1701" s="4">
        <f>SUM(Table1[[#This Row],[2025]:[2018]])</f>
        <v>660</v>
      </c>
      <c r="O1701" s="2">
        <f>Table1[[#This Row],[ttl]]/SUM(Table1[ttl])</f>
        <v>1.3308431285792369E-6</v>
      </c>
      <c r="P1701" s="3">
        <f>SUM($O$2:Table1[[#This Row],[pctAllTimeExp]])</f>
        <v>0.99959817520708061</v>
      </c>
      <c r="Q1701" t="b">
        <f>Table1[[#This Row],[cumPctAllTimeExp]]&lt;0.95</f>
        <v>0</v>
      </c>
    </row>
    <row r="1702" spans="1:17" x14ac:dyDescent="0.25">
      <c r="A1702">
        <v>1845</v>
      </c>
      <c r="C1702" t="s">
        <v>2508</v>
      </c>
      <c r="E1702" t="s">
        <v>1847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280</v>
      </c>
      <c r="L1702" s="4">
        <v>105</v>
      </c>
      <c r="M1702" s="4">
        <v>271</v>
      </c>
      <c r="N1702" s="4">
        <f>SUM(Table1[[#This Row],[2025]:[2018]])</f>
        <v>656</v>
      </c>
      <c r="O1702" s="2">
        <f>Table1[[#This Row],[ttl]]/SUM(Table1[ttl])</f>
        <v>1.3227774126484536E-6</v>
      </c>
      <c r="P1702" s="3">
        <f>SUM($O$2:Table1[[#This Row],[pctAllTimeExp]])</f>
        <v>0.99959949798449321</v>
      </c>
      <c r="Q1702" t="b">
        <f>Table1[[#This Row],[cumPctAllTimeExp]]&lt;0.95</f>
        <v>0</v>
      </c>
    </row>
    <row r="1703" spans="1:17" x14ac:dyDescent="0.25">
      <c r="A1703">
        <v>1505</v>
      </c>
      <c r="C1703" t="s">
        <v>2508</v>
      </c>
      <c r="E1703" t="s">
        <v>1507</v>
      </c>
      <c r="F1703" s="4">
        <v>0</v>
      </c>
      <c r="G1703" s="4">
        <v>0</v>
      </c>
      <c r="H1703" s="4">
        <v>0</v>
      </c>
      <c r="I1703" s="4">
        <v>0</v>
      </c>
      <c r="J1703" s="4">
        <v>653.22</v>
      </c>
      <c r="K1703" s="4">
        <v>0</v>
      </c>
      <c r="L1703" s="4">
        <v>0</v>
      </c>
      <c r="M1703" s="4">
        <v>0</v>
      </c>
      <c r="N1703" s="4">
        <f>SUM(Table1[[#This Row],[2025]:[2018]])</f>
        <v>653.22</v>
      </c>
      <c r="O1703" s="2">
        <f>Table1[[#This Row],[ttl]]/SUM(Table1[ttl])</f>
        <v>1.3171717400765593E-6</v>
      </c>
      <c r="P1703" s="3">
        <f>SUM($O$2:Table1[[#This Row],[pctAllTimeExp]])</f>
        <v>0.99960081515623334</v>
      </c>
      <c r="Q1703" t="b">
        <f>Table1[[#This Row],[cumPctAllTimeExp]]&lt;0.95</f>
        <v>0</v>
      </c>
    </row>
    <row r="1704" spans="1:17" x14ac:dyDescent="0.25">
      <c r="A1704">
        <v>1550</v>
      </c>
      <c r="C1704" t="s">
        <v>2508</v>
      </c>
      <c r="E1704" t="s">
        <v>1552</v>
      </c>
      <c r="F1704" s="4">
        <v>0</v>
      </c>
      <c r="G1704" s="4">
        <v>0</v>
      </c>
      <c r="H1704" s="4">
        <v>0</v>
      </c>
      <c r="I1704" s="4">
        <v>0</v>
      </c>
      <c r="J1704" s="4">
        <v>294.72000000000003</v>
      </c>
      <c r="K1704" s="4">
        <v>358.32</v>
      </c>
      <c r="L1704" s="4">
        <v>0</v>
      </c>
      <c r="M1704" s="4">
        <v>0</v>
      </c>
      <c r="N1704" s="4">
        <f>SUM(Table1[[#This Row],[2025]:[2018]])</f>
        <v>653.04</v>
      </c>
      <c r="O1704" s="2">
        <f>Table1[[#This Row],[ttl]]/SUM(Table1[ttl])</f>
        <v>1.316808782859674E-6</v>
      </c>
      <c r="P1704" s="3">
        <f>SUM($O$2:Table1[[#This Row],[pctAllTimeExp]])</f>
        <v>0.99960213196501624</v>
      </c>
      <c r="Q1704" t="b">
        <f>Table1[[#This Row],[cumPctAllTimeExp]]&lt;0.95</f>
        <v>0</v>
      </c>
    </row>
    <row r="1705" spans="1:17" x14ac:dyDescent="0.25">
      <c r="A1705">
        <v>857</v>
      </c>
      <c r="C1705" t="s">
        <v>2508</v>
      </c>
      <c r="E1705" t="s">
        <v>859</v>
      </c>
      <c r="F1705" s="4">
        <v>0</v>
      </c>
      <c r="G1705" s="4">
        <v>651.23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f>SUM(Table1[[#This Row],[2025]:[2018]])</f>
        <v>651.23</v>
      </c>
      <c r="O1705" s="2">
        <f>Table1[[#This Row],[ttl]]/SUM(Table1[ttl])</f>
        <v>1.3131590464009946E-6</v>
      </c>
      <c r="P1705" s="3">
        <f>SUM($O$2:Table1[[#This Row],[pctAllTimeExp]])</f>
        <v>0.99960344512406263</v>
      </c>
      <c r="Q1705" t="b">
        <f>Table1[[#This Row],[cumPctAllTimeExp]]&lt;0.95</f>
        <v>0</v>
      </c>
    </row>
    <row r="1706" spans="1:17" x14ac:dyDescent="0.25">
      <c r="A1706">
        <v>519</v>
      </c>
      <c r="C1706" t="s">
        <v>2508</v>
      </c>
      <c r="E1706" t="s">
        <v>521</v>
      </c>
      <c r="F1706" s="4">
        <v>650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f>SUM(Table1[[#This Row],[2025]:[2018]])</f>
        <v>650</v>
      </c>
      <c r="O1706" s="2">
        <f>Table1[[#This Row],[ttl]]/SUM(Table1[ttl])</f>
        <v>1.3106788387522789E-6</v>
      </c>
      <c r="P1706" s="3">
        <f>SUM($O$2:Table1[[#This Row],[pctAllTimeExp]])</f>
        <v>0.99960475580290142</v>
      </c>
      <c r="Q1706" t="b">
        <f>Table1[[#This Row],[cumPctAllTimeExp]]&lt;0.95</f>
        <v>0</v>
      </c>
    </row>
    <row r="1707" spans="1:17" x14ac:dyDescent="0.25">
      <c r="A1707">
        <v>897</v>
      </c>
      <c r="C1707" t="s">
        <v>2508</v>
      </c>
      <c r="E1707" t="s">
        <v>899</v>
      </c>
      <c r="F1707" s="4">
        <v>0</v>
      </c>
      <c r="G1707" s="4">
        <v>325</v>
      </c>
      <c r="H1707" s="4">
        <v>325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f>SUM(Table1[[#This Row],[2025]:[2018]])</f>
        <v>650</v>
      </c>
      <c r="O1707" s="2">
        <f>Table1[[#This Row],[ttl]]/SUM(Table1[ttl])</f>
        <v>1.3106788387522789E-6</v>
      </c>
      <c r="P1707" s="3">
        <f>SUM($O$2:Table1[[#This Row],[pctAllTimeExp]])</f>
        <v>0.99960606648174022</v>
      </c>
      <c r="Q1707" t="b">
        <f>Table1[[#This Row],[cumPctAllTimeExp]]&lt;0.95</f>
        <v>0</v>
      </c>
    </row>
    <row r="1708" spans="1:17" x14ac:dyDescent="0.25">
      <c r="A1708">
        <v>1112</v>
      </c>
      <c r="C1708" t="s">
        <v>2508</v>
      </c>
      <c r="E1708" t="s">
        <v>1114</v>
      </c>
      <c r="F1708" s="4">
        <v>0</v>
      </c>
      <c r="G1708" s="4">
        <v>0</v>
      </c>
      <c r="H1708" s="4">
        <v>650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f>SUM(Table1[[#This Row],[2025]:[2018]])</f>
        <v>650</v>
      </c>
      <c r="O1708" s="2">
        <f>Table1[[#This Row],[ttl]]/SUM(Table1[ttl])</f>
        <v>1.3106788387522789E-6</v>
      </c>
      <c r="P1708" s="3">
        <f>SUM($O$2:Table1[[#This Row],[pctAllTimeExp]])</f>
        <v>0.99960737716057901</v>
      </c>
      <c r="Q1708" t="b">
        <f>Table1[[#This Row],[cumPctAllTimeExp]]&lt;0.95</f>
        <v>0</v>
      </c>
    </row>
    <row r="1709" spans="1:17" x14ac:dyDescent="0.25">
      <c r="A1709">
        <v>1301</v>
      </c>
      <c r="C1709" t="s">
        <v>2508</v>
      </c>
      <c r="E1709" t="s">
        <v>1303</v>
      </c>
      <c r="F1709" s="4">
        <v>0</v>
      </c>
      <c r="G1709" s="4">
        <v>0</v>
      </c>
      <c r="H1709" s="4">
        <v>0</v>
      </c>
      <c r="I1709" s="4">
        <v>650</v>
      </c>
      <c r="J1709" s="4">
        <v>0</v>
      </c>
      <c r="K1709" s="4">
        <v>0</v>
      </c>
      <c r="L1709" s="4">
        <v>0</v>
      </c>
      <c r="M1709" s="4">
        <v>0</v>
      </c>
      <c r="N1709" s="4">
        <f>SUM(Table1[[#This Row],[2025]:[2018]])</f>
        <v>650</v>
      </c>
      <c r="O1709" s="2">
        <f>Table1[[#This Row],[ttl]]/SUM(Table1[ttl])</f>
        <v>1.3106788387522789E-6</v>
      </c>
      <c r="P1709" s="3">
        <f>SUM($O$2:Table1[[#This Row],[pctAllTimeExp]])</f>
        <v>0.99960868783941781</v>
      </c>
      <c r="Q1709" t="b">
        <f>Table1[[#This Row],[cumPctAllTimeExp]]&lt;0.95</f>
        <v>0</v>
      </c>
    </row>
    <row r="1710" spans="1:17" x14ac:dyDescent="0.25">
      <c r="A1710">
        <v>1506</v>
      </c>
      <c r="C1710" t="s">
        <v>2508</v>
      </c>
      <c r="E1710" t="s">
        <v>1508</v>
      </c>
      <c r="F1710" s="4">
        <v>0</v>
      </c>
      <c r="G1710" s="4">
        <v>0</v>
      </c>
      <c r="H1710" s="4">
        <v>0</v>
      </c>
      <c r="I1710" s="4">
        <v>0</v>
      </c>
      <c r="J1710" s="4">
        <v>650</v>
      </c>
      <c r="K1710" s="4">
        <v>0</v>
      </c>
      <c r="L1710" s="4">
        <v>0</v>
      </c>
      <c r="M1710" s="4">
        <v>0</v>
      </c>
      <c r="N1710" s="4">
        <f>SUM(Table1[[#This Row],[2025]:[2018]])</f>
        <v>650</v>
      </c>
      <c r="O1710" s="2">
        <f>Table1[[#This Row],[ttl]]/SUM(Table1[ttl])</f>
        <v>1.3106788387522789E-6</v>
      </c>
      <c r="P1710" s="3">
        <f>SUM($O$2:Table1[[#This Row],[pctAllTimeExp]])</f>
        <v>0.9996099985182566</v>
      </c>
      <c r="Q1710" t="b">
        <f>Table1[[#This Row],[cumPctAllTimeExp]]&lt;0.95</f>
        <v>0</v>
      </c>
    </row>
    <row r="1711" spans="1:17" x14ac:dyDescent="0.25">
      <c r="A1711">
        <v>1507</v>
      </c>
      <c r="C1711" t="s">
        <v>2508</v>
      </c>
      <c r="E1711" t="s">
        <v>1509</v>
      </c>
      <c r="F1711" s="4">
        <v>0</v>
      </c>
      <c r="G1711" s="4">
        <v>0</v>
      </c>
      <c r="H1711" s="4">
        <v>0</v>
      </c>
      <c r="I1711" s="4">
        <v>0</v>
      </c>
      <c r="J1711" s="4">
        <v>650</v>
      </c>
      <c r="K1711" s="4">
        <v>0</v>
      </c>
      <c r="L1711" s="4">
        <v>0</v>
      </c>
      <c r="M1711" s="4">
        <v>0</v>
      </c>
      <c r="N1711" s="4">
        <f>SUM(Table1[[#This Row],[2025]:[2018]])</f>
        <v>650</v>
      </c>
      <c r="O1711" s="2">
        <f>Table1[[#This Row],[ttl]]/SUM(Table1[ttl])</f>
        <v>1.3106788387522789E-6</v>
      </c>
      <c r="P1711" s="3">
        <f>SUM($O$2:Table1[[#This Row],[pctAllTimeExp]])</f>
        <v>0.9996113091970954</v>
      </c>
      <c r="Q1711" t="b">
        <f>Table1[[#This Row],[cumPctAllTimeExp]]&lt;0.95</f>
        <v>0</v>
      </c>
    </row>
    <row r="1712" spans="1:17" x14ac:dyDescent="0.25">
      <c r="A1712">
        <v>1794</v>
      </c>
      <c r="C1712" t="s">
        <v>2508</v>
      </c>
      <c r="E1712" t="s">
        <v>1796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650</v>
      </c>
      <c r="L1712" s="4">
        <v>0</v>
      </c>
      <c r="M1712" s="4">
        <v>0</v>
      </c>
      <c r="N1712" s="4">
        <f>SUM(Table1[[#This Row],[2025]:[2018]])</f>
        <v>650</v>
      </c>
      <c r="O1712" s="2">
        <f>Table1[[#This Row],[ttl]]/SUM(Table1[ttl])</f>
        <v>1.3106788387522789E-6</v>
      </c>
      <c r="P1712" s="3">
        <f>SUM($O$2:Table1[[#This Row],[pctAllTimeExp]])</f>
        <v>0.99961261987593419</v>
      </c>
      <c r="Q1712" t="b">
        <f>Table1[[#This Row],[cumPctAllTimeExp]]&lt;0.95</f>
        <v>0</v>
      </c>
    </row>
    <row r="1713" spans="1:17" x14ac:dyDescent="0.25">
      <c r="A1713">
        <v>1795</v>
      </c>
      <c r="C1713" t="s">
        <v>2508</v>
      </c>
      <c r="E1713" t="s">
        <v>1797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650</v>
      </c>
      <c r="L1713" s="4">
        <v>0</v>
      </c>
      <c r="M1713" s="4">
        <v>0</v>
      </c>
      <c r="N1713" s="4">
        <f>SUM(Table1[[#This Row],[2025]:[2018]])</f>
        <v>650</v>
      </c>
      <c r="O1713" s="2">
        <f>Table1[[#This Row],[ttl]]/SUM(Table1[ttl])</f>
        <v>1.3106788387522789E-6</v>
      </c>
      <c r="P1713" s="3">
        <f>SUM($O$2:Table1[[#This Row],[pctAllTimeExp]])</f>
        <v>0.99961393055477299</v>
      </c>
      <c r="Q1713" t="b">
        <f>Table1[[#This Row],[cumPctAllTimeExp]]&lt;0.95</f>
        <v>0</v>
      </c>
    </row>
    <row r="1714" spans="1:17" x14ac:dyDescent="0.25">
      <c r="A1714">
        <v>2105</v>
      </c>
      <c r="C1714" t="s">
        <v>2508</v>
      </c>
      <c r="E1714" t="s">
        <v>2107</v>
      </c>
      <c r="F1714" s="4">
        <v>0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4">
        <v>650</v>
      </c>
      <c r="M1714" s="4">
        <v>0</v>
      </c>
      <c r="N1714" s="4">
        <f>SUM(Table1[[#This Row],[2025]:[2018]])</f>
        <v>650</v>
      </c>
      <c r="O1714" s="2">
        <f>Table1[[#This Row],[ttl]]/SUM(Table1[ttl])</f>
        <v>1.3106788387522789E-6</v>
      </c>
      <c r="P1714" s="3">
        <f>SUM($O$2:Table1[[#This Row],[pctAllTimeExp]])</f>
        <v>0.99961524123361178</v>
      </c>
      <c r="Q1714" t="b">
        <f>Table1[[#This Row],[cumPctAllTimeExp]]&lt;0.95</f>
        <v>0</v>
      </c>
    </row>
    <row r="1715" spans="1:17" x14ac:dyDescent="0.25">
      <c r="A1715">
        <v>1796</v>
      </c>
      <c r="C1715" t="s">
        <v>2508</v>
      </c>
      <c r="E1715" t="s">
        <v>1798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648</v>
      </c>
      <c r="L1715" s="4">
        <v>0</v>
      </c>
      <c r="M1715" s="4">
        <v>0</v>
      </c>
      <c r="N1715" s="4">
        <f>SUM(Table1[[#This Row],[2025]:[2018]])</f>
        <v>648</v>
      </c>
      <c r="O1715" s="2">
        <f>Table1[[#This Row],[ttl]]/SUM(Table1[ttl])</f>
        <v>1.3066459807868871E-6</v>
      </c>
      <c r="P1715" s="3">
        <f>SUM($O$2:Table1[[#This Row],[pctAllTimeExp]])</f>
        <v>0.99961654787959253</v>
      </c>
      <c r="Q1715" t="b">
        <f>Table1[[#This Row],[cumPctAllTimeExp]]&lt;0.95</f>
        <v>0</v>
      </c>
    </row>
    <row r="1716" spans="1:17" x14ac:dyDescent="0.25">
      <c r="A1716">
        <v>1331</v>
      </c>
      <c r="C1716" t="s">
        <v>2508</v>
      </c>
      <c r="E1716" t="s">
        <v>1333</v>
      </c>
      <c r="F1716" s="4">
        <v>0</v>
      </c>
      <c r="G1716" s="4">
        <v>0</v>
      </c>
      <c r="H1716" s="4">
        <v>0</v>
      </c>
      <c r="I1716" s="4">
        <v>324.60000000000002</v>
      </c>
      <c r="J1716" s="4">
        <v>0</v>
      </c>
      <c r="K1716" s="4">
        <v>322.74</v>
      </c>
      <c r="L1716" s="4">
        <v>0</v>
      </c>
      <c r="M1716" s="4">
        <v>0</v>
      </c>
      <c r="N1716" s="4">
        <f>SUM(Table1[[#This Row],[2025]:[2018]])</f>
        <v>647.34</v>
      </c>
      <c r="O1716" s="2">
        <f>Table1[[#This Row],[ttl]]/SUM(Table1[ttl])</f>
        <v>1.3053151376583081E-6</v>
      </c>
      <c r="P1716" s="3">
        <f>SUM($O$2:Table1[[#This Row],[pctAllTimeExp]])</f>
        <v>0.99961785319473018</v>
      </c>
      <c r="Q1716" t="b">
        <f>Table1[[#This Row],[cumPctAllTimeExp]]&lt;0.95</f>
        <v>0</v>
      </c>
    </row>
    <row r="1717" spans="1:17" x14ac:dyDescent="0.25">
      <c r="A1717">
        <v>1113</v>
      </c>
      <c r="C1717" t="s">
        <v>2508</v>
      </c>
      <c r="E1717" t="s">
        <v>1115</v>
      </c>
      <c r="F1717" s="4">
        <v>0</v>
      </c>
      <c r="G1717" s="4">
        <v>0</v>
      </c>
      <c r="H1717" s="4">
        <v>638.75</v>
      </c>
      <c r="I1717" s="4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f>SUM(Table1[[#This Row],[2025]:[2018]])</f>
        <v>638.75</v>
      </c>
      <c r="O1717" s="2">
        <f>Table1[[#This Row],[ttl]]/SUM(Table1[ttl])</f>
        <v>1.2879940126969509E-6</v>
      </c>
      <c r="P1717" s="3">
        <f>SUM($O$2:Table1[[#This Row],[pctAllTimeExp]])</f>
        <v>0.99961914118874284</v>
      </c>
      <c r="Q1717" t="b">
        <f>Table1[[#This Row],[cumPctAllTimeExp]]&lt;0.95</f>
        <v>0</v>
      </c>
    </row>
    <row r="1718" spans="1:17" x14ac:dyDescent="0.25">
      <c r="A1718">
        <v>1302</v>
      </c>
      <c r="C1718" t="s">
        <v>2508</v>
      </c>
      <c r="E1718" t="s">
        <v>1304</v>
      </c>
      <c r="F1718" s="4">
        <v>0</v>
      </c>
      <c r="G1718" s="4">
        <v>0</v>
      </c>
      <c r="H1718" s="4">
        <v>0</v>
      </c>
      <c r="I1718" s="4">
        <v>635</v>
      </c>
      <c r="J1718" s="4">
        <v>0</v>
      </c>
      <c r="K1718" s="4">
        <v>0</v>
      </c>
      <c r="L1718" s="4">
        <v>0</v>
      </c>
      <c r="M1718" s="4">
        <v>0</v>
      </c>
      <c r="N1718" s="4">
        <f>SUM(Table1[[#This Row],[2025]:[2018]])</f>
        <v>635</v>
      </c>
      <c r="O1718" s="2">
        <f>Table1[[#This Row],[ttl]]/SUM(Table1[ttl])</f>
        <v>1.2804324040118416E-6</v>
      </c>
      <c r="P1718" s="3">
        <f>SUM($O$2:Table1[[#This Row],[pctAllTimeExp]])</f>
        <v>0.99962042162114684</v>
      </c>
      <c r="Q1718" t="b">
        <f>Table1[[#This Row],[cumPctAllTimeExp]]&lt;0.95</f>
        <v>0</v>
      </c>
    </row>
    <row r="1719" spans="1:17" x14ac:dyDescent="0.25">
      <c r="A1719">
        <v>2185</v>
      </c>
      <c r="C1719" t="s">
        <v>2508</v>
      </c>
      <c r="E1719" t="s">
        <v>2187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>
        <v>175</v>
      </c>
      <c r="M1719" s="4">
        <v>460</v>
      </c>
      <c r="N1719" s="4">
        <f>SUM(Table1[[#This Row],[2025]:[2018]])</f>
        <v>635</v>
      </c>
      <c r="O1719" s="2">
        <f>Table1[[#This Row],[ttl]]/SUM(Table1[ttl])</f>
        <v>1.2804324040118416E-6</v>
      </c>
      <c r="P1719" s="3">
        <f>SUM($O$2:Table1[[#This Row],[pctAllTimeExp]])</f>
        <v>0.99962170205355083</v>
      </c>
      <c r="Q1719" t="b">
        <f>Table1[[#This Row],[cumPctAllTimeExp]]&lt;0.95</f>
        <v>0</v>
      </c>
    </row>
    <row r="1720" spans="1:17" x14ac:dyDescent="0.25">
      <c r="A1720">
        <v>2357</v>
      </c>
      <c r="C1720" t="s">
        <v>2508</v>
      </c>
      <c r="E1720" t="s">
        <v>2359</v>
      </c>
      <c r="F1720" s="4">
        <v>0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628.20000000000005</v>
      </c>
      <c r="N1720" s="4">
        <f>SUM(Table1[[#This Row],[2025]:[2018]])</f>
        <v>628.20000000000005</v>
      </c>
      <c r="O1720" s="2">
        <f>Table1[[#This Row],[ttl]]/SUM(Table1[ttl])</f>
        <v>1.2667206869295102E-6</v>
      </c>
      <c r="P1720" s="3">
        <f>SUM($O$2:Table1[[#This Row],[pctAllTimeExp]])</f>
        <v>0.99962296877423773</v>
      </c>
      <c r="Q1720" t="b">
        <f>Table1[[#This Row],[cumPctAllTimeExp]]&lt;0.95</f>
        <v>0</v>
      </c>
    </row>
    <row r="1721" spans="1:17" x14ac:dyDescent="0.25">
      <c r="A1721">
        <v>2115</v>
      </c>
      <c r="C1721" t="s">
        <v>2508</v>
      </c>
      <c r="E1721" t="s">
        <v>2117</v>
      </c>
      <c r="F1721" s="4">
        <v>0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>
        <v>538.83000000000004</v>
      </c>
      <c r="M1721" s="4">
        <v>83.38</v>
      </c>
      <c r="N1721" s="4">
        <f>SUM(Table1[[#This Row],[2025]:[2018]])</f>
        <v>622.21</v>
      </c>
      <c r="O1721" s="2">
        <f>Table1[[#This Row],[ttl]]/SUM(Table1[ttl])</f>
        <v>1.2546422773231621E-6</v>
      </c>
      <c r="P1721" s="3">
        <f>SUM($O$2:Table1[[#This Row],[pctAllTimeExp]])</f>
        <v>0.99962422341651502</v>
      </c>
      <c r="Q1721" t="b">
        <f>Table1[[#This Row],[cumPctAllTimeExp]]&lt;0.95</f>
        <v>0</v>
      </c>
    </row>
    <row r="1722" spans="1:17" x14ac:dyDescent="0.25">
      <c r="A1722">
        <v>2358</v>
      </c>
      <c r="C1722" t="s">
        <v>2508</v>
      </c>
      <c r="E1722" t="s">
        <v>2360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620</v>
      </c>
      <c r="N1722" s="4">
        <f>SUM(Table1[[#This Row],[2025]:[2018]])</f>
        <v>620</v>
      </c>
      <c r="O1722" s="2">
        <f>Table1[[#This Row],[ttl]]/SUM(Table1[ttl])</f>
        <v>1.2501859692714043E-6</v>
      </c>
      <c r="P1722" s="3">
        <f>SUM($O$2:Table1[[#This Row],[pctAllTimeExp]])</f>
        <v>0.99962547360248433</v>
      </c>
      <c r="Q1722" t="b">
        <f>Table1[[#This Row],[cumPctAllTimeExp]]&lt;0.95</f>
        <v>0</v>
      </c>
    </row>
    <row r="1723" spans="1:17" x14ac:dyDescent="0.25">
      <c r="A1723">
        <v>1966</v>
      </c>
      <c r="C1723" t="s">
        <v>2508</v>
      </c>
      <c r="E1723" t="s">
        <v>1968</v>
      </c>
      <c r="F1723" s="4">
        <v>0</v>
      </c>
      <c r="G1723" s="4">
        <v>0</v>
      </c>
      <c r="H1723" s="4">
        <v>0</v>
      </c>
      <c r="I1723" s="4">
        <v>0</v>
      </c>
      <c r="J1723" s="4">
        <v>0</v>
      </c>
      <c r="K1723" s="4">
        <v>13.65</v>
      </c>
      <c r="L1723" s="4">
        <v>602.41</v>
      </c>
      <c r="M1723" s="4">
        <v>0</v>
      </c>
      <c r="N1723" s="4">
        <f>SUM(Table1[[#This Row],[2025]:[2018]])</f>
        <v>616.05999999999995</v>
      </c>
      <c r="O1723" s="2">
        <f>Table1[[#This Row],[ttl]]/SUM(Table1[ttl])</f>
        <v>1.2422412390795827E-6</v>
      </c>
      <c r="P1723" s="3">
        <f>SUM($O$2:Table1[[#This Row],[pctAllTimeExp]])</f>
        <v>0.99962671584372342</v>
      </c>
      <c r="Q1723" t="b">
        <f>Table1[[#This Row],[cumPctAllTimeExp]]&lt;0.95</f>
        <v>0</v>
      </c>
    </row>
    <row r="1724" spans="1:17" x14ac:dyDescent="0.25">
      <c r="A1724">
        <v>1303</v>
      </c>
      <c r="C1724" t="s">
        <v>2508</v>
      </c>
      <c r="E1724" t="s">
        <v>1305</v>
      </c>
      <c r="F1724" s="4">
        <v>0</v>
      </c>
      <c r="G1724" s="4">
        <v>0</v>
      </c>
      <c r="H1724" s="4">
        <v>0</v>
      </c>
      <c r="I1724" s="4">
        <v>614</v>
      </c>
      <c r="J1724" s="4">
        <v>0</v>
      </c>
      <c r="K1724" s="4">
        <v>0</v>
      </c>
      <c r="L1724" s="4">
        <v>0</v>
      </c>
      <c r="M1724" s="4">
        <v>0</v>
      </c>
      <c r="N1724" s="4">
        <f>SUM(Table1[[#This Row],[2025]:[2018]])</f>
        <v>614</v>
      </c>
      <c r="O1724" s="2">
        <f>Table1[[#This Row],[ttl]]/SUM(Table1[ttl])</f>
        <v>1.2380873953752294E-6</v>
      </c>
      <c r="P1724" s="3">
        <f>SUM($O$2:Table1[[#This Row],[pctAllTimeExp]])</f>
        <v>0.99962795393111881</v>
      </c>
      <c r="Q1724" t="b">
        <f>Table1[[#This Row],[cumPctAllTimeExp]]&lt;0.95</f>
        <v>0</v>
      </c>
    </row>
    <row r="1725" spans="1:17" x14ac:dyDescent="0.25">
      <c r="A1725">
        <v>861</v>
      </c>
      <c r="C1725" t="s">
        <v>2508</v>
      </c>
      <c r="E1725" t="s">
        <v>863</v>
      </c>
      <c r="F1725" s="4">
        <v>0</v>
      </c>
      <c r="G1725" s="4">
        <v>613.03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f>SUM(Table1[[#This Row],[2025]:[2018]])</f>
        <v>613.03</v>
      </c>
      <c r="O1725" s="2">
        <f>Table1[[#This Row],[ttl]]/SUM(Table1[ttl])</f>
        <v>1.2361314592620144E-6</v>
      </c>
      <c r="P1725" s="3">
        <f>SUM($O$2:Table1[[#This Row],[pctAllTimeExp]])</f>
        <v>0.99962919006257811</v>
      </c>
      <c r="Q1725" t="b">
        <f>Table1[[#This Row],[cumPctAllTimeExp]]&lt;0.95</f>
        <v>0</v>
      </c>
    </row>
    <row r="1726" spans="1:17" x14ac:dyDescent="0.25">
      <c r="A1726">
        <v>1799</v>
      </c>
      <c r="C1726" t="s">
        <v>2508</v>
      </c>
      <c r="E1726" t="s">
        <v>1801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611.80999999999995</v>
      </c>
      <c r="L1726" s="4">
        <v>0</v>
      </c>
      <c r="M1726" s="4">
        <v>0</v>
      </c>
      <c r="N1726" s="4">
        <f>SUM(Table1[[#This Row],[2025]:[2018]])</f>
        <v>611.80999999999995</v>
      </c>
      <c r="O1726" s="2">
        <f>Table1[[#This Row],[ttl]]/SUM(Table1[ttl])</f>
        <v>1.2336714159031255E-6</v>
      </c>
      <c r="P1726" s="3">
        <f>SUM($O$2:Table1[[#This Row],[pctAllTimeExp]])</f>
        <v>0.99963042373399402</v>
      </c>
      <c r="Q1726" t="b">
        <f>Table1[[#This Row],[cumPctAllTimeExp]]&lt;0.95</f>
        <v>0</v>
      </c>
    </row>
    <row r="1727" spans="1:17" x14ac:dyDescent="0.25">
      <c r="A1727">
        <v>1373</v>
      </c>
      <c r="C1727" t="s">
        <v>2508</v>
      </c>
      <c r="E1727" t="s">
        <v>1375</v>
      </c>
      <c r="F1727" s="4">
        <v>0</v>
      </c>
      <c r="G1727" s="4">
        <v>0</v>
      </c>
      <c r="H1727" s="4">
        <v>0</v>
      </c>
      <c r="I1727" s="4">
        <v>120.5</v>
      </c>
      <c r="J1727" s="4">
        <v>0</v>
      </c>
      <c r="K1727" s="4">
        <v>123.5</v>
      </c>
      <c r="L1727" s="4">
        <v>247</v>
      </c>
      <c r="M1727" s="4">
        <v>120</v>
      </c>
      <c r="N1727" s="4">
        <f>SUM(Table1[[#This Row],[2025]:[2018]])</f>
        <v>611</v>
      </c>
      <c r="O1727" s="2">
        <f>Table1[[#This Row],[ttl]]/SUM(Table1[ttl])</f>
        <v>1.232038108427142E-6</v>
      </c>
      <c r="P1727" s="3">
        <f>SUM($O$2:Table1[[#This Row],[pctAllTimeExp]])</f>
        <v>0.99963165577210245</v>
      </c>
      <c r="Q1727" t="b">
        <f>Table1[[#This Row],[cumPctAllTimeExp]]&lt;0.95</f>
        <v>0</v>
      </c>
    </row>
    <row r="1728" spans="1:17" x14ac:dyDescent="0.25">
      <c r="A1728">
        <v>2108</v>
      </c>
      <c r="C1728" t="s">
        <v>2508</v>
      </c>
      <c r="E1728" t="s">
        <v>2110</v>
      </c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606.20000000000005</v>
      </c>
      <c r="M1728" s="4">
        <v>0</v>
      </c>
      <c r="N1728" s="4">
        <f>SUM(Table1[[#This Row],[2025]:[2018]])</f>
        <v>606.20000000000005</v>
      </c>
      <c r="O1728" s="2">
        <f>Table1[[#This Row],[ttl]]/SUM(Table1[ttl])</f>
        <v>1.2223592493102021E-6</v>
      </c>
      <c r="P1728" s="3">
        <f>SUM($O$2:Table1[[#This Row],[pctAllTimeExp]])</f>
        <v>0.99963287813135171</v>
      </c>
      <c r="Q1728" t="b">
        <f>Table1[[#This Row],[cumPctAllTimeExp]]&lt;0.95</f>
        <v>0</v>
      </c>
    </row>
    <row r="1729" spans="1:17" x14ac:dyDescent="0.25">
      <c r="A1729">
        <v>530</v>
      </c>
      <c r="C1729" t="s">
        <v>2508</v>
      </c>
      <c r="E1729" t="s">
        <v>532</v>
      </c>
      <c r="F1729" s="4">
        <v>600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f>SUM(Table1[[#This Row],[2025]:[2018]])</f>
        <v>600</v>
      </c>
      <c r="O1729" s="2">
        <f>Table1[[#This Row],[ttl]]/SUM(Table1[ttl])</f>
        <v>1.209857389617488E-6</v>
      </c>
      <c r="P1729" s="3">
        <f>SUM($O$2:Table1[[#This Row],[pctAllTimeExp]])</f>
        <v>0.99963408798874132</v>
      </c>
      <c r="Q1729" t="b">
        <f>Table1[[#This Row],[cumPctAllTimeExp]]&lt;0.95</f>
        <v>0</v>
      </c>
    </row>
    <row r="1730" spans="1:17" x14ac:dyDescent="0.25">
      <c r="A1730">
        <v>531</v>
      </c>
      <c r="C1730" t="s">
        <v>2508</v>
      </c>
      <c r="E1730" t="s">
        <v>533</v>
      </c>
      <c r="F1730" s="4">
        <v>600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f>SUM(Table1[[#This Row],[2025]:[2018]])</f>
        <v>600</v>
      </c>
      <c r="O1730" s="2">
        <f>Table1[[#This Row],[ttl]]/SUM(Table1[ttl])</f>
        <v>1.209857389617488E-6</v>
      </c>
      <c r="P1730" s="3">
        <f>SUM($O$2:Table1[[#This Row],[pctAllTimeExp]])</f>
        <v>0.99963529784613092</v>
      </c>
      <c r="Q1730" t="b">
        <f>Table1[[#This Row],[cumPctAllTimeExp]]&lt;0.95</f>
        <v>0</v>
      </c>
    </row>
    <row r="1731" spans="1:17" x14ac:dyDescent="0.25">
      <c r="A1731">
        <v>533</v>
      </c>
      <c r="C1731" t="s">
        <v>2508</v>
      </c>
      <c r="E1731" t="s">
        <v>535</v>
      </c>
      <c r="F1731" s="4">
        <v>600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f>SUM(Table1[[#This Row],[2025]:[2018]])</f>
        <v>600</v>
      </c>
      <c r="O1731" s="2">
        <f>Table1[[#This Row],[ttl]]/SUM(Table1[ttl])</f>
        <v>1.209857389617488E-6</v>
      </c>
      <c r="P1731" s="3">
        <f>SUM($O$2:Table1[[#This Row],[pctAllTimeExp]])</f>
        <v>0.99963650770352053</v>
      </c>
      <c r="Q1731" t="b">
        <f>Table1[[#This Row],[cumPctAllTimeExp]]&lt;0.95</f>
        <v>0</v>
      </c>
    </row>
    <row r="1732" spans="1:17" x14ac:dyDescent="0.25">
      <c r="A1732">
        <v>609</v>
      </c>
      <c r="C1732" t="s">
        <v>2508</v>
      </c>
      <c r="E1732" t="s">
        <v>611</v>
      </c>
      <c r="F1732" s="4">
        <v>300</v>
      </c>
      <c r="G1732" s="4">
        <v>300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f>SUM(Table1[[#This Row],[2025]:[2018]])</f>
        <v>600</v>
      </c>
      <c r="O1732" s="2">
        <f>Table1[[#This Row],[ttl]]/SUM(Table1[ttl])</f>
        <v>1.209857389617488E-6</v>
      </c>
      <c r="P1732" s="3">
        <f>SUM($O$2:Table1[[#This Row],[pctAllTimeExp]])</f>
        <v>0.99963771756091013</v>
      </c>
      <c r="Q1732" t="b">
        <f>Table1[[#This Row],[cumPctAllTimeExp]]&lt;0.95</f>
        <v>0</v>
      </c>
    </row>
    <row r="1733" spans="1:17" x14ac:dyDescent="0.25">
      <c r="A1733">
        <v>664</v>
      </c>
      <c r="C1733" t="s">
        <v>2508</v>
      </c>
      <c r="E1733" t="s">
        <v>666</v>
      </c>
      <c r="F1733" s="4">
        <v>100</v>
      </c>
      <c r="G1733" s="4">
        <v>100</v>
      </c>
      <c r="H1733" s="4">
        <v>100</v>
      </c>
      <c r="I1733" s="4">
        <v>100</v>
      </c>
      <c r="J1733" s="4">
        <v>0</v>
      </c>
      <c r="K1733" s="4">
        <v>0</v>
      </c>
      <c r="L1733" s="4">
        <v>200</v>
      </c>
      <c r="M1733" s="4">
        <v>0</v>
      </c>
      <c r="N1733" s="4">
        <f>SUM(Table1[[#This Row],[2025]:[2018]])</f>
        <v>600</v>
      </c>
      <c r="O1733" s="2">
        <f>Table1[[#This Row],[ttl]]/SUM(Table1[ttl])</f>
        <v>1.209857389617488E-6</v>
      </c>
      <c r="P1733" s="3">
        <f>SUM($O$2:Table1[[#This Row],[pctAllTimeExp]])</f>
        <v>0.99963892741829974</v>
      </c>
      <c r="Q1733" t="b">
        <f>Table1[[#This Row],[cumPctAllTimeExp]]&lt;0.95</f>
        <v>0</v>
      </c>
    </row>
    <row r="1734" spans="1:17" x14ac:dyDescent="0.25">
      <c r="A1734">
        <v>864</v>
      </c>
      <c r="C1734" t="s">
        <v>2508</v>
      </c>
      <c r="E1734" t="s">
        <v>866</v>
      </c>
      <c r="F1734" s="4">
        <v>0</v>
      </c>
      <c r="G1734" s="4">
        <v>600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f>SUM(Table1[[#This Row],[2025]:[2018]])</f>
        <v>600</v>
      </c>
      <c r="O1734" s="2">
        <f>Table1[[#This Row],[ttl]]/SUM(Table1[ttl])</f>
        <v>1.209857389617488E-6</v>
      </c>
      <c r="P1734" s="3">
        <f>SUM($O$2:Table1[[#This Row],[pctAllTimeExp]])</f>
        <v>0.99964013727568934</v>
      </c>
      <c r="Q1734" t="b">
        <f>Table1[[#This Row],[cumPctAllTimeExp]]&lt;0.95</f>
        <v>0</v>
      </c>
    </row>
    <row r="1735" spans="1:17" x14ac:dyDescent="0.25">
      <c r="A1735">
        <v>865</v>
      </c>
      <c r="C1735" t="s">
        <v>2508</v>
      </c>
      <c r="E1735" t="s">
        <v>867</v>
      </c>
      <c r="F1735" s="4">
        <v>0</v>
      </c>
      <c r="G1735" s="4">
        <v>600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f>SUM(Table1[[#This Row],[2025]:[2018]])</f>
        <v>600</v>
      </c>
      <c r="O1735" s="2">
        <f>Table1[[#This Row],[ttl]]/SUM(Table1[ttl])</f>
        <v>1.209857389617488E-6</v>
      </c>
      <c r="P1735" s="3">
        <f>SUM($O$2:Table1[[#This Row],[pctAllTimeExp]])</f>
        <v>0.99964134713307895</v>
      </c>
      <c r="Q1735" t="b">
        <f>Table1[[#This Row],[cumPctAllTimeExp]]&lt;0.95</f>
        <v>0</v>
      </c>
    </row>
    <row r="1736" spans="1:17" x14ac:dyDescent="0.25">
      <c r="A1736">
        <v>866</v>
      </c>
      <c r="C1736" t="s">
        <v>2508</v>
      </c>
      <c r="E1736" t="s">
        <v>868</v>
      </c>
      <c r="F1736" s="4">
        <v>0</v>
      </c>
      <c r="G1736" s="4">
        <v>600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f>SUM(Table1[[#This Row],[2025]:[2018]])</f>
        <v>600</v>
      </c>
      <c r="O1736" s="2">
        <f>Table1[[#This Row],[ttl]]/SUM(Table1[ttl])</f>
        <v>1.209857389617488E-6</v>
      </c>
      <c r="P1736" s="3">
        <f>SUM($O$2:Table1[[#This Row],[pctAllTimeExp]])</f>
        <v>0.99964255699046856</v>
      </c>
      <c r="Q1736" t="b">
        <f>Table1[[#This Row],[cumPctAllTimeExp]]&lt;0.95</f>
        <v>0</v>
      </c>
    </row>
    <row r="1737" spans="1:17" x14ac:dyDescent="0.25">
      <c r="A1737">
        <v>867</v>
      </c>
      <c r="C1737" t="s">
        <v>2508</v>
      </c>
      <c r="E1737" t="s">
        <v>869</v>
      </c>
      <c r="F1737" s="4">
        <v>0</v>
      </c>
      <c r="G1737" s="4">
        <v>600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f>SUM(Table1[[#This Row],[2025]:[2018]])</f>
        <v>600</v>
      </c>
      <c r="O1737" s="2">
        <f>Table1[[#This Row],[ttl]]/SUM(Table1[ttl])</f>
        <v>1.209857389617488E-6</v>
      </c>
      <c r="P1737" s="3">
        <f>SUM($O$2:Table1[[#This Row],[pctAllTimeExp]])</f>
        <v>0.99964376684785816</v>
      </c>
      <c r="Q1737" t="b">
        <f>Table1[[#This Row],[cumPctAllTimeExp]]&lt;0.95</f>
        <v>0</v>
      </c>
    </row>
    <row r="1738" spans="1:17" x14ac:dyDescent="0.25">
      <c r="A1738">
        <v>1305</v>
      </c>
      <c r="C1738" t="s">
        <v>2508</v>
      </c>
      <c r="E1738" t="s">
        <v>1307</v>
      </c>
      <c r="F1738" s="4">
        <v>0</v>
      </c>
      <c r="G1738" s="4">
        <v>0</v>
      </c>
      <c r="H1738" s="4">
        <v>0</v>
      </c>
      <c r="I1738" s="4">
        <v>600</v>
      </c>
      <c r="J1738" s="4">
        <v>0</v>
      </c>
      <c r="K1738" s="4">
        <v>0</v>
      </c>
      <c r="L1738" s="4">
        <v>0</v>
      </c>
      <c r="M1738" s="4">
        <v>0</v>
      </c>
      <c r="N1738" s="4">
        <f>SUM(Table1[[#This Row],[2025]:[2018]])</f>
        <v>600</v>
      </c>
      <c r="O1738" s="2">
        <f>Table1[[#This Row],[ttl]]/SUM(Table1[ttl])</f>
        <v>1.209857389617488E-6</v>
      </c>
      <c r="P1738" s="3">
        <f>SUM($O$2:Table1[[#This Row],[pctAllTimeExp]])</f>
        <v>0.99964497670524777</v>
      </c>
      <c r="Q1738" t="b">
        <f>Table1[[#This Row],[cumPctAllTimeExp]]&lt;0.95</f>
        <v>0</v>
      </c>
    </row>
    <row r="1739" spans="1:17" x14ac:dyDescent="0.25">
      <c r="A1739">
        <v>1306</v>
      </c>
      <c r="C1739" t="s">
        <v>2508</v>
      </c>
      <c r="E1739" t="s">
        <v>1308</v>
      </c>
      <c r="F1739" s="4">
        <v>0</v>
      </c>
      <c r="G1739" s="4">
        <v>0</v>
      </c>
      <c r="H1739" s="4">
        <v>0</v>
      </c>
      <c r="I1739" s="4">
        <v>600</v>
      </c>
      <c r="J1739" s="4">
        <v>0</v>
      </c>
      <c r="K1739" s="4">
        <v>0</v>
      </c>
      <c r="L1739" s="4">
        <v>0</v>
      </c>
      <c r="M1739" s="4">
        <v>0</v>
      </c>
      <c r="N1739" s="4">
        <f>SUM(Table1[[#This Row],[2025]:[2018]])</f>
        <v>600</v>
      </c>
      <c r="O1739" s="2">
        <f>Table1[[#This Row],[ttl]]/SUM(Table1[ttl])</f>
        <v>1.209857389617488E-6</v>
      </c>
      <c r="P1739" s="3">
        <f>SUM($O$2:Table1[[#This Row],[pctAllTimeExp]])</f>
        <v>0.99964618656263737</v>
      </c>
      <c r="Q1739" t="b">
        <f>Table1[[#This Row],[cumPctAllTimeExp]]&lt;0.95</f>
        <v>0</v>
      </c>
    </row>
    <row r="1740" spans="1:17" x14ac:dyDescent="0.25">
      <c r="A1740">
        <v>1307</v>
      </c>
      <c r="C1740" t="s">
        <v>2508</v>
      </c>
      <c r="E1740" t="s">
        <v>1309</v>
      </c>
      <c r="F1740" s="4">
        <v>0</v>
      </c>
      <c r="G1740" s="4">
        <v>0</v>
      </c>
      <c r="H1740" s="4">
        <v>0</v>
      </c>
      <c r="I1740" s="4">
        <v>600</v>
      </c>
      <c r="J1740" s="4">
        <v>0</v>
      </c>
      <c r="K1740" s="4">
        <v>0</v>
      </c>
      <c r="L1740" s="4">
        <v>0</v>
      </c>
      <c r="M1740" s="4">
        <v>0</v>
      </c>
      <c r="N1740" s="4">
        <f>SUM(Table1[[#This Row],[2025]:[2018]])</f>
        <v>600</v>
      </c>
      <c r="O1740" s="2">
        <f>Table1[[#This Row],[ttl]]/SUM(Table1[ttl])</f>
        <v>1.209857389617488E-6</v>
      </c>
      <c r="P1740" s="3">
        <f>SUM($O$2:Table1[[#This Row],[pctAllTimeExp]])</f>
        <v>0.99964739642002698</v>
      </c>
      <c r="Q1740" t="b">
        <f>Table1[[#This Row],[cumPctAllTimeExp]]&lt;0.95</f>
        <v>0</v>
      </c>
    </row>
    <row r="1741" spans="1:17" x14ac:dyDescent="0.25">
      <c r="A1741">
        <v>1336</v>
      </c>
      <c r="C1741" t="s">
        <v>2508</v>
      </c>
      <c r="E1741" t="s">
        <v>1338</v>
      </c>
      <c r="F1741" s="4">
        <v>0</v>
      </c>
      <c r="G1741" s="4">
        <v>0</v>
      </c>
      <c r="H1741" s="4">
        <v>0</v>
      </c>
      <c r="I1741" s="4">
        <v>300</v>
      </c>
      <c r="J1741" s="4">
        <v>300</v>
      </c>
      <c r="K1741" s="4">
        <v>0</v>
      </c>
      <c r="L1741" s="4">
        <v>0</v>
      </c>
      <c r="M1741" s="4">
        <v>0</v>
      </c>
      <c r="N1741" s="4">
        <f>SUM(Table1[[#This Row],[2025]:[2018]])</f>
        <v>600</v>
      </c>
      <c r="O1741" s="2">
        <f>Table1[[#This Row],[ttl]]/SUM(Table1[ttl])</f>
        <v>1.209857389617488E-6</v>
      </c>
      <c r="P1741" s="3">
        <f>SUM($O$2:Table1[[#This Row],[pctAllTimeExp]])</f>
        <v>0.99964860627741658</v>
      </c>
      <c r="Q1741" t="b">
        <f>Table1[[#This Row],[cumPctAllTimeExp]]&lt;0.95</f>
        <v>0</v>
      </c>
    </row>
    <row r="1742" spans="1:17" x14ac:dyDescent="0.25">
      <c r="A1742">
        <v>1509</v>
      </c>
      <c r="C1742" t="s">
        <v>2508</v>
      </c>
      <c r="E1742" t="s">
        <v>1511</v>
      </c>
      <c r="F1742" s="4">
        <v>0</v>
      </c>
      <c r="G1742" s="4">
        <v>0</v>
      </c>
      <c r="H1742" s="4">
        <v>0</v>
      </c>
      <c r="I1742" s="4">
        <v>0</v>
      </c>
      <c r="J1742" s="4">
        <v>600</v>
      </c>
      <c r="K1742" s="4">
        <v>0</v>
      </c>
      <c r="L1742" s="4">
        <v>0</v>
      </c>
      <c r="M1742" s="4">
        <v>0</v>
      </c>
      <c r="N1742" s="4">
        <f>SUM(Table1[[#This Row],[2025]:[2018]])</f>
        <v>600</v>
      </c>
      <c r="O1742" s="2">
        <f>Table1[[#This Row],[ttl]]/SUM(Table1[ttl])</f>
        <v>1.209857389617488E-6</v>
      </c>
      <c r="P1742" s="3">
        <f>SUM($O$2:Table1[[#This Row],[pctAllTimeExp]])</f>
        <v>0.99964981613480619</v>
      </c>
      <c r="Q1742" t="b">
        <f>Table1[[#This Row],[cumPctAllTimeExp]]&lt;0.95</f>
        <v>0</v>
      </c>
    </row>
    <row r="1743" spans="1:17" x14ac:dyDescent="0.25">
      <c r="A1743">
        <v>1869</v>
      </c>
      <c r="C1743" t="s">
        <v>2508</v>
      </c>
      <c r="E1743" t="s">
        <v>1871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200</v>
      </c>
      <c r="L1743" s="4">
        <v>200</v>
      </c>
      <c r="M1743" s="4">
        <v>200</v>
      </c>
      <c r="N1743" s="4">
        <f>SUM(Table1[[#This Row],[2025]:[2018]])</f>
        <v>600</v>
      </c>
      <c r="O1743" s="2">
        <f>Table1[[#This Row],[ttl]]/SUM(Table1[ttl])</f>
        <v>1.209857389617488E-6</v>
      </c>
      <c r="P1743" s="3">
        <f>SUM($O$2:Table1[[#This Row],[pctAllTimeExp]])</f>
        <v>0.9996510259921958</v>
      </c>
      <c r="Q1743" t="b">
        <f>Table1[[#This Row],[cumPctAllTimeExp]]&lt;0.95</f>
        <v>0</v>
      </c>
    </row>
    <row r="1744" spans="1:17" x14ac:dyDescent="0.25">
      <c r="A1744">
        <v>1875</v>
      </c>
      <c r="C1744" t="s">
        <v>2508</v>
      </c>
      <c r="E1744" t="s">
        <v>1877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200</v>
      </c>
      <c r="L1744" s="4">
        <v>200</v>
      </c>
      <c r="M1744" s="4">
        <v>200</v>
      </c>
      <c r="N1744" s="4">
        <f>SUM(Table1[[#This Row],[2025]:[2018]])</f>
        <v>600</v>
      </c>
      <c r="O1744" s="2">
        <f>Table1[[#This Row],[ttl]]/SUM(Table1[ttl])</f>
        <v>1.209857389617488E-6</v>
      </c>
      <c r="P1744" s="3">
        <f>SUM($O$2:Table1[[#This Row],[pctAllTimeExp]])</f>
        <v>0.9996522358495854</v>
      </c>
      <c r="Q1744" t="b">
        <f>Table1[[#This Row],[cumPctAllTimeExp]]&lt;0.95</f>
        <v>0</v>
      </c>
    </row>
    <row r="1745" spans="1:17" x14ac:dyDescent="0.25">
      <c r="A1745">
        <v>2109</v>
      </c>
      <c r="C1745" t="s">
        <v>2508</v>
      </c>
      <c r="E1745" t="s">
        <v>2111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600</v>
      </c>
      <c r="M1745" s="4">
        <v>0</v>
      </c>
      <c r="N1745" s="4">
        <f>SUM(Table1[[#This Row],[2025]:[2018]])</f>
        <v>600</v>
      </c>
      <c r="O1745" s="2">
        <f>Table1[[#This Row],[ttl]]/SUM(Table1[ttl])</f>
        <v>1.209857389617488E-6</v>
      </c>
      <c r="P1745" s="3">
        <f>SUM($O$2:Table1[[#This Row],[pctAllTimeExp]])</f>
        <v>0.99965344570697501</v>
      </c>
      <c r="Q1745" t="b">
        <f>Table1[[#This Row],[cumPctAllTimeExp]]&lt;0.95</f>
        <v>0</v>
      </c>
    </row>
    <row r="1746" spans="1:17" x14ac:dyDescent="0.25">
      <c r="A1746">
        <v>2151</v>
      </c>
      <c r="C1746" t="s">
        <v>2508</v>
      </c>
      <c r="E1746" t="s">
        <v>2153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>
        <v>300</v>
      </c>
      <c r="M1746" s="4">
        <v>300</v>
      </c>
      <c r="N1746" s="4">
        <f>SUM(Table1[[#This Row],[2025]:[2018]])</f>
        <v>600</v>
      </c>
      <c r="O1746" s="2">
        <f>Table1[[#This Row],[ttl]]/SUM(Table1[ttl])</f>
        <v>1.209857389617488E-6</v>
      </c>
      <c r="P1746" s="3">
        <f>SUM($O$2:Table1[[#This Row],[pctAllTimeExp]])</f>
        <v>0.99965465556436461</v>
      </c>
      <c r="Q1746" t="b">
        <f>Table1[[#This Row],[cumPctAllTimeExp]]&lt;0.95</f>
        <v>0</v>
      </c>
    </row>
    <row r="1747" spans="1:17" x14ac:dyDescent="0.25">
      <c r="A1747">
        <v>2359</v>
      </c>
      <c r="C1747" t="s">
        <v>2508</v>
      </c>
      <c r="E1747" t="s">
        <v>2361</v>
      </c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600</v>
      </c>
      <c r="N1747" s="4">
        <f>SUM(Table1[[#This Row],[2025]:[2018]])</f>
        <v>600</v>
      </c>
      <c r="O1747" s="2">
        <f>Table1[[#This Row],[ttl]]/SUM(Table1[ttl])</f>
        <v>1.209857389617488E-6</v>
      </c>
      <c r="P1747" s="3">
        <f>SUM($O$2:Table1[[#This Row],[pctAllTimeExp]])</f>
        <v>0.99965586542175422</v>
      </c>
      <c r="Q1747" t="b">
        <f>Table1[[#This Row],[cumPctAllTimeExp]]&lt;0.95</f>
        <v>0</v>
      </c>
    </row>
    <row r="1748" spans="1:17" x14ac:dyDescent="0.25">
      <c r="A1748">
        <v>2360</v>
      </c>
      <c r="C1748" t="s">
        <v>2508</v>
      </c>
      <c r="E1748" t="s">
        <v>2362</v>
      </c>
      <c r="F1748" s="4">
        <v>0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600</v>
      </c>
      <c r="N1748" s="4">
        <f>SUM(Table1[[#This Row],[2025]:[2018]])</f>
        <v>600</v>
      </c>
      <c r="O1748" s="2">
        <f>Table1[[#This Row],[ttl]]/SUM(Table1[ttl])</f>
        <v>1.209857389617488E-6</v>
      </c>
      <c r="P1748" s="3">
        <f>SUM($O$2:Table1[[#This Row],[pctAllTimeExp]])</f>
        <v>0.99965707527914383</v>
      </c>
      <c r="Q1748" t="b">
        <f>Table1[[#This Row],[cumPctAllTimeExp]]&lt;0.95</f>
        <v>0</v>
      </c>
    </row>
    <row r="1749" spans="1:17" x14ac:dyDescent="0.25">
      <c r="A1749">
        <v>2361</v>
      </c>
      <c r="C1749" t="s">
        <v>2508</v>
      </c>
      <c r="E1749" t="s">
        <v>2363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>
        <v>0</v>
      </c>
      <c r="M1749" s="4">
        <v>600</v>
      </c>
      <c r="N1749" s="4">
        <f>SUM(Table1[[#This Row],[2025]:[2018]])</f>
        <v>600</v>
      </c>
      <c r="O1749" s="2">
        <f>Table1[[#This Row],[ttl]]/SUM(Table1[ttl])</f>
        <v>1.209857389617488E-6</v>
      </c>
      <c r="P1749" s="3">
        <f>SUM($O$2:Table1[[#This Row],[pctAllTimeExp]])</f>
        <v>0.99965828513653343</v>
      </c>
      <c r="Q1749" t="b">
        <f>Table1[[#This Row],[cumPctAllTimeExp]]&lt;0.95</f>
        <v>0</v>
      </c>
    </row>
    <row r="1750" spans="1:17" x14ac:dyDescent="0.25">
      <c r="A1750">
        <v>2362</v>
      </c>
      <c r="C1750" t="s">
        <v>2508</v>
      </c>
      <c r="E1750" t="s">
        <v>2364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>
        <v>0</v>
      </c>
      <c r="M1750" s="4">
        <v>600</v>
      </c>
      <c r="N1750" s="4">
        <f>SUM(Table1[[#This Row],[2025]:[2018]])</f>
        <v>600</v>
      </c>
      <c r="O1750" s="2">
        <f>Table1[[#This Row],[ttl]]/SUM(Table1[ttl])</f>
        <v>1.209857389617488E-6</v>
      </c>
      <c r="P1750" s="3">
        <f>SUM($O$2:Table1[[#This Row],[pctAllTimeExp]])</f>
        <v>0.99965949499392304</v>
      </c>
      <c r="Q1750" t="b">
        <f>Table1[[#This Row],[cumPctAllTimeExp]]&lt;0.95</f>
        <v>0</v>
      </c>
    </row>
    <row r="1751" spans="1:17" x14ac:dyDescent="0.25">
      <c r="A1751">
        <v>2363</v>
      </c>
      <c r="C1751" t="s">
        <v>2508</v>
      </c>
      <c r="E1751" t="s">
        <v>2365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600</v>
      </c>
      <c r="N1751" s="4">
        <f>SUM(Table1[[#This Row],[2025]:[2018]])</f>
        <v>600</v>
      </c>
      <c r="O1751" s="2">
        <f>Table1[[#This Row],[ttl]]/SUM(Table1[ttl])</f>
        <v>1.209857389617488E-6</v>
      </c>
      <c r="P1751" s="3">
        <f>SUM($O$2:Table1[[#This Row],[pctAllTimeExp]])</f>
        <v>0.99966070485131264</v>
      </c>
      <c r="Q1751" t="b">
        <f>Table1[[#This Row],[cumPctAllTimeExp]]&lt;0.95</f>
        <v>0</v>
      </c>
    </row>
    <row r="1752" spans="1:17" x14ac:dyDescent="0.25">
      <c r="A1752">
        <v>2110</v>
      </c>
      <c r="C1752" t="s">
        <v>2508</v>
      </c>
      <c r="E1752" t="s">
        <v>2112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>
        <v>597.5</v>
      </c>
      <c r="M1752" s="4">
        <v>0</v>
      </c>
      <c r="N1752" s="4">
        <f>SUM(Table1[[#This Row],[2025]:[2018]])</f>
        <v>597.5</v>
      </c>
      <c r="O1752" s="2">
        <f>Table1[[#This Row],[ttl]]/SUM(Table1[ttl])</f>
        <v>1.2048163171607485E-6</v>
      </c>
      <c r="P1752" s="3">
        <f>SUM($O$2:Table1[[#This Row],[pctAllTimeExp]])</f>
        <v>0.9996619096676298</v>
      </c>
      <c r="Q1752" t="b">
        <f>Table1[[#This Row],[cumPctAllTimeExp]]&lt;0.95</f>
        <v>0</v>
      </c>
    </row>
    <row r="1753" spans="1:17" x14ac:dyDescent="0.25">
      <c r="A1753">
        <v>536</v>
      </c>
      <c r="C1753" t="s">
        <v>2508</v>
      </c>
      <c r="E1753" t="s">
        <v>538</v>
      </c>
      <c r="F1753" s="4">
        <v>595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f>SUM(Table1[[#This Row],[2025]:[2018]])</f>
        <v>595</v>
      </c>
      <c r="O1753" s="2">
        <f>Table1[[#This Row],[ttl]]/SUM(Table1[ttl])</f>
        <v>1.199775244704009E-6</v>
      </c>
      <c r="P1753" s="3">
        <f>SUM($O$2:Table1[[#This Row],[pctAllTimeExp]])</f>
        <v>0.99966310944287451</v>
      </c>
      <c r="Q1753" t="b">
        <f>Table1[[#This Row],[cumPctAllTimeExp]]&lt;0.95</f>
        <v>0</v>
      </c>
    </row>
    <row r="1754" spans="1:17" x14ac:dyDescent="0.25">
      <c r="A1754">
        <v>2364</v>
      </c>
      <c r="C1754" t="s">
        <v>2508</v>
      </c>
      <c r="E1754" t="s">
        <v>2366</v>
      </c>
      <c r="F1754" s="4">
        <v>0</v>
      </c>
      <c r="G1754" s="4">
        <v>0</v>
      </c>
      <c r="H1754" s="4">
        <v>0</v>
      </c>
      <c r="I1754" s="4">
        <v>0</v>
      </c>
      <c r="J1754" s="4">
        <v>0</v>
      </c>
      <c r="K1754" s="4">
        <v>0</v>
      </c>
      <c r="L1754" s="4">
        <v>0</v>
      </c>
      <c r="M1754" s="4">
        <v>595</v>
      </c>
      <c r="N1754" s="4">
        <f>SUM(Table1[[#This Row],[2025]:[2018]])</f>
        <v>595</v>
      </c>
      <c r="O1754" s="2">
        <f>Table1[[#This Row],[ttl]]/SUM(Table1[ttl])</f>
        <v>1.199775244704009E-6</v>
      </c>
      <c r="P1754" s="3">
        <f>SUM($O$2:Table1[[#This Row],[pctAllTimeExp]])</f>
        <v>0.99966430921811922</v>
      </c>
      <c r="Q1754" t="b">
        <f>Table1[[#This Row],[cumPctAllTimeExp]]&lt;0.95</f>
        <v>0</v>
      </c>
    </row>
    <row r="1755" spans="1:17" x14ac:dyDescent="0.25">
      <c r="A1755">
        <v>1310</v>
      </c>
      <c r="C1755" t="s">
        <v>2508</v>
      </c>
      <c r="E1755" t="s">
        <v>1312</v>
      </c>
      <c r="F1755" s="4">
        <v>0</v>
      </c>
      <c r="G1755" s="4">
        <v>0</v>
      </c>
      <c r="H1755" s="4">
        <v>0</v>
      </c>
      <c r="I1755" s="4">
        <v>556.34</v>
      </c>
      <c r="J1755" s="4">
        <v>0</v>
      </c>
      <c r="K1755" s="4">
        <v>0</v>
      </c>
      <c r="L1755" s="4">
        <v>0</v>
      </c>
      <c r="M1755" s="4">
        <v>37.49</v>
      </c>
      <c r="N1755" s="4">
        <f>SUM(Table1[[#This Row],[2025]:[2018]])</f>
        <v>593.83000000000004</v>
      </c>
      <c r="O1755" s="2">
        <f>Table1[[#This Row],[ttl]]/SUM(Table1[ttl])</f>
        <v>1.197416022794255E-6</v>
      </c>
      <c r="P1755" s="3">
        <f>SUM($O$2:Table1[[#This Row],[pctAllTimeExp]])</f>
        <v>0.999665506634142</v>
      </c>
      <c r="Q1755" t="b">
        <f>Table1[[#This Row],[cumPctAllTimeExp]]&lt;0.95</f>
        <v>0</v>
      </c>
    </row>
    <row r="1756" spans="1:17" x14ac:dyDescent="0.25">
      <c r="A1756">
        <v>868</v>
      </c>
      <c r="C1756" t="s">
        <v>2508</v>
      </c>
      <c r="E1756" t="s">
        <v>870</v>
      </c>
      <c r="F1756" s="4">
        <v>0</v>
      </c>
      <c r="G1756" s="4">
        <v>590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f>SUM(Table1[[#This Row],[2025]:[2018]])</f>
        <v>590</v>
      </c>
      <c r="O1756" s="2">
        <f>Table1[[#This Row],[ttl]]/SUM(Table1[ttl])</f>
        <v>1.18969309979053E-6</v>
      </c>
      <c r="P1756" s="3">
        <f>SUM($O$2:Table1[[#This Row],[pctAllTimeExp]])</f>
        <v>0.99966669632724181</v>
      </c>
      <c r="Q1756" t="b">
        <f>Table1[[#This Row],[cumPctAllTimeExp]]&lt;0.95</f>
        <v>0</v>
      </c>
    </row>
    <row r="1757" spans="1:17" x14ac:dyDescent="0.25">
      <c r="A1757">
        <v>1512</v>
      </c>
      <c r="C1757" t="s">
        <v>2508</v>
      </c>
      <c r="E1757" t="s">
        <v>1514</v>
      </c>
      <c r="F1757" s="4">
        <v>0</v>
      </c>
      <c r="G1757" s="4">
        <v>0</v>
      </c>
      <c r="H1757" s="4">
        <v>0</v>
      </c>
      <c r="I1757" s="4">
        <v>0</v>
      </c>
      <c r="J1757" s="4">
        <v>590</v>
      </c>
      <c r="K1757" s="4">
        <v>0</v>
      </c>
      <c r="L1757" s="4">
        <v>0</v>
      </c>
      <c r="M1757" s="4">
        <v>0</v>
      </c>
      <c r="N1757" s="4">
        <f>SUM(Table1[[#This Row],[2025]:[2018]])</f>
        <v>590</v>
      </c>
      <c r="O1757" s="2">
        <f>Table1[[#This Row],[ttl]]/SUM(Table1[ttl])</f>
        <v>1.18969309979053E-6</v>
      </c>
      <c r="P1757" s="3">
        <f>SUM($O$2:Table1[[#This Row],[pctAllTimeExp]])</f>
        <v>0.99966788602034162</v>
      </c>
      <c r="Q1757" t="b">
        <f>Table1[[#This Row],[cumPctAllTimeExp]]&lt;0.95</f>
        <v>0</v>
      </c>
    </row>
    <row r="1758" spans="1:17" x14ac:dyDescent="0.25">
      <c r="A1758">
        <v>1646</v>
      </c>
      <c r="C1758" t="s">
        <v>2508</v>
      </c>
      <c r="E1758" t="s">
        <v>1648</v>
      </c>
      <c r="F1758" s="4">
        <v>0</v>
      </c>
      <c r="G1758" s="4">
        <v>0</v>
      </c>
      <c r="H1758" s="4">
        <v>0</v>
      </c>
      <c r="I1758" s="4">
        <v>0</v>
      </c>
      <c r="J1758" s="4">
        <v>20</v>
      </c>
      <c r="K1758" s="4">
        <v>116.5</v>
      </c>
      <c r="L1758" s="4">
        <v>130</v>
      </c>
      <c r="M1758" s="4">
        <v>320</v>
      </c>
      <c r="N1758" s="4">
        <f>SUM(Table1[[#This Row],[2025]:[2018]])</f>
        <v>586.5</v>
      </c>
      <c r="O1758" s="2">
        <f>Table1[[#This Row],[ttl]]/SUM(Table1[ttl])</f>
        <v>1.1826355983510946E-6</v>
      </c>
      <c r="P1758" s="3">
        <f>SUM($O$2:Table1[[#This Row],[pctAllTimeExp]])</f>
        <v>0.99966906865593996</v>
      </c>
      <c r="Q1758" t="b">
        <f>Table1[[#This Row],[cumPctAllTimeExp]]&lt;0.95</f>
        <v>0</v>
      </c>
    </row>
    <row r="1759" spans="1:17" x14ac:dyDescent="0.25">
      <c r="A1759">
        <v>1801</v>
      </c>
      <c r="C1759" t="s">
        <v>2508</v>
      </c>
      <c r="E1759" t="s">
        <v>1803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586</v>
      </c>
      <c r="L1759" s="4">
        <v>0</v>
      </c>
      <c r="M1759" s="4">
        <v>0</v>
      </c>
      <c r="N1759" s="4">
        <f>SUM(Table1[[#This Row],[2025]:[2018]])</f>
        <v>586</v>
      </c>
      <c r="O1759" s="2">
        <f>Table1[[#This Row],[ttl]]/SUM(Table1[ttl])</f>
        <v>1.1816273838597467E-6</v>
      </c>
      <c r="P1759" s="3">
        <f>SUM($O$2:Table1[[#This Row],[pctAllTimeExp]])</f>
        <v>0.99967025028332379</v>
      </c>
      <c r="Q1759" t="b">
        <f>Table1[[#This Row],[cumPctAllTimeExp]]&lt;0.95</f>
        <v>0</v>
      </c>
    </row>
    <row r="1760" spans="1:17" x14ac:dyDescent="0.25">
      <c r="A1760">
        <v>1513</v>
      </c>
      <c r="C1760" t="s">
        <v>2508</v>
      </c>
      <c r="E1760" t="s">
        <v>1515</v>
      </c>
      <c r="F1760" s="4">
        <v>0</v>
      </c>
      <c r="G1760" s="4">
        <v>0</v>
      </c>
      <c r="H1760" s="4">
        <v>0</v>
      </c>
      <c r="I1760" s="4">
        <v>0</v>
      </c>
      <c r="J1760" s="4">
        <v>576</v>
      </c>
      <c r="K1760" s="4">
        <v>0</v>
      </c>
      <c r="L1760" s="4">
        <v>0</v>
      </c>
      <c r="M1760" s="4">
        <v>0</v>
      </c>
      <c r="N1760" s="4">
        <f>SUM(Table1[[#This Row],[2025]:[2018]])</f>
        <v>576</v>
      </c>
      <c r="O1760" s="2">
        <f>Table1[[#This Row],[ttl]]/SUM(Table1[ttl])</f>
        <v>1.1614630940327886E-6</v>
      </c>
      <c r="P1760" s="3">
        <f>SUM($O$2:Table1[[#This Row],[pctAllTimeExp]])</f>
        <v>0.99967141174641783</v>
      </c>
      <c r="Q1760" t="b">
        <f>Table1[[#This Row],[cumPctAllTimeExp]]&lt;0.95</f>
        <v>0</v>
      </c>
    </row>
    <row r="1761" spans="1:17" x14ac:dyDescent="0.25">
      <c r="A1761">
        <v>1308</v>
      </c>
      <c r="C1761" t="s">
        <v>2508</v>
      </c>
      <c r="E1761" t="s">
        <v>1310</v>
      </c>
      <c r="F1761" s="4">
        <v>0</v>
      </c>
      <c r="G1761" s="4">
        <v>0</v>
      </c>
      <c r="H1761" s="4">
        <v>0</v>
      </c>
      <c r="I1761" s="4">
        <v>575</v>
      </c>
      <c r="J1761" s="4">
        <v>0</v>
      </c>
      <c r="K1761" s="4">
        <v>0</v>
      </c>
      <c r="L1761" s="4">
        <v>0</v>
      </c>
      <c r="M1761" s="4">
        <v>0</v>
      </c>
      <c r="N1761" s="4">
        <f>SUM(Table1[[#This Row],[2025]:[2018]])</f>
        <v>575</v>
      </c>
      <c r="O1761" s="2">
        <f>Table1[[#This Row],[ttl]]/SUM(Table1[ttl])</f>
        <v>1.1594466650500927E-6</v>
      </c>
      <c r="P1761" s="3">
        <f>SUM($O$2:Table1[[#This Row],[pctAllTimeExp]])</f>
        <v>0.99967257119308284</v>
      </c>
      <c r="Q1761" t="b">
        <f>Table1[[#This Row],[cumPctAllTimeExp]]&lt;0.95</f>
        <v>0</v>
      </c>
    </row>
    <row r="1762" spans="1:17" x14ac:dyDescent="0.25">
      <c r="A1762">
        <v>2112</v>
      </c>
      <c r="C1762" t="s">
        <v>2508</v>
      </c>
      <c r="E1762" t="s">
        <v>2114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575</v>
      </c>
      <c r="M1762" s="4">
        <v>0</v>
      </c>
      <c r="N1762" s="4">
        <f>SUM(Table1[[#This Row],[2025]:[2018]])</f>
        <v>575</v>
      </c>
      <c r="O1762" s="2">
        <f>Table1[[#This Row],[ttl]]/SUM(Table1[ttl])</f>
        <v>1.1594466650500927E-6</v>
      </c>
      <c r="P1762" s="3">
        <f>SUM($O$2:Table1[[#This Row],[pctAllTimeExp]])</f>
        <v>0.99967373063974785</v>
      </c>
      <c r="Q1762" t="b">
        <f>Table1[[#This Row],[cumPctAllTimeExp]]&lt;0.95</f>
        <v>0</v>
      </c>
    </row>
    <row r="1763" spans="1:17" x14ac:dyDescent="0.25">
      <c r="A1763">
        <v>1514</v>
      </c>
      <c r="C1763" t="s">
        <v>2508</v>
      </c>
      <c r="E1763" t="s">
        <v>1516</v>
      </c>
      <c r="F1763" s="4">
        <v>0</v>
      </c>
      <c r="G1763" s="4">
        <v>0</v>
      </c>
      <c r="H1763" s="4">
        <v>0</v>
      </c>
      <c r="I1763" s="4">
        <v>0</v>
      </c>
      <c r="J1763" s="4">
        <v>570</v>
      </c>
      <c r="K1763" s="4">
        <v>0</v>
      </c>
      <c r="L1763" s="4">
        <v>0</v>
      </c>
      <c r="M1763" s="4">
        <v>0</v>
      </c>
      <c r="N1763" s="4">
        <f>SUM(Table1[[#This Row],[2025]:[2018]])</f>
        <v>570</v>
      </c>
      <c r="O1763" s="2">
        <f>Table1[[#This Row],[ttl]]/SUM(Table1[ttl])</f>
        <v>1.1493645201366137E-6</v>
      </c>
      <c r="P1763" s="3">
        <f>SUM($O$2:Table1[[#This Row],[pctAllTimeExp]])</f>
        <v>0.99967488000426796</v>
      </c>
      <c r="Q1763" t="b">
        <f>Table1[[#This Row],[cumPctAllTimeExp]]&lt;0.95</f>
        <v>0</v>
      </c>
    </row>
    <row r="1764" spans="1:17" x14ac:dyDescent="0.25">
      <c r="A1764">
        <v>1309</v>
      </c>
      <c r="C1764" t="s">
        <v>2508</v>
      </c>
      <c r="E1764" t="s">
        <v>1311</v>
      </c>
      <c r="F1764" s="4">
        <v>0</v>
      </c>
      <c r="G1764" s="4">
        <v>0</v>
      </c>
      <c r="H1764" s="4">
        <v>0</v>
      </c>
      <c r="I1764" s="4">
        <v>565</v>
      </c>
      <c r="J1764" s="4">
        <v>0</v>
      </c>
      <c r="K1764" s="4">
        <v>0</v>
      </c>
      <c r="L1764" s="4">
        <v>0</v>
      </c>
      <c r="M1764" s="4">
        <v>0</v>
      </c>
      <c r="N1764" s="4">
        <f>SUM(Table1[[#This Row],[2025]:[2018]])</f>
        <v>565</v>
      </c>
      <c r="O1764" s="2">
        <f>Table1[[#This Row],[ttl]]/SUM(Table1[ttl])</f>
        <v>1.1392823752231347E-6</v>
      </c>
      <c r="P1764" s="3">
        <f>SUM($O$2:Table1[[#This Row],[pctAllTimeExp]])</f>
        <v>0.99967601928664318</v>
      </c>
      <c r="Q1764" t="b">
        <f>Table1[[#This Row],[cumPctAllTimeExp]]&lt;0.95</f>
        <v>0</v>
      </c>
    </row>
    <row r="1765" spans="1:17" x14ac:dyDescent="0.25">
      <c r="A1765">
        <v>931</v>
      </c>
      <c r="C1765" t="s">
        <v>2508</v>
      </c>
      <c r="E1765" t="s">
        <v>933</v>
      </c>
      <c r="F1765" s="4">
        <v>0</v>
      </c>
      <c r="G1765" s="4">
        <v>120</v>
      </c>
      <c r="H1765" s="4">
        <v>440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f>SUM(Table1[[#This Row],[2025]:[2018]])</f>
        <v>560</v>
      </c>
      <c r="O1765" s="2">
        <f>Table1[[#This Row],[ttl]]/SUM(Table1[ttl])</f>
        <v>1.1292002303096555E-6</v>
      </c>
      <c r="P1765" s="3">
        <f>SUM($O$2:Table1[[#This Row],[pctAllTimeExp]])</f>
        <v>0.9996771484868735</v>
      </c>
      <c r="Q1765" t="b">
        <f>Table1[[#This Row],[cumPctAllTimeExp]]&lt;0.95</f>
        <v>0</v>
      </c>
    </row>
    <row r="1766" spans="1:17" x14ac:dyDescent="0.25">
      <c r="A1766">
        <v>1586</v>
      </c>
      <c r="C1766" t="s">
        <v>2508</v>
      </c>
      <c r="E1766" t="s">
        <v>1588</v>
      </c>
      <c r="F1766" s="4">
        <v>0</v>
      </c>
      <c r="G1766" s="4">
        <v>0</v>
      </c>
      <c r="H1766" s="4">
        <v>0</v>
      </c>
      <c r="I1766" s="4">
        <v>0</v>
      </c>
      <c r="J1766" s="4">
        <v>200</v>
      </c>
      <c r="K1766" s="4">
        <v>360</v>
      </c>
      <c r="L1766" s="4">
        <v>0</v>
      </c>
      <c r="M1766" s="4">
        <v>0</v>
      </c>
      <c r="N1766" s="4">
        <f>SUM(Table1[[#This Row],[2025]:[2018]])</f>
        <v>560</v>
      </c>
      <c r="O1766" s="2">
        <f>Table1[[#This Row],[ttl]]/SUM(Table1[ttl])</f>
        <v>1.1292002303096555E-6</v>
      </c>
      <c r="P1766" s="3">
        <f>SUM($O$2:Table1[[#This Row],[pctAllTimeExp]])</f>
        <v>0.99967827768710382</v>
      </c>
      <c r="Q1766" t="b">
        <f>Table1[[#This Row],[cumPctAllTimeExp]]&lt;0.95</f>
        <v>0</v>
      </c>
    </row>
    <row r="1767" spans="1:17" x14ac:dyDescent="0.25">
      <c r="A1767">
        <v>2113</v>
      </c>
      <c r="C1767" t="s">
        <v>2508</v>
      </c>
      <c r="E1767" t="s">
        <v>2115</v>
      </c>
      <c r="F1767" s="4">
        <v>0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>
        <v>560</v>
      </c>
      <c r="M1767" s="4">
        <v>0</v>
      </c>
      <c r="N1767" s="4">
        <f>SUM(Table1[[#This Row],[2025]:[2018]])</f>
        <v>560</v>
      </c>
      <c r="O1767" s="2">
        <f>Table1[[#This Row],[ttl]]/SUM(Table1[ttl])</f>
        <v>1.1292002303096555E-6</v>
      </c>
      <c r="P1767" s="3">
        <f>SUM($O$2:Table1[[#This Row],[pctAllTimeExp]])</f>
        <v>0.99967940688733414</v>
      </c>
      <c r="Q1767" t="b">
        <f>Table1[[#This Row],[cumPctAllTimeExp]]&lt;0.95</f>
        <v>0</v>
      </c>
    </row>
    <row r="1768" spans="1:17" x14ac:dyDescent="0.25">
      <c r="A1768">
        <v>2365</v>
      </c>
      <c r="C1768" t="s">
        <v>2508</v>
      </c>
      <c r="E1768" t="s">
        <v>2367</v>
      </c>
      <c r="F1768" s="4">
        <v>0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0</v>
      </c>
      <c r="M1768" s="4">
        <v>551.04</v>
      </c>
      <c r="N1768" s="4">
        <f>SUM(Table1[[#This Row],[2025]:[2018]])</f>
        <v>551.04</v>
      </c>
      <c r="O1768" s="2">
        <f>Table1[[#This Row],[ttl]]/SUM(Table1[ttl])</f>
        <v>1.111133026624701E-6</v>
      </c>
      <c r="P1768" s="3">
        <f>SUM($O$2:Table1[[#This Row],[pctAllTimeExp]])</f>
        <v>0.99968051802036073</v>
      </c>
      <c r="Q1768" t="b">
        <f>Table1[[#This Row],[cumPctAllTimeExp]]&lt;0.95</f>
        <v>0</v>
      </c>
    </row>
    <row r="1769" spans="1:17" x14ac:dyDescent="0.25">
      <c r="A1769">
        <v>869</v>
      </c>
      <c r="C1769" t="s">
        <v>2508</v>
      </c>
      <c r="E1769" t="s">
        <v>871</v>
      </c>
      <c r="F1769" s="4">
        <v>0</v>
      </c>
      <c r="G1769" s="4">
        <v>550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f>SUM(Table1[[#This Row],[2025]:[2018]])</f>
        <v>550</v>
      </c>
      <c r="O1769" s="2">
        <f>Table1[[#This Row],[ttl]]/SUM(Table1[ttl])</f>
        <v>1.1090359404826974E-6</v>
      </c>
      <c r="P1769" s="3">
        <f>SUM($O$2:Table1[[#This Row],[pctAllTimeExp]])</f>
        <v>0.99968162705630126</v>
      </c>
      <c r="Q1769" t="b">
        <f>Table1[[#This Row],[cumPctAllTimeExp]]&lt;0.95</f>
        <v>0</v>
      </c>
    </row>
    <row r="1770" spans="1:17" x14ac:dyDescent="0.25">
      <c r="A1770">
        <v>871</v>
      </c>
      <c r="C1770" t="s">
        <v>2508</v>
      </c>
      <c r="E1770" t="s">
        <v>873</v>
      </c>
      <c r="F1770" s="4">
        <v>0</v>
      </c>
      <c r="G1770" s="4">
        <v>550</v>
      </c>
      <c r="H1770" s="4">
        <v>0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f>SUM(Table1[[#This Row],[2025]:[2018]])</f>
        <v>550</v>
      </c>
      <c r="O1770" s="2">
        <f>Table1[[#This Row],[ttl]]/SUM(Table1[ttl])</f>
        <v>1.1090359404826974E-6</v>
      </c>
      <c r="P1770" s="3">
        <f>SUM($O$2:Table1[[#This Row],[pctAllTimeExp]])</f>
        <v>0.99968273609224179</v>
      </c>
      <c r="Q1770" t="b">
        <f>Table1[[#This Row],[cumPctAllTimeExp]]&lt;0.95</f>
        <v>0</v>
      </c>
    </row>
    <row r="1771" spans="1:17" x14ac:dyDescent="0.25">
      <c r="A1771">
        <v>1516</v>
      </c>
      <c r="C1771" t="s">
        <v>2508</v>
      </c>
      <c r="E1771" t="s">
        <v>1518</v>
      </c>
      <c r="F1771" s="4">
        <v>0</v>
      </c>
      <c r="G1771" s="4">
        <v>0</v>
      </c>
      <c r="H1771" s="4">
        <v>0</v>
      </c>
      <c r="I1771" s="4">
        <v>0</v>
      </c>
      <c r="J1771" s="4">
        <v>550</v>
      </c>
      <c r="K1771" s="4">
        <v>0</v>
      </c>
      <c r="L1771" s="4">
        <v>0</v>
      </c>
      <c r="M1771" s="4">
        <v>0</v>
      </c>
      <c r="N1771" s="4">
        <f>SUM(Table1[[#This Row],[2025]:[2018]])</f>
        <v>550</v>
      </c>
      <c r="O1771" s="2">
        <f>Table1[[#This Row],[ttl]]/SUM(Table1[ttl])</f>
        <v>1.1090359404826974E-6</v>
      </c>
      <c r="P1771" s="3">
        <f>SUM($O$2:Table1[[#This Row],[pctAllTimeExp]])</f>
        <v>0.99968384512818231</v>
      </c>
      <c r="Q1771" t="b">
        <f>Table1[[#This Row],[cumPctAllTimeExp]]&lt;0.95</f>
        <v>0</v>
      </c>
    </row>
    <row r="1772" spans="1:17" x14ac:dyDescent="0.25">
      <c r="A1772">
        <v>1803</v>
      </c>
      <c r="C1772" t="s">
        <v>2508</v>
      </c>
      <c r="E1772" t="s">
        <v>1805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550</v>
      </c>
      <c r="L1772" s="4">
        <v>0</v>
      </c>
      <c r="M1772" s="4">
        <v>0</v>
      </c>
      <c r="N1772" s="4">
        <f>SUM(Table1[[#This Row],[2025]:[2018]])</f>
        <v>550</v>
      </c>
      <c r="O1772" s="2">
        <f>Table1[[#This Row],[ttl]]/SUM(Table1[ttl])</f>
        <v>1.1090359404826974E-6</v>
      </c>
      <c r="P1772" s="3">
        <f>SUM($O$2:Table1[[#This Row],[pctAllTimeExp]])</f>
        <v>0.99968495416412284</v>
      </c>
      <c r="Q1772" t="b">
        <f>Table1[[#This Row],[cumPctAllTimeExp]]&lt;0.95</f>
        <v>0</v>
      </c>
    </row>
    <row r="1773" spans="1:17" x14ac:dyDescent="0.25">
      <c r="A1773">
        <v>2366</v>
      </c>
      <c r="C1773" t="s">
        <v>2508</v>
      </c>
      <c r="E1773" t="s">
        <v>2368</v>
      </c>
      <c r="F1773" s="4">
        <v>0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550</v>
      </c>
      <c r="N1773" s="4">
        <f>SUM(Table1[[#This Row],[2025]:[2018]])</f>
        <v>550</v>
      </c>
      <c r="O1773" s="2">
        <f>Table1[[#This Row],[ttl]]/SUM(Table1[ttl])</f>
        <v>1.1090359404826974E-6</v>
      </c>
      <c r="P1773" s="3">
        <f>SUM($O$2:Table1[[#This Row],[pctAllTimeExp]])</f>
        <v>0.99968606320006337</v>
      </c>
      <c r="Q1773" t="b">
        <f>Table1[[#This Row],[cumPctAllTimeExp]]&lt;0.95</f>
        <v>0</v>
      </c>
    </row>
    <row r="1774" spans="1:17" x14ac:dyDescent="0.25">
      <c r="A1774">
        <v>896</v>
      </c>
      <c r="C1774" t="s">
        <v>2508</v>
      </c>
      <c r="E1774" t="s">
        <v>898</v>
      </c>
      <c r="F1774" s="4">
        <v>0</v>
      </c>
      <c r="G1774" s="4">
        <v>335.15</v>
      </c>
      <c r="H1774" s="4">
        <v>0</v>
      </c>
      <c r="I1774" s="4">
        <v>0</v>
      </c>
      <c r="J1774" s="4">
        <v>0</v>
      </c>
      <c r="K1774" s="4">
        <v>210.9</v>
      </c>
      <c r="L1774" s="4">
        <v>0</v>
      </c>
      <c r="M1774" s="4">
        <v>0</v>
      </c>
      <c r="N1774" s="4">
        <f>SUM(Table1[[#This Row],[2025]:[2018]])</f>
        <v>546.04999999999995</v>
      </c>
      <c r="O1774" s="2">
        <f>Table1[[#This Row],[ttl]]/SUM(Table1[ttl])</f>
        <v>1.1010710460010488E-6</v>
      </c>
      <c r="P1774" s="3">
        <f>SUM($O$2:Table1[[#This Row],[pctAllTimeExp]])</f>
        <v>0.99968716427110937</v>
      </c>
      <c r="Q1774" t="b">
        <f>Table1[[#This Row],[cumPctAllTimeExp]]&lt;0.95</f>
        <v>0</v>
      </c>
    </row>
    <row r="1775" spans="1:17" x14ac:dyDescent="0.25">
      <c r="A1775">
        <v>2157</v>
      </c>
      <c r="C1775" t="s">
        <v>2508</v>
      </c>
      <c r="E1775" t="s">
        <v>2159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273</v>
      </c>
      <c r="M1775" s="4">
        <v>273</v>
      </c>
      <c r="N1775" s="4">
        <f>SUM(Table1[[#This Row],[2025]:[2018]])</f>
        <v>546</v>
      </c>
      <c r="O1775" s="2">
        <f>Table1[[#This Row],[ttl]]/SUM(Table1[ttl])</f>
        <v>1.1009702245519141E-6</v>
      </c>
      <c r="P1775" s="3">
        <f>SUM($O$2:Table1[[#This Row],[pctAllTimeExp]])</f>
        <v>0.99968826524133392</v>
      </c>
      <c r="Q1775" t="b">
        <f>Table1[[#This Row],[cumPctAllTimeExp]]&lt;0.95</f>
        <v>0</v>
      </c>
    </row>
    <row r="1776" spans="1:17" x14ac:dyDescent="0.25">
      <c r="A1776">
        <v>1119</v>
      </c>
      <c r="C1776" t="s">
        <v>2508</v>
      </c>
      <c r="E1776" t="s">
        <v>1121</v>
      </c>
      <c r="F1776" s="4">
        <v>0</v>
      </c>
      <c r="G1776" s="4">
        <v>0</v>
      </c>
      <c r="H1776" s="4">
        <v>535.5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f>SUM(Table1[[#This Row],[2025]:[2018]])</f>
        <v>535.5</v>
      </c>
      <c r="O1776" s="2">
        <f>Table1[[#This Row],[ttl]]/SUM(Table1[ttl])</f>
        <v>1.0797977202336081E-6</v>
      </c>
      <c r="P1776" s="3">
        <f>SUM($O$2:Table1[[#This Row],[pctAllTimeExp]])</f>
        <v>0.99968934503905416</v>
      </c>
      <c r="Q1776" t="b">
        <f>Table1[[#This Row],[cumPctAllTimeExp]]&lt;0.95</f>
        <v>0</v>
      </c>
    </row>
    <row r="1777" spans="1:17" x14ac:dyDescent="0.25">
      <c r="A1777">
        <v>643</v>
      </c>
      <c r="C1777" t="s">
        <v>2508</v>
      </c>
      <c r="E1777" t="s">
        <v>645</v>
      </c>
      <c r="F1777" s="4">
        <v>160</v>
      </c>
      <c r="G1777" s="4">
        <v>230</v>
      </c>
      <c r="H1777" s="4">
        <v>140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f>SUM(Table1[[#This Row],[2025]:[2018]])</f>
        <v>530</v>
      </c>
      <c r="O1777" s="2">
        <f>Table1[[#This Row],[ttl]]/SUM(Table1[ttl])</f>
        <v>1.0687073608287811E-6</v>
      </c>
      <c r="P1777" s="3">
        <f>SUM($O$2:Table1[[#This Row],[pctAllTimeExp]])</f>
        <v>0.99969041374641499</v>
      </c>
      <c r="Q1777" t="b">
        <f>Table1[[#This Row],[cumPctAllTimeExp]]&lt;0.95</f>
        <v>0</v>
      </c>
    </row>
    <row r="1778" spans="1:17" x14ac:dyDescent="0.25">
      <c r="A1778">
        <v>2116</v>
      </c>
      <c r="C1778" t="s">
        <v>2508</v>
      </c>
      <c r="E1778" t="s">
        <v>2118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529.74</v>
      </c>
      <c r="M1778" s="4">
        <v>0</v>
      </c>
      <c r="N1778" s="4">
        <f>SUM(Table1[[#This Row],[2025]:[2018]])</f>
        <v>529.74</v>
      </c>
      <c r="O1778" s="2">
        <f>Table1[[#This Row],[ttl]]/SUM(Table1[ttl])</f>
        <v>1.0681830892932802E-6</v>
      </c>
      <c r="P1778" s="3">
        <f>SUM($O$2:Table1[[#This Row],[pctAllTimeExp]])</f>
        <v>0.9996914819295043</v>
      </c>
      <c r="Q1778" t="b">
        <f>Table1[[#This Row],[cumPctAllTimeExp]]&lt;0.95</f>
        <v>0</v>
      </c>
    </row>
    <row r="1779" spans="1:17" x14ac:dyDescent="0.25">
      <c r="A1779">
        <v>2117</v>
      </c>
      <c r="C1779" t="s">
        <v>2508</v>
      </c>
      <c r="E1779" t="s">
        <v>2119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528.17999999999995</v>
      </c>
      <c r="M1779" s="4">
        <v>0</v>
      </c>
      <c r="N1779" s="4">
        <f>SUM(Table1[[#This Row],[2025]:[2018]])</f>
        <v>528.17999999999995</v>
      </c>
      <c r="O1779" s="2">
        <f>Table1[[#This Row],[ttl]]/SUM(Table1[ttl])</f>
        <v>1.0650374600802747E-6</v>
      </c>
      <c r="P1779" s="3">
        <f>SUM($O$2:Table1[[#This Row],[pctAllTimeExp]])</f>
        <v>0.99969254696696441</v>
      </c>
      <c r="Q1779" t="b">
        <f>Table1[[#This Row],[cumPctAllTimeExp]]&lt;0.95</f>
        <v>0</v>
      </c>
    </row>
    <row r="1780" spans="1:17" x14ac:dyDescent="0.25">
      <c r="A1780">
        <v>548</v>
      </c>
      <c r="C1780" t="s">
        <v>2508</v>
      </c>
      <c r="E1780" t="s">
        <v>550</v>
      </c>
      <c r="F1780" s="4">
        <v>526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f>SUM(Table1[[#This Row],[2025]:[2018]])</f>
        <v>526</v>
      </c>
      <c r="O1780" s="2">
        <f>Table1[[#This Row],[ttl]]/SUM(Table1[ttl])</f>
        <v>1.060641644897998E-6</v>
      </c>
      <c r="P1780" s="3">
        <f>SUM($O$2:Table1[[#This Row],[pctAllTimeExp]])</f>
        <v>0.99969360760860926</v>
      </c>
      <c r="Q1780" t="b">
        <f>Table1[[#This Row],[cumPctAllTimeExp]]&lt;0.95</f>
        <v>0</v>
      </c>
    </row>
    <row r="1781" spans="1:17" x14ac:dyDescent="0.25">
      <c r="A1781">
        <v>1370</v>
      </c>
      <c r="C1781" t="s">
        <v>2508</v>
      </c>
      <c r="E1781" t="s">
        <v>1372</v>
      </c>
      <c r="F1781" s="4">
        <v>0</v>
      </c>
      <c r="G1781" s="4">
        <v>0</v>
      </c>
      <c r="H1781" s="4">
        <v>0</v>
      </c>
      <c r="I1781" s="4">
        <v>150</v>
      </c>
      <c r="J1781" s="4">
        <v>0</v>
      </c>
      <c r="K1781" s="4">
        <v>0</v>
      </c>
      <c r="L1781" s="4">
        <v>0</v>
      </c>
      <c r="M1781" s="4">
        <v>375</v>
      </c>
      <c r="N1781" s="4">
        <f>SUM(Table1[[#This Row],[2025]:[2018]])</f>
        <v>525</v>
      </c>
      <c r="O1781" s="2">
        <f>Table1[[#This Row],[ttl]]/SUM(Table1[ttl])</f>
        <v>1.0586252159153021E-6</v>
      </c>
      <c r="P1781" s="3">
        <f>SUM($O$2:Table1[[#This Row],[pctAllTimeExp]])</f>
        <v>0.99969466623382519</v>
      </c>
      <c r="Q1781" t="b">
        <f>Table1[[#This Row],[cumPctAllTimeExp]]&lt;0.95</f>
        <v>0</v>
      </c>
    </row>
    <row r="1782" spans="1:17" x14ac:dyDescent="0.25">
      <c r="A1782">
        <v>1517</v>
      </c>
      <c r="C1782" t="s">
        <v>2508</v>
      </c>
      <c r="E1782" t="s">
        <v>1519</v>
      </c>
      <c r="F1782" s="4">
        <v>0</v>
      </c>
      <c r="G1782" s="4">
        <v>0</v>
      </c>
      <c r="H1782" s="4">
        <v>0</v>
      </c>
      <c r="I1782" s="4">
        <v>0</v>
      </c>
      <c r="J1782" s="4">
        <v>525</v>
      </c>
      <c r="K1782" s="4">
        <v>0</v>
      </c>
      <c r="L1782" s="4">
        <v>0</v>
      </c>
      <c r="M1782" s="4">
        <v>0</v>
      </c>
      <c r="N1782" s="4">
        <f>SUM(Table1[[#This Row],[2025]:[2018]])</f>
        <v>525</v>
      </c>
      <c r="O1782" s="2">
        <f>Table1[[#This Row],[ttl]]/SUM(Table1[ttl])</f>
        <v>1.0586252159153021E-6</v>
      </c>
      <c r="P1782" s="3">
        <f>SUM($O$2:Table1[[#This Row],[pctAllTimeExp]])</f>
        <v>0.99969572485904112</v>
      </c>
      <c r="Q1782" t="b">
        <f>Table1[[#This Row],[cumPctAllTimeExp]]&lt;0.95</f>
        <v>0</v>
      </c>
    </row>
    <row r="1783" spans="1:17" x14ac:dyDescent="0.25">
      <c r="A1783">
        <v>1922</v>
      </c>
      <c r="C1783" t="s">
        <v>2508</v>
      </c>
      <c r="E1783" t="s">
        <v>1924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75</v>
      </c>
      <c r="L1783" s="4">
        <v>75</v>
      </c>
      <c r="M1783" s="4">
        <v>375</v>
      </c>
      <c r="N1783" s="4">
        <f>SUM(Table1[[#This Row],[2025]:[2018]])</f>
        <v>525</v>
      </c>
      <c r="O1783" s="2">
        <f>Table1[[#This Row],[ttl]]/SUM(Table1[ttl])</f>
        <v>1.0586252159153021E-6</v>
      </c>
      <c r="P1783" s="3">
        <f>SUM($O$2:Table1[[#This Row],[pctAllTimeExp]])</f>
        <v>0.99969678348425706</v>
      </c>
      <c r="Q1783" t="b">
        <f>Table1[[#This Row],[cumPctAllTimeExp]]&lt;0.95</f>
        <v>0</v>
      </c>
    </row>
    <row r="1784" spans="1:17" x14ac:dyDescent="0.25">
      <c r="A1784">
        <v>2367</v>
      </c>
      <c r="C1784" t="s">
        <v>2508</v>
      </c>
      <c r="E1784" t="s">
        <v>2369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525</v>
      </c>
      <c r="N1784" s="4">
        <f>SUM(Table1[[#This Row],[2025]:[2018]])</f>
        <v>525</v>
      </c>
      <c r="O1784" s="2">
        <f>Table1[[#This Row],[ttl]]/SUM(Table1[ttl])</f>
        <v>1.0586252159153021E-6</v>
      </c>
      <c r="P1784" s="3">
        <f>SUM($O$2:Table1[[#This Row],[pctAllTimeExp]])</f>
        <v>0.99969784210947299</v>
      </c>
      <c r="Q1784" t="b">
        <f>Table1[[#This Row],[cumPctAllTimeExp]]&lt;0.95</f>
        <v>0</v>
      </c>
    </row>
    <row r="1785" spans="1:17" x14ac:dyDescent="0.25">
      <c r="A1785">
        <v>2368</v>
      </c>
      <c r="C1785" t="s">
        <v>2508</v>
      </c>
      <c r="E1785" t="s">
        <v>2370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523.97</v>
      </c>
      <c r="N1785" s="4">
        <f>SUM(Table1[[#This Row],[2025]:[2018]])</f>
        <v>523.97</v>
      </c>
      <c r="O1785" s="2">
        <f>Table1[[#This Row],[ttl]]/SUM(Table1[ttl])</f>
        <v>1.0565482940631254E-6</v>
      </c>
      <c r="P1785" s="3">
        <f>SUM($O$2:Table1[[#This Row],[pctAllTimeExp]])</f>
        <v>0.99969889865776707</v>
      </c>
      <c r="Q1785" t="b">
        <f>Table1[[#This Row],[cumPctAllTimeExp]]&lt;0.95</f>
        <v>0</v>
      </c>
    </row>
    <row r="1786" spans="1:17" x14ac:dyDescent="0.25">
      <c r="A1786">
        <v>1312</v>
      </c>
      <c r="C1786" t="s">
        <v>2508</v>
      </c>
      <c r="E1786" t="s">
        <v>1314</v>
      </c>
      <c r="F1786" s="4">
        <v>0</v>
      </c>
      <c r="G1786" s="4">
        <v>0</v>
      </c>
      <c r="H1786" s="4">
        <v>0</v>
      </c>
      <c r="I1786" s="4">
        <v>522.22</v>
      </c>
      <c r="J1786" s="4">
        <v>0</v>
      </c>
      <c r="K1786" s="4">
        <v>0</v>
      </c>
      <c r="L1786" s="4">
        <v>0</v>
      </c>
      <c r="M1786" s="4">
        <v>0</v>
      </c>
      <c r="N1786" s="4">
        <f>SUM(Table1[[#This Row],[2025]:[2018]])</f>
        <v>522.22</v>
      </c>
      <c r="O1786" s="2">
        <f>Table1[[#This Row],[ttl]]/SUM(Table1[ttl])</f>
        <v>1.0530195433434079E-6</v>
      </c>
      <c r="P1786" s="3">
        <f>SUM($O$2:Table1[[#This Row],[pctAllTimeExp]])</f>
        <v>0.99969995167731041</v>
      </c>
      <c r="Q1786" t="b">
        <f>Table1[[#This Row],[cumPctAllTimeExp]]&lt;0.95</f>
        <v>0</v>
      </c>
    </row>
    <row r="1787" spans="1:17" x14ac:dyDescent="0.25">
      <c r="A1787">
        <v>2369</v>
      </c>
      <c r="C1787" t="s">
        <v>2508</v>
      </c>
      <c r="E1787" t="s">
        <v>2371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522</v>
      </c>
      <c r="N1787" s="4">
        <f>SUM(Table1[[#This Row],[2025]:[2018]])</f>
        <v>522</v>
      </c>
      <c r="O1787" s="2">
        <f>Table1[[#This Row],[ttl]]/SUM(Table1[ttl])</f>
        <v>1.0525759289672147E-6</v>
      </c>
      <c r="P1787" s="3">
        <f>SUM($O$2:Table1[[#This Row],[pctAllTimeExp]])</f>
        <v>0.99970100425323938</v>
      </c>
      <c r="Q1787" t="b">
        <f>Table1[[#This Row],[cumPctAllTimeExp]]&lt;0.95</f>
        <v>0</v>
      </c>
    </row>
    <row r="1788" spans="1:17" x14ac:dyDescent="0.25">
      <c r="A1788">
        <v>943</v>
      </c>
      <c r="C1788" t="s">
        <v>2508</v>
      </c>
      <c r="E1788" t="s">
        <v>945</v>
      </c>
      <c r="F1788" s="4">
        <v>0</v>
      </c>
      <c r="G1788" s="4">
        <v>61.81</v>
      </c>
      <c r="H1788" s="4">
        <v>152.52000000000001</v>
      </c>
      <c r="I1788" s="4">
        <v>303.95</v>
      </c>
      <c r="J1788" s="4">
        <v>0</v>
      </c>
      <c r="K1788" s="4">
        <v>0</v>
      </c>
      <c r="L1788" s="4">
        <v>0</v>
      </c>
      <c r="M1788" s="4">
        <v>0</v>
      </c>
      <c r="N1788" s="4">
        <f>SUM(Table1[[#This Row],[2025]:[2018]])</f>
        <v>518.28</v>
      </c>
      <c r="O1788" s="2">
        <f>Table1[[#This Row],[ttl]]/SUM(Table1[ttl])</f>
        <v>1.0450748131515862E-6</v>
      </c>
      <c r="P1788" s="3">
        <f>SUM($O$2:Table1[[#This Row],[pctAllTimeExp]])</f>
        <v>0.99970204932805251</v>
      </c>
      <c r="Q1788" t="b">
        <f>Table1[[#This Row],[cumPctAllTimeExp]]&lt;0.95</f>
        <v>0</v>
      </c>
    </row>
    <row r="1789" spans="1:17" x14ac:dyDescent="0.25">
      <c r="A1789">
        <v>2160</v>
      </c>
      <c r="C1789" t="s">
        <v>2508</v>
      </c>
      <c r="E1789" t="s">
        <v>2162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258.33999999999997</v>
      </c>
      <c r="M1789" s="4">
        <v>258.52</v>
      </c>
      <c r="N1789" s="4">
        <f>SUM(Table1[[#This Row],[2025]:[2018]])</f>
        <v>516.8599999999999</v>
      </c>
      <c r="O1789" s="2">
        <f>Table1[[#This Row],[ttl]]/SUM(Table1[ttl])</f>
        <v>1.042211483996158E-6</v>
      </c>
      <c r="P1789" s="3">
        <f>SUM($O$2:Table1[[#This Row],[pctAllTimeExp]])</f>
        <v>0.99970309153953651</v>
      </c>
      <c r="Q1789" t="b">
        <f>Table1[[#This Row],[cumPctAllTimeExp]]&lt;0.95</f>
        <v>0</v>
      </c>
    </row>
    <row r="1790" spans="1:17" x14ac:dyDescent="0.25">
      <c r="A1790">
        <v>905</v>
      </c>
      <c r="C1790" t="s">
        <v>2508</v>
      </c>
      <c r="E1790" t="s">
        <v>907</v>
      </c>
      <c r="F1790" s="4">
        <v>0</v>
      </c>
      <c r="G1790" s="4">
        <v>286</v>
      </c>
      <c r="H1790" s="4">
        <v>184</v>
      </c>
      <c r="I1790" s="4">
        <v>0</v>
      </c>
      <c r="J1790" s="4">
        <v>0</v>
      </c>
      <c r="K1790" s="4">
        <v>0</v>
      </c>
      <c r="L1790" s="4">
        <v>0</v>
      </c>
      <c r="M1790" s="4">
        <v>42.25</v>
      </c>
      <c r="N1790" s="4">
        <f>SUM(Table1[[#This Row],[2025]:[2018]])</f>
        <v>512.25</v>
      </c>
      <c r="O1790" s="2">
        <f>Table1[[#This Row],[ttl]]/SUM(Table1[ttl])</f>
        <v>1.0329157463859305E-6</v>
      </c>
      <c r="P1790" s="3">
        <f>SUM($O$2:Table1[[#This Row],[pctAllTimeExp]])</f>
        <v>0.99970412445528289</v>
      </c>
      <c r="Q1790" t="b">
        <f>Table1[[#This Row],[cumPctAllTimeExp]]&lt;0.95</f>
        <v>0</v>
      </c>
    </row>
    <row r="1791" spans="1:17" x14ac:dyDescent="0.25">
      <c r="A1791">
        <v>2370</v>
      </c>
      <c r="C1791" t="s">
        <v>2508</v>
      </c>
      <c r="E1791" t="s">
        <v>2372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507.4</v>
      </c>
      <c r="N1791" s="4">
        <f>SUM(Table1[[#This Row],[2025]:[2018]])</f>
        <v>507.4</v>
      </c>
      <c r="O1791" s="2">
        <f>Table1[[#This Row],[ttl]]/SUM(Table1[ttl])</f>
        <v>1.0231360658198557E-6</v>
      </c>
      <c r="P1791" s="3">
        <f>SUM($O$2:Table1[[#This Row],[pctAllTimeExp]])</f>
        <v>0.99970514759134876</v>
      </c>
      <c r="Q1791" t="b">
        <f>Table1[[#This Row],[cumPctAllTimeExp]]&lt;0.95</f>
        <v>0</v>
      </c>
    </row>
    <row r="1792" spans="1:17" x14ac:dyDescent="0.25">
      <c r="A1792">
        <v>550</v>
      </c>
      <c r="C1792" t="s">
        <v>2508</v>
      </c>
      <c r="E1792" t="s">
        <v>552</v>
      </c>
      <c r="F1792" s="4">
        <v>507.15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f>SUM(Table1[[#This Row],[2025]:[2018]])</f>
        <v>507.15</v>
      </c>
      <c r="O1792" s="2">
        <f>Table1[[#This Row],[ttl]]/SUM(Table1[ttl])</f>
        <v>1.0226319585741817E-6</v>
      </c>
      <c r="P1792" s="3">
        <f>SUM($O$2:Table1[[#This Row],[pctAllTimeExp]])</f>
        <v>0.99970617022330732</v>
      </c>
      <c r="Q1792" t="b">
        <f>Table1[[#This Row],[cumPctAllTimeExp]]&lt;0.95</f>
        <v>0</v>
      </c>
    </row>
    <row r="1793" spans="1:17" x14ac:dyDescent="0.25">
      <c r="A1793">
        <v>2149</v>
      </c>
      <c r="C1793" t="s">
        <v>2508</v>
      </c>
      <c r="E1793" t="s">
        <v>2151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303</v>
      </c>
      <c r="M1793" s="4">
        <v>204</v>
      </c>
      <c r="N1793" s="4">
        <f>SUM(Table1[[#This Row],[2025]:[2018]])</f>
        <v>507</v>
      </c>
      <c r="O1793" s="2">
        <f>Table1[[#This Row],[ttl]]/SUM(Table1[ttl])</f>
        <v>1.0223294942267774E-6</v>
      </c>
      <c r="P1793" s="3">
        <f>SUM($O$2:Table1[[#This Row],[pctAllTimeExp]])</f>
        <v>0.99970719255280149</v>
      </c>
      <c r="Q1793" t="b">
        <f>Table1[[#This Row],[cumPctAllTimeExp]]&lt;0.95</f>
        <v>0</v>
      </c>
    </row>
    <row r="1794" spans="1:17" x14ac:dyDescent="0.25">
      <c r="A1794">
        <v>556</v>
      </c>
      <c r="C1794" t="s">
        <v>2508</v>
      </c>
      <c r="E1794" t="s">
        <v>558</v>
      </c>
      <c r="F1794" s="4">
        <v>500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f>SUM(Table1[[#This Row],[2025]:[2018]])</f>
        <v>500</v>
      </c>
      <c r="O1794" s="2">
        <f>Table1[[#This Row],[ttl]]/SUM(Table1[ttl])</f>
        <v>1.0082144913479068E-6</v>
      </c>
      <c r="P1794" s="3">
        <f>SUM($O$2:Table1[[#This Row],[pctAllTimeExp]])</f>
        <v>0.99970820076729283</v>
      </c>
      <c r="Q1794" t="b">
        <f>Table1[[#This Row],[cumPctAllTimeExp]]&lt;0.95</f>
        <v>0</v>
      </c>
    </row>
    <row r="1795" spans="1:17" x14ac:dyDescent="0.25">
      <c r="A1795">
        <v>557</v>
      </c>
      <c r="C1795" t="s">
        <v>2508</v>
      </c>
      <c r="E1795" t="s">
        <v>559</v>
      </c>
      <c r="F1795" s="4">
        <v>500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f>SUM(Table1[[#This Row],[2025]:[2018]])</f>
        <v>500</v>
      </c>
      <c r="O1795" s="2">
        <f>Table1[[#This Row],[ttl]]/SUM(Table1[ttl])</f>
        <v>1.0082144913479068E-6</v>
      </c>
      <c r="P1795" s="3">
        <f>SUM($O$2:Table1[[#This Row],[pctAllTimeExp]])</f>
        <v>0.99970920898178417</v>
      </c>
      <c r="Q1795" t="b">
        <f>Table1[[#This Row],[cumPctAllTimeExp]]&lt;0.95</f>
        <v>0</v>
      </c>
    </row>
    <row r="1796" spans="1:17" x14ac:dyDescent="0.25">
      <c r="A1796">
        <v>649</v>
      </c>
      <c r="C1796" t="s">
        <v>2508</v>
      </c>
      <c r="E1796" t="s">
        <v>651</v>
      </c>
      <c r="F1796" s="4">
        <v>150</v>
      </c>
      <c r="G1796" s="4">
        <v>75</v>
      </c>
      <c r="H1796" s="4">
        <v>0</v>
      </c>
      <c r="I1796" s="4">
        <v>225</v>
      </c>
      <c r="J1796" s="4">
        <v>0</v>
      </c>
      <c r="K1796" s="4">
        <v>0</v>
      </c>
      <c r="L1796" s="4">
        <v>0</v>
      </c>
      <c r="M1796" s="4">
        <v>50</v>
      </c>
      <c r="N1796" s="4">
        <f>SUM(Table1[[#This Row],[2025]:[2018]])</f>
        <v>500</v>
      </c>
      <c r="O1796" s="2">
        <f>Table1[[#This Row],[ttl]]/SUM(Table1[ttl])</f>
        <v>1.0082144913479068E-6</v>
      </c>
      <c r="P1796" s="3">
        <f>SUM($O$2:Table1[[#This Row],[pctAllTimeExp]])</f>
        <v>0.99971021719627551</v>
      </c>
      <c r="Q1796" t="b">
        <f>Table1[[#This Row],[cumPctAllTimeExp]]&lt;0.95</f>
        <v>0</v>
      </c>
    </row>
    <row r="1797" spans="1:17" x14ac:dyDescent="0.25">
      <c r="A1797">
        <v>1121</v>
      </c>
      <c r="C1797" t="s">
        <v>2508</v>
      </c>
      <c r="E1797" t="s">
        <v>1123</v>
      </c>
      <c r="F1797" s="4">
        <v>0</v>
      </c>
      <c r="G1797" s="4">
        <v>0</v>
      </c>
      <c r="H1797" s="4">
        <v>500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f>SUM(Table1[[#This Row],[2025]:[2018]])</f>
        <v>500</v>
      </c>
      <c r="O1797" s="2">
        <f>Table1[[#This Row],[ttl]]/SUM(Table1[ttl])</f>
        <v>1.0082144913479068E-6</v>
      </c>
      <c r="P1797" s="3">
        <f>SUM($O$2:Table1[[#This Row],[pctAllTimeExp]])</f>
        <v>0.99971122541076685</v>
      </c>
      <c r="Q1797" t="b">
        <f>Table1[[#This Row],[cumPctAllTimeExp]]&lt;0.95</f>
        <v>0</v>
      </c>
    </row>
    <row r="1798" spans="1:17" x14ac:dyDescent="0.25">
      <c r="A1798">
        <v>1159</v>
      </c>
      <c r="C1798" t="s">
        <v>2508</v>
      </c>
      <c r="E1798" t="s">
        <v>1161</v>
      </c>
      <c r="F1798" s="4">
        <v>0</v>
      </c>
      <c r="G1798" s="4">
        <v>0</v>
      </c>
      <c r="H1798" s="4">
        <v>200</v>
      </c>
      <c r="I1798" s="4">
        <v>0</v>
      </c>
      <c r="J1798" s="4">
        <v>0</v>
      </c>
      <c r="K1798" s="4">
        <v>0</v>
      </c>
      <c r="L1798" s="4">
        <v>300</v>
      </c>
      <c r="M1798" s="4">
        <v>0</v>
      </c>
      <c r="N1798" s="4">
        <f>SUM(Table1[[#This Row],[2025]:[2018]])</f>
        <v>500</v>
      </c>
      <c r="O1798" s="2">
        <f>Table1[[#This Row],[ttl]]/SUM(Table1[ttl])</f>
        <v>1.0082144913479068E-6</v>
      </c>
      <c r="P1798" s="3">
        <f>SUM($O$2:Table1[[#This Row],[pctAllTimeExp]])</f>
        <v>0.99971223362525818</v>
      </c>
      <c r="Q1798" t="b">
        <f>Table1[[#This Row],[cumPctAllTimeExp]]&lt;0.95</f>
        <v>0</v>
      </c>
    </row>
    <row r="1799" spans="1:17" x14ac:dyDescent="0.25">
      <c r="A1799">
        <v>1313</v>
      </c>
      <c r="C1799" t="s">
        <v>2508</v>
      </c>
      <c r="E1799" t="s">
        <v>1315</v>
      </c>
      <c r="F1799" s="4">
        <v>0</v>
      </c>
      <c r="G1799" s="4">
        <v>0</v>
      </c>
      <c r="H1799" s="4">
        <v>0</v>
      </c>
      <c r="I1799" s="4">
        <v>500</v>
      </c>
      <c r="J1799" s="4">
        <v>0</v>
      </c>
      <c r="K1799" s="4">
        <v>0</v>
      </c>
      <c r="L1799" s="4">
        <v>0</v>
      </c>
      <c r="M1799" s="4">
        <v>0</v>
      </c>
      <c r="N1799" s="4">
        <f>SUM(Table1[[#This Row],[2025]:[2018]])</f>
        <v>500</v>
      </c>
      <c r="O1799" s="2">
        <f>Table1[[#This Row],[ttl]]/SUM(Table1[ttl])</f>
        <v>1.0082144913479068E-6</v>
      </c>
      <c r="P1799" s="3">
        <f>SUM($O$2:Table1[[#This Row],[pctAllTimeExp]])</f>
        <v>0.99971324183974952</v>
      </c>
      <c r="Q1799" t="b">
        <f>Table1[[#This Row],[cumPctAllTimeExp]]&lt;0.95</f>
        <v>0</v>
      </c>
    </row>
    <row r="1800" spans="1:17" x14ac:dyDescent="0.25">
      <c r="A1800">
        <v>1314</v>
      </c>
      <c r="C1800" t="s">
        <v>2508</v>
      </c>
      <c r="E1800" t="s">
        <v>1316</v>
      </c>
      <c r="F1800" s="4">
        <v>0</v>
      </c>
      <c r="G1800" s="4">
        <v>0</v>
      </c>
      <c r="H1800" s="4">
        <v>0</v>
      </c>
      <c r="I1800" s="4">
        <v>500</v>
      </c>
      <c r="J1800" s="4">
        <v>0</v>
      </c>
      <c r="K1800" s="4">
        <v>0</v>
      </c>
      <c r="L1800" s="4">
        <v>0</v>
      </c>
      <c r="M1800" s="4">
        <v>0</v>
      </c>
      <c r="N1800" s="4">
        <f>SUM(Table1[[#This Row],[2025]:[2018]])</f>
        <v>500</v>
      </c>
      <c r="O1800" s="2">
        <f>Table1[[#This Row],[ttl]]/SUM(Table1[ttl])</f>
        <v>1.0082144913479068E-6</v>
      </c>
      <c r="P1800" s="3">
        <f>SUM($O$2:Table1[[#This Row],[pctAllTimeExp]])</f>
        <v>0.99971425005424086</v>
      </c>
      <c r="Q1800" t="b">
        <f>Table1[[#This Row],[cumPctAllTimeExp]]&lt;0.95</f>
        <v>0</v>
      </c>
    </row>
    <row r="1801" spans="1:17" x14ac:dyDescent="0.25">
      <c r="A1801">
        <v>1315</v>
      </c>
      <c r="C1801" t="s">
        <v>2508</v>
      </c>
      <c r="E1801" t="s">
        <v>1317</v>
      </c>
      <c r="F1801" s="4">
        <v>0</v>
      </c>
      <c r="G1801" s="4">
        <v>0</v>
      </c>
      <c r="H1801" s="4">
        <v>0</v>
      </c>
      <c r="I1801" s="4">
        <v>500</v>
      </c>
      <c r="J1801" s="4">
        <v>0</v>
      </c>
      <c r="K1801" s="4">
        <v>0</v>
      </c>
      <c r="L1801" s="4">
        <v>0</v>
      </c>
      <c r="M1801" s="4">
        <v>0</v>
      </c>
      <c r="N1801" s="4">
        <f>SUM(Table1[[#This Row],[2025]:[2018]])</f>
        <v>500</v>
      </c>
      <c r="O1801" s="2">
        <f>Table1[[#This Row],[ttl]]/SUM(Table1[ttl])</f>
        <v>1.0082144913479068E-6</v>
      </c>
      <c r="P1801" s="3">
        <f>SUM($O$2:Table1[[#This Row],[pctAllTimeExp]])</f>
        <v>0.9997152582687322</v>
      </c>
      <c r="Q1801" t="b">
        <f>Table1[[#This Row],[cumPctAllTimeExp]]&lt;0.95</f>
        <v>0</v>
      </c>
    </row>
    <row r="1802" spans="1:17" x14ac:dyDescent="0.25">
      <c r="A1802">
        <v>1355</v>
      </c>
      <c r="C1802" t="s">
        <v>2508</v>
      </c>
      <c r="E1802" t="s">
        <v>1357</v>
      </c>
      <c r="F1802" s="4">
        <v>0</v>
      </c>
      <c r="G1802" s="4">
        <v>0</v>
      </c>
      <c r="H1802" s="4">
        <v>0</v>
      </c>
      <c r="I1802" s="4">
        <v>200</v>
      </c>
      <c r="J1802" s="4">
        <v>300</v>
      </c>
      <c r="K1802" s="4">
        <v>0</v>
      </c>
      <c r="L1802" s="4">
        <v>0</v>
      </c>
      <c r="M1802" s="4">
        <v>0</v>
      </c>
      <c r="N1802" s="4">
        <f>SUM(Table1[[#This Row],[2025]:[2018]])</f>
        <v>500</v>
      </c>
      <c r="O1802" s="2">
        <f>Table1[[#This Row],[ttl]]/SUM(Table1[ttl])</f>
        <v>1.0082144913479068E-6</v>
      </c>
      <c r="P1802" s="3">
        <f>SUM($O$2:Table1[[#This Row],[pctAllTimeExp]])</f>
        <v>0.99971626648322354</v>
      </c>
      <c r="Q1802" t="b">
        <f>Table1[[#This Row],[cumPctAllTimeExp]]&lt;0.95</f>
        <v>0</v>
      </c>
    </row>
    <row r="1803" spans="1:17" x14ac:dyDescent="0.25">
      <c r="A1803">
        <v>1518</v>
      </c>
      <c r="C1803" t="s">
        <v>2508</v>
      </c>
      <c r="E1803" t="s">
        <v>1520</v>
      </c>
      <c r="F1803" s="4">
        <v>0</v>
      </c>
      <c r="G1803" s="4">
        <v>0</v>
      </c>
      <c r="H1803" s="4">
        <v>0</v>
      </c>
      <c r="I1803" s="4">
        <v>0</v>
      </c>
      <c r="J1803" s="4">
        <v>500</v>
      </c>
      <c r="K1803" s="4">
        <v>0</v>
      </c>
      <c r="L1803" s="4">
        <v>0</v>
      </c>
      <c r="M1803" s="4">
        <v>0</v>
      </c>
      <c r="N1803" s="4">
        <f>SUM(Table1[[#This Row],[2025]:[2018]])</f>
        <v>500</v>
      </c>
      <c r="O1803" s="2">
        <f>Table1[[#This Row],[ttl]]/SUM(Table1[ttl])</f>
        <v>1.0082144913479068E-6</v>
      </c>
      <c r="P1803" s="3">
        <f>SUM($O$2:Table1[[#This Row],[pctAllTimeExp]])</f>
        <v>0.99971727469771487</v>
      </c>
      <c r="Q1803" t="b">
        <f>Table1[[#This Row],[cumPctAllTimeExp]]&lt;0.95</f>
        <v>0</v>
      </c>
    </row>
    <row r="1804" spans="1:17" x14ac:dyDescent="0.25">
      <c r="A1804">
        <v>1519</v>
      </c>
      <c r="C1804" t="s">
        <v>2508</v>
      </c>
      <c r="E1804" t="s">
        <v>1521</v>
      </c>
      <c r="F1804" s="4">
        <v>0</v>
      </c>
      <c r="G1804" s="4">
        <v>0</v>
      </c>
      <c r="H1804" s="4">
        <v>0</v>
      </c>
      <c r="I1804" s="4">
        <v>0</v>
      </c>
      <c r="J1804" s="4">
        <v>500</v>
      </c>
      <c r="K1804" s="4">
        <v>0</v>
      </c>
      <c r="L1804" s="4">
        <v>0</v>
      </c>
      <c r="M1804" s="4">
        <v>0</v>
      </c>
      <c r="N1804" s="4">
        <f>SUM(Table1[[#This Row],[2025]:[2018]])</f>
        <v>500</v>
      </c>
      <c r="O1804" s="2">
        <f>Table1[[#This Row],[ttl]]/SUM(Table1[ttl])</f>
        <v>1.0082144913479068E-6</v>
      </c>
      <c r="P1804" s="3">
        <f>SUM($O$2:Table1[[#This Row],[pctAllTimeExp]])</f>
        <v>0.99971828291220621</v>
      </c>
      <c r="Q1804" t="b">
        <f>Table1[[#This Row],[cumPctAllTimeExp]]&lt;0.95</f>
        <v>0</v>
      </c>
    </row>
    <row r="1805" spans="1:17" x14ac:dyDescent="0.25">
      <c r="A1805">
        <v>1554</v>
      </c>
      <c r="C1805" t="s">
        <v>2508</v>
      </c>
      <c r="E1805" t="s">
        <v>1556</v>
      </c>
      <c r="F1805" s="4">
        <v>0</v>
      </c>
      <c r="G1805" s="4">
        <v>0</v>
      </c>
      <c r="H1805" s="4">
        <v>0</v>
      </c>
      <c r="I1805" s="4">
        <v>0</v>
      </c>
      <c r="J1805" s="4">
        <v>250</v>
      </c>
      <c r="K1805" s="4">
        <v>250</v>
      </c>
      <c r="L1805" s="4">
        <v>0</v>
      </c>
      <c r="M1805" s="4">
        <v>0</v>
      </c>
      <c r="N1805" s="4">
        <f>SUM(Table1[[#This Row],[2025]:[2018]])</f>
        <v>500</v>
      </c>
      <c r="O1805" s="2">
        <f>Table1[[#This Row],[ttl]]/SUM(Table1[ttl])</f>
        <v>1.0082144913479068E-6</v>
      </c>
      <c r="P1805" s="3">
        <f>SUM($O$2:Table1[[#This Row],[pctAllTimeExp]])</f>
        <v>0.99971929112669755</v>
      </c>
      <c r="Q1805" t="b">
        <f>Table1[[#This Row],[cumPctAllTimeExp]]&lt;0.95</f>
        <v>0</v>
      </c>
    </row>
    <row r="1806" spans="1:17" x14ac:dyDescent="0.25">
      <c r="A1806">
        <v>1804</v>
      </c>
      <c r="C1806" t="s">
        <v>2508</v>
      </c>
      <c r="E1806" t="s">
        <v>1806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500</v>
      </c>
      <c r="L1806" s="4">
        <v>0</v>
      </c>
      <c r="M1806" s="4">
        <v>0</v>
      </c>
      <c r="N1806" s="4">
        <f>SUM(Table1[[#This Row],[2025]:[2018]])</f>
        <v>500</v>
      </c>
      <c r="O1806" s="2">
        <f>Table1[[#This Row],[ttl]]/SUM(Table1[ttl])</f>
        <v>1.0082144913479068E-6</v>
      </c>
      <c r="P1806" s="3">
        <f>SUM($O$2:Table1[[#This Row],[pctAllTimeExp]])</f>
        <v>0.99972029934118889</v>
      </c>
      <c r="Q1806" t="b">
        <f>Table1[[#This Row],[cumPctAllTimeExp]]&lt;0.95</f>
        <v>0</v>
      </c>
    </row>
    <row r="1807" spans="1:17" x14ac:dyDescent="0.25">
      <c r="A1807">
        <v>1805</v>
      </c>
      <c r="C1807" t="s">
        <v>2508</v>
      </c>
      <c r="E1807" t="s">
        <v>1807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500</v>
      </c>
      <c r="L1807" s="4">
        <v>0</v>
      </c>
      <c r="M1807" s="4">
        <v>0</v>
      </c>
      <c r="N1807" s="4">
        <f>SUM(Table1[[#This Row],[2025]:[2018]])</f>
        <v>500</v>
      </c>
      <c r="O1807" s="2">
        <f>Table1[[#This Row],[ttl]]/SUM(Table1[ttl])</f>
        <v>1.0082144913479068E-6</v>
      </c>
      <c r="P1807" s="3">
        <f>SUM($O$2:Table1[[#This Row],[pctAllTimeExp]])</f>
        <v>0.99972130755568023</v>
      </c>
      <c r="Q1807" t="b">
        <f>Table1[[#This Row],[cumPctAllTimeExp]]&lt;0.95</f>
        <v>0</v>
      </c>
    </row>
    <row r="1808" spans="1:17" x14ac:dyDescent="0.25">
      <c r="A1808">
        <v>1806</v>
      </c>
      <c r="C1808" t="s">
        <v>2508</v>
      </c>
      <c r="E1808" t="s">
        <v>1808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500</v>
      </c>
      <c r="L1808" s="4">
        <v>0</v>
      </c>
      <c r="M1808" s="4">
        <v>0</v>
      </c>
      <c r="N1808" s="4">
        <f>SUM(Table1[[#This Row],[2025]:[2018]])</f>
        <v>500</v>
      </c>
      <c r="O1808" s="2">
        <f>Table1[[#This Row],[ttl]]/SUM(Table1[ttl])</f>
        <v>1.0082144913479068E-6</v>
      </c>
      <c r="P1808" s="3">
        <f>SUM($O$2:Table1[[#This Row],[pctAllTimeExp]])</f>
        <v>0.99972231577017157</v>
      </c>
      <c r="Q1808" t="b">
        <f>Table1[[#This Row],[cumPctAllTimeExp]]&lt;0.95</f>
        <v>0</v>
      </c>
    </row>
    <row r="1809" spans="1:17" x14ac:dyDescent="0.25">
      <c r="A1809">
        <v>2121</v>
      </c>
      <c r="C1809" t="s">
        <v>2508</v>
      </c>
      <c r="E1809" t="s">
        <v>2123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500</v>
      </c>
      <c r="M1809" s="4">
        <v>0</v>
      </c>
      <c r="N1809" s="4">
        <f>SUM(Table1[[#This Row],[2025]:[2018]])</f>
        <v>500</v>
      </c>
      <c r="O1809" s="2">
        <f>Table1[[#This Row],[ttl]]/SUM(Table1[ttl])</f>
        <v>1.0082144913479068E-6</v>
      </c>
      <c r="P1809" s="3">
        <f>SUM($O$2:Table1[[#This Row],[pctAllTimeExp]])</f>
        <v>0.9997233239846629</v>
      </c>
      <c r="Q1809" t="b">
        <f>Table1[[#This Row],[cumPctAllTimeExp]]&lt;0.95</f>
        <v>0</v>
      </c>
    </row>
    <row r="1810" spans="1:17" x14ac:dyDescent="0.25">
      <c r="A1810">
        <v>2122</v>
      </c>
      <c r="C1810" t="s">
        <v>2508</v>
      </c>
      <c r="E1810" t="s">
        <v>2124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500</v>
      </c>
      <c r="M1810" s="4">
        <v>0</v>
      </c>
      <c r="N1810" s="4">
        <f>SUM(Table1[[#This Row],[2025]:[2018]])</f>
        <v>500</v>
      </c>
      <c r="O1810" s="2">
        <f>Table1[[#This Row],[ttl]]/SUM(Table1[ttl])</f>
        <v>1.0082144913479068E-6</v>
      </c>
      <c r="P1810" s="3">
        <f>SUM($O$2:Table1[[#This Row],[pctAllTimeExp]])</f>
        <v>0.99972433219915424</v>
      </c>
      <c r="Q1810" t="b">
        <f>Table1[[#This Row],[cumPctAllTimeExp]]&lt;0.95</f>
        <v>0</v>
      </c>
    </row>
    <row r="1811" spans="1:17" x14ac:dyDescent="0.25">
      <c r="A1811">
        <v>2145</v>
      </c>
      <c r="C1811" t="s">
        <v>2508</v>
      </c>
      <c r="E1811" t="s">
        <v>2147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350</v>
      </c>
      <c r="M1811" s="4">
        <v>150</v>
      </c>
      <c r="N1811" s="4">
        <f>SUM(Table1[[#This Row],[2025]:[2018]])</f>
        <v>500</v>
      </c>
      <c r="O1811" s="2">
        <f>Table1[[#This Row],[ttl]]/SUM(Table1[ttl])</f>
        <v>1.0082144913479068E-6</v>
      </c>
      <c r="P1811" s="3">
        <f>SUM($O$2:Table1[[#This Row],[pctAllTimeExp]])</f>
        <v>0.99972534041364558</v>
      </c>
      <c r="Q1811" t="b">
        <f>Table1[[#This Row],[cumPctAllTimeExp]]&lt;0.95</f>
        <v>0</v>
      </c>
    </row>
    <row r="1812" spans="1:17" x14ac:dyDescent="0.25">
      <c r="A1812">
        <v>2371</v>
      </c>
      <c r="C1812" t="s">
        <v>2508</v>
      </c>
      <c r="E1812" t="s">
        <v>2373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500</v>
      </c>
      <c r="N1812" s="4">
        <f>SUM(Table1[[#This Row],[2025]:[2018]])</f>
        <v>500</v>
      </c>
      <c r="O1812" s="2">
        <f>Table1[[#This Row],[ttl]]/SUM(Table1[ttl])</f>
        <v>1.0082144913479068E-6</v>
      </c>
      <c r="P1812" s="3">
        <f>SUM($O$2:Table1[[#This Row],[pctAllTimeExp]])</f>
        <v>0.99972634862813692</v>
      </c>
      <c r="Q1812" t="b">
        <f>Table1[[#This Row],[cumPctAllTimeExp]]&lt;0.95</f>
        <v>0</v>
      </c>
    </row>
    <row r="1813" spans="1:17" x14ac:dyDescent="0.25">
      <c r="A1813">
        <v>2372</v>
      </c>
      <c r="C1813" t="s">
        <v>2508</v>
      </c>
      <c r="E1813" t="s">
        <v>2374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500</v>
      </c>
      <c r="N1813" s="4">
        <f>SUM(Table1[[#This Row],[2025]:[2018]])</f>
        <v>500</v>
      </c>
      <c r="O1813" s="2">
        <f>Table1[[#This Row],[ttl]]/SUM(Table1[ttl])</f>
        <v>1.0082144913479068E-6</v>
      </c>
      <c r="P1813" s="3">
        <f>SUM($O$2:Table1[[#This Row],[pctAllTimeExp]])</f>
        <v>0.99972735684262826</v>
      </c>
      <c r="Q1813" t="b">
        <f>Table1[[#This Row],[cumPctAllTimeExp]]&lt;0.95</f>
        <v>0</v>
      </c>
    </row>
    <row r="1814" spans="1:17" x14ac:dyDescent="0.25">
      <c r="A1814">
        <v>2373</v>
      </c>
      <c r="C1814" t="s">
        <v>2508</v>
      </c>
      <c r="E1814" t="s">
        <v>2375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500</v>
      </c>
      <c r="N1814" s="4">
        <f>SUM(Table1[[#This Row],[2025]:[2018]])</f>
        <v>500</v>
      </c>
      <c r="O1814" s="2">
        <f>Table1[[#This Row],[ttl]]/SUM(Table1[ttl])</f>
        <v>1.0082144913479068E-6</v>
      </c>
      <c r="P1814" s="3">
        <f>SUM($O$2:Table1[[#This Row],[pctAllTimeExp]])</f>
        <v>0.99972836505711959</v>
      </c>
      <c r="Q1814" t="b">
        <f>Table1[[#This Row],[cumPctAllTimeExp]]&lt;0.95</f>
        <v>0</v>
      </c>
    </row>
    <row r="1815" spans="1:17" x14ac:dyDescent="0.25">
      <c r="A1815">
        <v>2374</v>
      </c>
      <c r="C1815" t="s">
        <v>2508</v>
      </c>
      <c r="E1815" t="s">
        <v>2376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500</v>
      </c>
      <c r="N1815" s="4">
        <f>SUM(Table1[[#This Row],[2025]:[2018]])</f>
        <v>500</v>
      </c>
      <c r="O1815" s="2">
        <f>Table1[[#This Row],[ttl]]/SUM(Table1[ttl])</f>
        <v>1.0082144913479068E-6</v>
      </c>
      <c r="P1815" s="3">
        <f>SUM($O$2:Table1[[#This Row],[pctAllTimeExp]])</f>
        <v>0.99972937327161093</v>
      </c>
      <c r="Q1815" t="b">
        <f>Table1[[#This Row],[cumPctAllTimeExp]]&lt;0.95</f>
        <v>0</v>
      </c>
    </row>
    <row r="1816" spans="1:17" x14ac:dyDescent="0.25">
      <c r="A1816">
        <v>2375</v>
      </c>
      <c r="C1816" t="s">
        <v>2508</v>
      </c>
      <c r="E1816" t="s">
        <v>2377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500</v>
      </c>
      <c r="N1816" s="4">
        <f>SUM(Table1[[#This Row],[2025]:[2018]])</f>
        <v>500</v>
      </c>
      <c r="O1816" s="2">
        <f>Table1[[#This Row],[ttl]]/SUM(Table1[ttl])</f>
        <v>1.0082144913479068E-6</v>
      </c>
      <c r="P1816" s="3">
        <f>SUM($O$2:Table1[[#This Row],[pctAllTimeExp]])</f>
        <v>0.99973038148610227</v>
      </c>
      <c r="Q1816" t="b">
        <f>Table1[[#This Row],[cumPctAllTimeExp]]&lt;0.95</f>
        <v>0</v>
      </c>
    </row>
    <row r="1817" spans="1:17" x14ac:dyDescent="0.25">
      <c r="A1817">
        <v>2376</v>
      </c>
      <c r="C1817" t="s">
        <v>2508</v>
      </c>
      <c r="E1817" t="s">
        <v>2378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500</v>
      </c>
      <c r="N1817" s="4">
        <f>SUM(Table1[[#This Row],[2025]:[2018]])</f>
        <v>500</v>
      </c>
      <c r="O1817" s="2">
        <f>Table1[[#This Row],[ttl]]/SUM(Table1[ttl])</f>
        <v>1.0082144913479068E-6</v>
      </c>
      <c r="P1817" s="3">
        <f>SUM($O$2:Table1[[#This Row],[pctAllTimeExp]])</f>
        <v>0.99973138970059361</v>
      </c>
      <c r="Q1817" t="b">
        <f>Table1[[#This Row],[cumPctAllTimeExp]]&lt;0.95</f>
        <v>0</v>
      </c>
    </row>
    <row r="1818" spans="1:17" x14ac:dyDescent="0.25">
      <c r="A1818">
        <v>2377</v>
      </c>
      <c r="C1818" t="s">
        <v>2508</v>
      </c>
      <c r="E1818" t="s">
        <v>2379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500</v>
      </c>
      <c r="N1818" s="4">
        <f>SUM(Table1[[#This Row],[2025]:[2018]])</f>
        <v>500</v>
      </c>
      <c r="O1818" s="2">
        <f>Table1[[#This Row],[ttl]]/SUM(Table1[ttl])</f>
        <v>1.0082144913479068E-6</v>
      </c>
      <c r="P1818" s="3">
        <f>SUM($O$2:Table1[[#This Row],[pctAllTimeExp]])</f>
        <v>0.99973239791508495</v>
      </c>
      <c r="Q1818" t="b">
        <f>Table1[[#This Row],[cumPctAllTimeExp]]&lt;0.95</f>
        <v>0</v>
      </c>
    </row>
    <row r="1819" spans="1:17" x14ac:dyDescent="0.25">
      <c r="A1819">
        <v>1807</v>
      </c>
      <c r="C1819" t="s">
        <v>2508</v>
      </c>
      <c r="E1819" t="s">
        <v>1809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496</v>
      </c>
      <c r="L1819" s="4">
        <v>0</v>
      </c>
      <c r="M1819" s="4">
        <v>0</v>
      </c>
      <c r="N1819" s="4">
        <f>SUM(Table1[[#This Row],[2025]:[2018]])</f>
        <v>496</v>
      </c>
      <c r="O1819" s="2">
        <f>Table1[[#This Row],[ttl]]/SUM(Table1[ttl])</f>
        <v>1.0001487754171235E-6</v>
      </c>
      <c r="P1819" s="3">
        <f>SUM($O$2:Table1[[#This Row],[pctAllTimeExp]])</f>
        <v>0.99973339806386041</v>
      </c>
      <c r="Q1819" t="b">
        <f>Table1[[#This Row],[cumPctAllTimeExp]]&lt;0.95</f>
        <v>0</v>
      </c>
    </row>
    <row r="1820" spans="1:17" x14ac:dyDescent="0.25">
      <c r="A1820">
        <v>1808</v>
      </c>
      <c r="C1820" t="s">
        <v>2508</v>
      </c>
      <c r="E1820" t="s">
        <v>1810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495</v>
      </c>
      <c r="L1820" s="4">
        <v>0</v>
      </c>
      <c r="M1820" s="4">
        <v>0</v>
      </c>
      <c r="N1820" s="4">
        <f>SUM(Table1[[#This Row],[2025]:[2018]])</f>
        <v>495</v>
      </c>
      <c r="O1820" s="2">
        <f>Table1[[#This Row],[ttl]]/SUM(Table1[ttl])</f>
        <v>9.9813234643442757E-7</v>
      </c>
      <c r="P1820" s="3">
        <f>SUM($O$2:Table1[[#This Row],[pctAllTimeExp]])</f>
        <v>0.99973439619620685</v>
      </c>
      <c r="Q1820" t="b">
        <f>Table1[[#This Row],[cumPctAllTimeExp]]&lt;0.95</f>
        <v>0</v>
      </c>
    </row>
    <row r="1821" spans="1:17" x14ac:dyDescent="0.25">
      <c r="A1821">
        <v>2123</v>
      </c>
      <c r="C1821" t="s">
        <v>2508</v>
      </c>
      <c r="E1821" t="s">
        <v>2125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495</v>
      </c>
      <c r="M1821" s="4">
        <v>0</v>
      </c>
      <c r="N1821" s="4">
        <f>SUM(Table1[[#This Row],[2025]:[2018]])</f>
        <v>495</v>
      </c>
      <c r="O1821" s="2">
        <f>Table1[[#This Row],[ttl]]/SUM(Table1[ttl])</f>
        <v>9.9813234643442757E-7</v>
      </c>
      <c r="P1821" s="3">
        <f>SUM($O$2:Table1[[#This Row],[pctAllTimeExp]])</f>
        <v>0.9997353943285533</v>
      </c>
      <c r="Q1821" t="b">
        <f>Table1[[#This Row],[cumPctAllTimeExp]]&lt;0.95</f>
        <v>0</v>
      </c>
    </row>
    <row r="1822" spans="1:17" x14ac:dyDescent="0.25">
      <c r="A1822">
        <v>2378</v>
      </c>
      <c r="C1822" t="s">
        <v>2508</v>
      </c>
      <c r="E1822" t="s">
        <v>2380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495</v>
      </c>
      <c r="N1822" s="4">
        <f>SUM(Table1[[#This Row],[2025]:[2018]])</f>
        <v>495</v>
      </c>
      <c r="O1822" s="2">
        <f>Table1[[#This Row],[ttl]]/SUM(Table1[ttl])</f>
        <v>9.9813234643442757E-7</v>
      </c>
      <c r="P1822" s="3">
        <f>SUM($O$2:Table1[[#This Row],[pctAllTimeExp]])</f>
        <v>0.99973639246089974</v>
      </c>
      <c r="Q1822" t="b">
        <f>Table1[[#This Row],[cumPctAllTimeExp]]&lt;0.95</f>
        <v>0</v>
      </c>
    </row>
    <row r="1823" spans="1:17" x14ac:dyDescent="0.25">
      <c r="A1823">
        <v>2124</v>
      </c>
      <c r="C1823" t="s">
        <v>2508</v>
      </c>
      <c r="E1823" t="s">
        <v>2126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492.7</v>
      </c>
      <c r="M1823" s="4">
        <v>0</v>
      </c>
      <c r="N1823" s="4">
        <f>SUM(Table1[[#This Row],[2025]:[2018]])</f>
        <v>492.7</v>
      </c>
      <c r="O1823" s="2">
        <f>Table1[[#This Row],[ttl]]/SUM(Table1[ttl])</f>
        <v>9.9349455977422724E-7</v>
      </c>
      <c r="P1823" s="3">
        <f>SUM($O$2:Table1[[#This Row],[pctAllTimeExp]])</f>
        <v>0.99973738595545947</v>
      </c>
      <c r="Q1823" t="b">
        <f>Table1[[#This Row],[cumPctAllTimeExp]]&lt;0.95</f>
        <v>0</v>
      </c>
    </row>
    <row r="1824" spans="1:17" x14ac:dyDescent="0.25">
      <c r="A1824">
        <v>2379</v>
      </c>
      <c r="C1824" t="s">
        <v>2508</v>
      </c>
      <c r="E1824" t="s">
        <v>2381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490.15</v>
      </c>
      <c r="N1824" s="4">
        <f>SUM(Table1[[#This Row],[2025]:[2018]])</f>
        <v>490.15</v>
      </c>
      <c r="O1824" s="2">
        <f>Table1[[#This Row],[ttl]]/SUM(Table1[ttl])</f>
        <v>9.8835266586835283E-7</v>
      </c>
      <c r="P1824" s="3">
        <f>SUM($O$2:Table1[[#This Row],[pctAllTimeExp]])</f>
        <v>0.99973837430812529</v>
      </c>
      <c r="Q1824" t="b">
        <f>Table1[[#This Row],[cumPctAllTimeExp]]&lt;0.95</f>
        <v>0</v>
      </c>
    </row>
    <row r="1825" spans="1:17" x14ac:dyDescent="0.25">
      <c r="A1825">
        <v>1880</v>
      </c>
      <c r="C1825" t="s">
        <v>2508</v>
      </c>
      <c r="E1825" t="s">
        <v>1882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189</v>
      </c>
      <c r="L1825" s="4">
        <v>0</v>
      </c>
      <c r="M1825" s="4">
        <v>300</v>
      </c>
      <c r="N1825" s="4">
        <f>SUM(Table1[[#This Row],[2025]:[2018]])</f>
        <v>489</v>
      </c>
      <c r="O1825" s="2">
        <f>Table1[[#This Row],[ttl]]/SUM(Table1[ttl])</f>
        <v>9.8603377253825288E-7</v>
      </c>
      <c r="P1825" s="3">
        <f>SUM($O$2:Table1[[#This Row],[pctAllTimeExp]])</f>
        <v>0.99973936034189781</v>
      </c>
      <c r="Q1825" t="b">
        <f>Table1[[#This Row],[cumPctAllTimeExp]]&lt;0.95</f>
        <v>0</v>
      </c>
    </row>
    <row r="1826" spans="1:17" x14ac:dyDescent="0.25">
      <c r="A1826">
        <v>1809</v>
      </c>
      <c r="C1826" t="s">
        <v>2508</v>
      </c>
      <c r="E1826" t="s">
        <v>1811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480</v>
      </c>
      <c r="L1826" s="4">
        <v>0</v>
      </c>
      <c r="M1826" s="4">
        <v>0</v>
      </c>
      <c r="N1826" s="4">
        <f>SUM(Table1[[#This Row],[2025]:[2018]])</f>
        <v>480</v>
      </c>
      <c r="O1826" s="2">
        <f>Table1[[#This Row],[ttl]]/SUM(Table1[ttl])</f>
        <v>9.6788591169399052E-7</v>
      </c>
      <c r="P1826" s="3">
        <f>SUM($O$2:Table1[[#This Row],[pctAllTimeExp]])</f>
        <v>0.99974032822780945</v>
      </c>
      <c r="Q1826" t="b">
        <f>Table1[[#This Row],[cumPctAllTimeExp]]&lt;0.95</f>
        <v>0</v>
      </c>
    </row>
    <row r="1827" spans="1:17" x14ac:dyDescent="0.25">
      <c r="A1827">
        <v>2380</v>
      </c>
      <c r="C1827" t="s">
        <v>2508</v>
      </c>
      <c r="E1827" t="s">
        <v>2382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480</v>
      </c>
      <c r="N1827" s="4">
        <f>SUM(Table1[[#This Row],[2025]:[2018]])</f>
        <v>480</v>
      </c>
      <c r="O1827" s="2">
        <f>Table1[[#This Row],[ttl]]/SUM(Table1[ttl])</f>
        <v>9.6788591169399052E-7</v>
      </c>
      <c r="P1827" s="3">
        <f>SUM($O$2:Table1[[#This Row],[pctAllTimeExp]])</f>
        <v>0.99974129611372109</v>
      </c>
      <c r="Q1827" t="b">
        <f>Table1[[#This Row],[cumPctAllTimeExp]]&lt;0.95</f>
        <v>0</v>
      </c>
    </row>
    <row r="1828" spans="1:17" x14ac:dyDescent="0.25">
      <c r="A1828">
        <v>2381</v>
      </c>
      <c r="C1828" t="s">
        <v>2508</v>
      </c>
      <c r="E1828" t="s">
        <v>2383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480</v>
      </c>
      <c r="N1828" s="4">
        <f>SUM(Table1[[#This Row],[2025]:[2018]])</f>
        <v>480</v>
      </c>
      <c r="O1828" s="2">
        <f>Table1[[#This Row],[ttl]]/SUM(Table1[ttl])</f>
        <v>9.6788591169399052E-7</v>
      </c>
      <c r="P1828" s="3">
        <f>SUM($O$2:Table1[[#This Row],[pctAllTimeExp]])</f>
        <v>0.99974226399963273</v>
      </c>
      <c r="Q1828" t="b">
        <f>Table1[[#This Row],[cumPctAllTimeExp]]&lt;0.95</f>
        <v>0</v>
      </c>
    </row>
    <row r="1829" spans="1:17" x14ac:dyDescent="0.25">
      <c r="A1829">
        <v>2382</v>
      </c>
      <c r="C1829" t="s">
        <v>2508</v>
      </c>
      <c r="E1829" t="s">
        <v>2384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476.24</v>
      </c>
      <c r="N1829" s="4">
        <f>SUM(Table1[[#This Row],[2025]:[2018]])</f>
        <v>476.24</v>
      </c>
      <c r="O1829" s="2">
        <f>Table1[[#This Row],[ttl]]/SUM(Table1[ttl])</f>
        <v>9.6030413871905423E-7</v>
      </c>
      <c r="P1829" s="3">
        <f>SUM($O$2:Table1[[#This Row],[pctAllTimeExp]])</f>
        <v>0.99974322430377149</v>
      </c>
      <c r="Q1829" t="b">
        <f>Table1[[#This Row],[cumPctAllTimeExp]]&lt;0.95</f>
        <v>0</v>
      </c>
    </row>
    <row r="1830" spans="1:17" x14ac:dyDescent="0.25">
      <c r="A1830">
        <v>1520</v>
      </c>
      <c r="C1830" t="s">
        <v>2508</v>
      </c>
      <c r="E1830" t="s">
        <v>1522</v>
      </c>
      <c r="F1830" s="4">
        <v>0</v>
      </c>
      <c r="G1830" s="4">
        <v>0</v>
      </c>
      <c r="H1830" s="4">
        <v>0</v>
      </c>
      <c r="I1830" s="4">
        <v>0</v>
      </c>
      <c r="J1830" s="4">
        <v>475</v>
      </c>
      <c r="K1830" s="4">
        <v>0</v>
      </c>
      <c r="L1830" s="4">
        <v>0</v>
      </c>
      <c r="M1830" s="4">
        <v>0</v>
      </c>
      <c r="N1830" s="4">
        <f>SUM(Table1[[#This Row],[2025]:[2018]])</f>
        <v>475</v>
      </c>
      <c r="O1830" s="2">
        <f>Table1[[#This Row],[ttl]]/SUM(Table1[ttl])</f>
        <v>9.578037667805115E-7</v>
      </c>
      <c r="P1830" s="3">
        <f>SUM($O$2:Table1[[#This Row],[pctAllTimeExp]])</f>
        <v>0.99974418210753824</v>
      </c>
      <c r="Q1830" t="b">
        <f>Table1[[#This Row],[cumPctAllTimeExp]]&lt;0.95</f>
        <v>0</v>
      </c>
    </row>
    <row r="1831" spans="1:17" x14ac:dyDescent="0.25">
      <c r="A1831">
        <v>1810</v>
      </c>
      <c r="C1831" t="s">
        <v>2508</v>
      </c>
      <c r="E1831" t="s">
        <v>1812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475</v>
      </c>
      <c r="L1831" s="4">
        <v>0</v>
      </c>
      <c r="M1831" s="4">
        <v>0</v>
      </c>
      <c r="N1831" s="4">
        <f>SUM(Table1[[#This Row],[2025]:[2018]])</f>
        <v>475</v>
      </c>
      <c r="O1831" s="2">
        <f>Table1[[#This Row],[ttl]]/SUM(Table1[ttl])</f>
        <v>9.578037667805115E-7</v>
      </c>
      <c r="P1831" s="3">
        <f>SUM($O$2:Table1[[#This Row],[pctAllTimeExp]])</f>
        <v>0.99974513991130498</v>
      </c>
      <c r="Q1831" t="b">
        <f>Table1[[#This Row],[cumPctAllTimeExp]]&lt;0.95</f>
        <v>0</v>
      </c>
    </row>
    <row r="1832" spans="1:17" x14ac:dyDescent="0.25">
      <c r="A1832">
        <v>1811</v>
      </c>
      <c r="C1832" t="s">
        <v>2508</v>
      </c>
      <c r="E1832" t="s">
        <v>1813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475</v>
      </c>
      <c r="L1832" s="4">
        <v>0</v>
      </c>
      <c r="M1832" s="4">
        <v>0</v>
      </c>
      <c r="N1832" s="4">
        <f>SUM(Table1[[#This Row],[2025]:[2018]])</f>
        <v>475</v>
      </c>
      <c r="O1832" s="2">
        <f>Table1[[#This Row],[ttl]]/SUM(Table1[ttl])</f>
        <v>9.578037667805115E-7</v>
      </c>
      <c r="P1832" s="3">
        <f>SUM($O$2:Table1[[#This Row],[pctAllTimeExp]])</f>
        <v>0.99974609771507172</v>
      </c>
      <c r="Q1832" t="b">
        <f>Table1[[#This Row],[cumPctAllTimeExp]]&lt;0.95</f>
        <v>0</v>
      </c>
    </row>
    <row r="1833" spans="1:17" x14ac:dyDescent="0.25">
      <c r="A1833">
        <v>2125</v>
      </c>
      <c r="C1833" t="s">
        <v>2508</v>
      </c>
      <c r="E1833" t="s">
        <v>2127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475</v>
      </c>
      <c r="M1833" s="4">
        <v>0</v>
      </c>
      <c r="N1833" s="4">
        <f>SUM(Table1[[#This Row],[2025]:[2018]])</f>
        <v>475</v>
      </c>
      <c r="O1833" s="2">
        <f>Table1[[#This Row],[ttl]]/SUM(Table1[ttl])</f>
        <v>9.578037667805115E-7</v>
      </c>
      <c r="P1833" s="3">
        <f>SUM($O$2:Table1[[#This Row],[pctAllTimeExp]])</f>
        <v>0.99974705551883847</v>
      </c>
      <c r="Q1833" t="b">
        <f>Table1[[#This Row],[cumPctAllTimeExp]]&lt;0.95</f>
        <v>0</v>
      </c>
    </row>
    <row r="1834" spans="1:17" x14ac:dyDescent="0.25">
      <c r="A1834">
        <v>2126</v>
      </c>
      <c r="C1834" t="s">
        <v>2508</v>
      </c>
      <c r="E1834" t="s">
        <v>2128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470.34</v>
      </c>
      <c r="M1834" s="4">
        <v>0</v>
      </c>
      <c r="N1834" s="4">
        <f>SUM(Table1[[#This Row],[2025]:[2018]])</f>
        <v>470.34</v>
      </c>
      <c r="O1834" s="2">
        <f>Table1[[#This Row],[ttl]]/SUM(Table1[ttl])</f>
        <v>9.4840720772114891E-7</v>
      </c>
      <c r="P1834" s="3">
        <f>SUM($O$2:Table1[[#This Row],[pctAllTimeExp]])</f>
        <v>0.99974800392604624</v>
      </c>
      <c r="Q1834" t="b">
        <f>Table1[[#This Row],[cumPctAllTimeExp]]&lt;0.95</f>
        <v>0</v>
      </c>
    </row>
    <row r="1835" spans="1:17" x14ac:dyDescent="0.25">
      <c r="A1835">
        <v>1316</v>
      </c>
      <c r="C1835" t="s">
        <v>2508</v>
      </c>
      <c r="E1835" t="s">
        <v>1318</v>
      </c>
      <c r="F1835" s="4">
        <v>0</v>
      </c>
      <c r="G1835" s="4">
        <v>0</v>
      </c>
      <c r="H1835" s="4">
        <v>0</v>
      </c>
      <c r="I1835" s="4">
        <v>470</v>
      </c>
      <c r="J1835" s="4">
        <v>0</v>
      </c>
      <c r="K1835" s="4">
        <v>0</v>
      </c>
      <c r="L1835" s="4">
        <v>0</v>
      </c>
      <c r="M1835" s="4">
        <v>0</v>
      </c>
      <c r="N1835" s="4">
        <f>SUM(Table1[[#This Row],[2025]:[2018]])</f>
        <v>470</v>
      </c>
      <c r="O1835" s="2">
        <f>Table1[[#This Row],[ttl]]/SUM(Table1[ttl])</f>
        <v>9.4772162186703237E-7</v>
      </c>
      <c r="P1835" s="3">
        <f>SUM($O$2:Table1[[#This Row],[pctAllTimeExp]])</f>
        <v>0.99974895164766808</v>
      </c>
      <c r="Q1835" t="b">
        <f>Table1[[#This Row],[cumPctAllTimeExp]]&lt;0.95</f>
        <v>0</v>
      </c>
    </row>
    <row r="1836" spans="1:17" x14ac:dyDescent="0.25">
      <c r="A1836">
        <v>1558</v>
      </c>
      <c r="C1836" t="s">
        <v>2508</v>
      </c>
      <c r="E1836" t="s">
        <v>1560</v>
      </c>
      <c r="F1836" s="4">
        <v>0</v>
      </c>
      <c r="G1836" s="4">
        <v>0</v>
      </c>
      <c r="H1836" s="4">
        <v>0</v>
      </c>
      <c r="I1836" s="4">
        <v>0</v>
      </c>
      <c r="J1836" s="4">
        <v>250</v>
      </c>
      <c r="K1836" s="4">
        <v>215</v>
      </c>
      <c r="L1836" s="4">
        <v>0</v>
      </c>
      <c r="M1836" s="4">
        <v>0</v>
      </c>
      <c r="N1836" s="4">
        <f>SUM(Table1[[#This Row],[2025]:[2018]])</f>
        <v>465</v>
      </c>
      <c r="O1836" s="2">
        <f>Table1[[#This Row],[ttl]]/SUM(Table1[ttl])</f>
        <v>9.3763947695355325E-7</v>
      </c>
      <c r="P1836" s="3">
        <f>SUM($O$2:Table1[[#This Row],[pctAllTimeExp]])</f>
        <v>0.99974988928714503</v>
      </c>
      <c r="Q1836" t="b">
        <f>Table1[[#This Row],[cumPctAllTimeExp]]&lt;0.95</f>
        <v>0</v>
      </c>
    </row>
    <row r="1837" spans="1:17" x14ac:dyDescent="0.25">
      <c r="A1837">
        <v>2383</v>
      </c>
      <c r="C1837" t="s">
        <v>2508</v>
      </c>
      <c r="E1837" t="s">
        <v>2385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464.7</v>
      </c>
      <c r="N1837" s="4">
        <f>SUM(Table1[[#This Row],[2025]:[2018]])</f>
        <v>464.7</v>
      </c>
      <c r="O1837" s="2">
        <f>Table1[[#This Row],[ttl]]/SUM(Table1[ttl])</f>
        <v>9.3703454825874448E-7</v>
      </c>
      <c r="P1837" s="3">
        <f>SUM($O$2:Table1[[#This Row],[pctAllTimeExp]])</f>
        <v>0.99975082632169332</v>
      </c>
      <c r="Q1837" t="b">
        <f>Table1[[#This Row],[cumPctAllTimeExp]]&lt;0.95</f>
        <v>0</v>
      </c>
    </row>
    <row r="1838" spans="1:17" x14ac:dyDescent="0.25">
      <c r="A1838">
        <v>600</v>
      </c>
      <c r="C1838" t="s">
        <v>2508</v>
      </c>
      <c r="E1838" t="s">
        <v>602</v>
      </c>
      <c r="F1838" s="4">
        <v>360</v>
      </c>
      <c r="G1838" s="4">
        <v>100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f>SUM(Table1[[#This Row],[2025]:[2018]])</f>
        <v>460</v>
      </c>
      <c r="O1838" s="2">
        <f>Table1[[#This Row],[ttl]]/SUM(Table1[ttl])</f>
        <v>9.2755733204007423E-7</v>
      </c>
      <c r="P1838" s="3">
        <f>SUM($O$2:Table1[[#This Row],[pctAllTimeExp]])</f>
        <v>0.99975175387902537</v>
      </c>
      <c r="Q1838" t="b">
        <f>Table1[[#This Row],[cumPctAllTimeExp]]&lt;0.95</f>
        <v>0</v>
      </c>
    </row>
    <row r="1839" spans="1:17" x14ac:dyDescent="0.25">
      <c r="A1839">
        <v>1812</v>
      </c>
      <c r="C1839" t="s">
        <v>2508</v>
      </c>
      <c r="E1839" t="s">
        <v>1814</v>
      </c>
      <c r="F1839" s="4">
        <v>0</v>
      </c>
      <c r="G1839" s="4">
        <v>0</v>
      </c>
      <c r="H1839" s="4">
        <v>0</v>
      </c>
      <c r="I1839" s="4">
        <v>0</v>
      </c>
      <c r="J1839" s="4">
        <v>0</v>
      </c>
      <c r="K1839" s="4">
        <v>455</v>
      </c>
      <c r="L1839" s="4">
        <v>0</v>
      </c>
      <c r="M1839" s="4">
        <v>0</v>
      </c>
      <c r="N1839" s="4">
        <f>SUM(Table1[[#This Row],[2025]:[2018]])</f>
        <v>455</v>
      </c>
      <c r="O1839" s="2">
        <f>Table1[[#This Row],[ttl]]/SUM(Table1[ttl])</f>
        <v>9.174751871265951E-7</v>
      </c>
      <c r="P1839" s="3">
        <f>SUM($O$2:Table1[[#This Row],[pctAllTimeExp]])</f>
        <v>0.99975267135421253</v>
      </c>
      <c r="Q1839" t="b">
        <f>Table1[[#This Row],[cumPctAllTimeExp]]&lt;0.95</f>
        <v>0</v>
      </c>
    </row>
    <row r="1840" spans="1:17" x14ac:dyDescent="0.25">
      <c r="A1840">
        <v>576</v>
      </c>
      <c r="C1840" t="s">
        <v>2508</v>
      </c>
      <c r="E1840" t="s">
        <v>578</v>
      </c>
      <c r="F1840" s="4">
        <v>450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f>SUM(Table1[[#This Row],[2025]:[2018]])</f>
        <v>450</v>
      </c>
      <c r="O1840" s="2">
        <f>Table1[[#This Row],[ttl]]/SUM(Table1[ttl])</f>
        <v>9.0739304221311608E-7</v>
      </c>
      <c r="P1840" s="3">
        <f>SUM($O$2:Table1[[#This Row],[pctAllTimeExp]])</f>
        <v>0.99975357874725479</v>
      </c>
      <c r="Q1840" t="b">
        <f>Table1[[#This Row],[cumPctAllTimeExp]]&lt;0.95</f>
        <v>0</v>
      </c>
    </row>
    <row r="1841" spans="1:17" x14ac:dyDescent="0.25">
      <c r="A1841">
        <v>880</v>
      </c>
      <c r="C1841" t="s">
        <v>2508</v>
      </c>
      <c r="E1841" t="s">
        <v>882</v>
      </c>
      <c r="F1841" s="4">
        <v>0</v>
      </c>
      <c r="G1841" s="4">
        <v>450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f>SUM(Table1[[#This Row],[2025]:[2018]])</f>
        <v>450</v>
      </c>
      <c r="O1841" s="2">
        <f>Table1[[#This Row],[ttl]]/SUM(Table1[ttl])</f>
        <v>9.0739304221311608E-7</v>
      </c>
      <c r="P1841" s="3">
        <f>SUM($O$2:Table1[[#This Row],[pctAllTimeExp]])</f>
        <v>0.99975448614029705</v>
      </c>
      <c r="Q1841" t="b">
        <f>Table1[[#This Row],[cumPctAllTimeExp]]&lt;0.95</f>
        <v>0</v>
      </c>
    </row>
    <row r="1842" spans="1:17" x14ac:dyDescent="0.25">
      <c r="A1842">
        <v>1126</v>
      </c>
      <c r="C1842" t="s">
        <v>2508</v>
      </c>
      <c r="E1842" t="s">
        <v>1128</v>
      </c>
      <c r="F1842" s="4">
        <v>0</v>
      </c>
      <c r="G1842" s="4">
        <v>0</v>
      </c>
      <c r="H1842" s="4">
        <v>450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f>SUM(Table1[[#This Row],[2025]:[2018]])</f>
        <v>450</v>
      </c>
      <c r="O1842" s="2">
        <f>Table1[[#This Row],[ttl]]/SUM(Table1[ttl])</f>
        <v>9.0739304221311608E-7</v>
      </c>
      <c r="P1842" s="3">
        <f>SUM($O$2:Table1[[#This Row],[pctAllTimeExp]])</f>
        <v>0.99975539353333931</v>
      </c>
      <c r="Q1842" t="b">
        <f>Table1[[#This Row],[cumPctAllTimeExp]]&lt;0.95</f>
        <v>0</v>
      </c>
    </row>
    <row r="1843" spans="1:17" x14ac:dyDescent="0.25">
      <c r="A1843">
        <v>1335</v>
      </c>
      <c r="C1843" t="s">
        <v>2508</v>
      </c>
      <c r="E1843" t="s">
        <v>1337</v>
      </c>
      <c r="F1843" s="4">
        <v>0</v>
      </c>
      <c r="G1843" s="4">
        <v>0</v>
      </c>
      <c r="H1843" s="4">
        <v>0</v>
      </c>
      <c r="I1843" s="4">
        <v>300</v>
      </c>
      <c r="J1843" s="4">
        <v>0</v>
      </c>
      <c r="K1843" s="4">
        <v>0</v>
      </c>
      <c r="L1843" s="4">
        <v>0</v>
      </c>
      <c r="M1843" s="4">
        <v>150</v>
      </c>
      <c r="N1843" s="4">
        <f>SUM(Table1[[#This Row],[2025]:[2018]])</f>
        <v>450</v>
      </c>
      <c r="O1843" s="2">
        <f>Table1[[#This Row],[ttl]]/SUM(Table1[ttl])</f>
        <v>9.0739304221311608E-7</v>
      </c>
      <c r="P1843" s="3">
        <f>SUM($O$2:Table1[[#This Row],[pctAllTimeExp]])</f>
        <v>0.99975630092638157</v>
      </c>
      <c r="Q1843" t="b">
        <f>Table1[[#This Row],[cumPctAllTimeExp]]&lt;0.95</f>
        <v>0</v>
      </c>
    </row>
    <row r="1844" spans="1:17" x14ac:dyDescent="0.25">
      <c r="A1844">
        <v>1814</v>
      </c>
      <c r="C1844" t="s">
        <v>2508</v>
      </c>
      <c r="E1844" t="s">
        <v>1816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450</v>
      </c>
      <c r="L1844" s="4">
        <v>0</v>
      </c>
      <c r="M1844" s="4">
        <v>0</v>
      </c>
      <c r="N1844" s="4">
        <f>SUM(Table1[[#This Row],[2025]:[2018]])</f>
        <v>450</v>
      </c>
      <c r="O1844" s="2">
        <f>Table1[[#This Row],[ttl]]/SUM(Table1[ttl])</f>
        <v>9.0739304221311608E-7</v>
      </c>
      <c r="P1844" s="3">
        <f>SUM($O$2:Table1[[#This Row],[pctAllTimeExp]])</f>
        <v>0.99975720831942383</v>
      </c>
      <c r="Q1844" t="b">
        <f>Table1[[#This Row],[cumPctAllTimeExp]]&lt;0.95</f>
        <v>0</v>
      </c>
    </row>
    <row r="1845" spans="1:17" x14ac:dyDescent="0.25">
      <c r="A1845">
        <v>1848</v>
      </c>
      <c r="C1845" t="s">
        <v>2508</v>
      </c>
      <c r="E1845" t="s">
        <v>1850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270</v>
      </c>
      <c r="L1845" s="4">
        <v>0</v>
      </c>
      <c r="M1845" s="4">
        <v>180</v>
      </c>
      <c r="N1845" s="4">
        <f>SUM(Table1[[#This Row],[2025]:[2018]])</f>
        <v>450</v>
      </c>
      <c r="O1845" s="2">
        <f>Table1[[#This Row],[ttl]]/SUM(Table1[ttl])</f>
        <v>9.0739304221311608E-7</v>
      </c>
      <c r="P1845" s="3">
        <f>SUM($O$2:Table1[[#This Row],[pctAllTimeExp]])</f>
        <v>0.99975811571246609</v>
      </c>
      <c r="Q1845" t="b">
        <f>Table1[[#This Row],[cumPctAllTimeExp]]&lt;0.95</f>
        <v>0</v>
      </c>
    </row>
    <row r="1846" spans="1:17" x14ac:dyDescent="0.25">
      <c r="A1846">
        <v>2128</v>
      </c>
      <c r="C1846" t="s">
        <v>2508</v>
      </c>
      <c r="E1846" t="s">
        <v>2130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450</v>
      </c>
      <c r="M1846" s="4">
        <v>0</v>
      </c>
      <c r="N1846" s="4">
        <f>SUM(Table1[[#This Row],[2025]:[2018]])</f>
        <v>450</v>
      </c>
      <c r="O1846" s="2">
        <f>Table1[[#This Row],[ttl]]/SUM(Table1[ttl])</f>
        <v>9.0739304221311608E-7</v>
      </c>
      <c r="P1846" s="3">
        <f>SUM($O$2:Table1[[#This Row],[pctAllTimeExp]])</f>
        <v>0.99975902310550835</v>
      </c>
      <c r="Q1846" t="b">
        <f>Table1[[#This Row],[cumPctAllTimeExp]]&lt;0.95</f>
        <v>0</v>
      </c>
    </row>
    <row r="1847" spans="1:17" x14ac:dyDescent="0.25">
      <c r="A1847">
        <v>2130</v>
      </c>
      <c r="C1847" t="s">
        <v>2508</v>
      </c>
      <c r="E1847" t="s">
        <v>2132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450</v>
      </c>
      <c r="M1847" s="4">
        <v>0</v>
      </c>
      <c r="N1847" s="4">
        <f>SUM(Table1[[#This Row],[2025]:[2018]])</f>
        <v>450</v>
      </c>
      <c r="O1847" s="2">
        <f>Table1[[#This Row],[ttl]]/SUM(Table1[ttl])</f>
        <v>9.0739304221311608E-7</v>
      </c>
      <c r="P1847" s="3">
        <f>SUM($O$2:Table1[[#This Row],[pctAllTimeExp]])</f>
        <v>0.99975993049855061</v>
      </c>
      <c r="Q1847" t="b">
        <f>Table1[[#This Row],[cumPctAllTimeExp]]&lt;0.95</f>
        <v>0</v>
      </c>
    </row>
    <row r="1848" spans="1:17" x14ac:dyDescent="0.25">
      <c r="A1848">
        <v>2384</v>
      </c>
      <c r="C1848" t="s">
        <v>2508</v>
      </c>
      <c r="E1848" t="s">
        <v>2386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450</v>
      </c>
      <c r="N1848" s="4">
        <f>SUM(Table1[[#This Row],[2025]:[2018]])</f>
        <v>450</v>
      </c>
      <c r="O1848" s="2">
        <f>Table1[[#This Row],[ttl]]/SUM(Table1[ttl])</f>
        <v>9.0739304221311608E-7</v>
      </c>
      <c r="P1848" s="3">
        <f>SUM($O$2:Table1[[#This Row],[pctAllTimeExp]])</f>
        <v>0.99976083789159287</v>
      </c>
      <c r="Q1848" t="b">
        <f>Table1[[#This Row],[cumPctAllTimeExp]]&lt;0.95</f>
        <v>0</v>
      </c>
    </row>
    <row r="1849" spans="1:17" x14ac:dyDescent="0.25">
      <c r="A1849">
        <v>2385</v>
      </c>
      <c r="C1849" t="s">
        <v>2508</v>
      </c>
      <c r="E1849" t="s">
        <v>2387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450</v>
      </c>
      <c r="N1849" s="4">
        <f>SUM(Table1[[#This Row],[2025]:[2018]])</f>
        <v>450</v>
      </c>
      <c r="O1849" s="2">
        <f>Table1[[#This Row],[ttl]]/SUM(Table1[ttl])</f>
        <v>9.0739304221311608E-7</v>
      </c>
      <c r="P1849" s="3">
        <f>SUM($O$2:Table1[[#This Row],[pctAllTimeExp]])</f>
        <v>0.99976174528463513</v>
      </c>
      <c r="Q1849" t="b">
        <f>Table1[[#This Row],[cumPctAllTimeExp]]&lt;0.95</f>
        <v>0</v>
      </c>
    </row>
    <row r="1850" spans="1:17" x14ac:dyDescent="0.25">
      <c r="A1850">
        <v>2386</v>
      </c>
      <c r="C1850" t="s">
        <v>2508</v>
      </c>
      <c r="E1850" t="s">
        <v>2388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450</v>
      </c>
      <c r="N1850" s="4">
        <f>SUM(Table1[[#This Row],[2025]:[2018]])</f>
        <v>450</v>
      </c>
      <c r="O1850" s="2">
        <f>Table1[[#This Row],[ttl]]/SUM(Table1[ttl])</f>
        <v>9.0739304221311608E-7</v>
      </c>
      <c r="P1850" s="3">
        <f>SUM($O$2:Table1[[#This Row],[pctAllTimeExp]])</f>
        <v>0.99976265267767739</v>
      </c>
      <c r="Q1850" t="b">
        <f>Table1[[#This Row],[cumPctAllTimeExp]]&lt;0.95</f>
        <v>0</v>
      </c>
    </row>
    <row r="1851" spans="1:17" x14ac:dyDescent="0.25">
      <c r="A1851">
        <v>577</v>
      </c>
      <c r="C1851" t="s">
        <v>2508</v>
      </c>
      <c r="E1851" t="s">
        <v>579</v>
      </c>
      <c r="F1851" s="4">
        <v>448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f>SUM(Table1[[#This Row],[2025]:[2018]])</f>
        <v>448</v>
      </c>
      <c r="O1851" s="2">
        <f>Table1[[#This Row],[ttl]]/SUM(Table1[ttl])</f>
        <v>9.0336018424772441E-7</v>
      </c>
      <c r="P1851" s="3">
        <f>SUM($O$2:Table1[[#This Row],[pctAllTimeExp]])</f>
        <v>0.9997635560378616</v>
      </c>
      <c r="Q1851" t="b">
        <f>Table1[[#This Row],[cumPctAllTimeExp]]&lt;0.95</f>
        <v>0</v>
      </c>
    </row>
    <row r="1852" spans="1:17" x14ac:dyDescent="0.25">
      <c r="A1852">
        <v>1522</v>
      </c>
      <c r="C1852" t="s">
        <v>2508</v>
      </c>
      <c r="E1852" t="s">
        <v>1524</v>
      </c>
      <c r="F1852" s="4">
        <v>0</v>
      </c>
      <c r="G1852" s="4">
        <v>0</v>
      </c>
      <c r="H1852" s="4">
        <v>0</v>
      </c>
      <c r="I1852" s="4">
        <v>0</v>
      </c>
      <c r="J1852" s="4">
        <v>446.25</v>
      </c>
      <c r="K1852" s="4">
        <v>0</v>
      </c>
      <c r="L1852" s="4">
        <v>0</v>
      </c>
      <c r="M1852" s="4">
        <v>0</v>
      </c>
      <c r="N1852" s="4">
        <f>SUM(Table1[[#This Row],[2025]:[2018]])</f>
        <v>446.25</v>
      </c>
      <c r="O1852" s="2">
        <f>Table1[[#This Row],[ttl]]/SUM(Table1[ttl])</f>
        <v>8.9983143352800682E-7</v>
      </c>
      <c r="P1852" s="3">
        <f>SUM($O$2:Table1[[#This Row],[pctAllTimeExp]])</f>
        <v>0.99976445586929508</v>
      </c>
      <c r="Q1852" t="b">
        <f>Table1[[#This Row],[cumPctAllTimeExp]]&lt;0.95</f>
        <v>0</v>
      </c>
    </row>
    <row r="1853" spans="1:17" x14ac:dyDescent="0.25">
      <c r="A1853">
        <v>883</v>
      </c>
      <c r="C1853" t="s">
        <v>2508</v>
      </c>
      <c r="E1853" t="s">
        <v>885</v>
      </c>
      <c r="F1853" s="4">
        <v>0</v>
      </c>
      <c r="G1853" s="4">
        <v>445.05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f>SUM(Table1[[#This Row],[2025]:[2018]])</f>
        <v>445.05</v>
      </c>
      <c r="O1853" s="2">
        <f>Table1[[#This Row],[ttl]]/SUM(Table1[ttl])</f>
        <v>8.9741171874877186E-7</v>
      </c>
      <c r="P1853" s="3">
        <f>SUM($O$2:Table1[[#This Row],[pctAllTimeExp]])</f>
        <v>0.99976535328101379</v>
      </c>
      <c r="Q1853" t="b">
        <f>Table1[[#This Row],[cumPctAllTimeExp]]&lt;0.95</f>
        <v>0</v>
      </c>
    </row>
    <row r="1854" spans="1:17" x14ac:dyDescent="0.25">
      <c r="A1854">
        <v>1815</v>
      </c>
      <c r="C1854" t="s">
        <v>2508</v>
      </c>
      <c r="E1854" t="s">
        <v>1817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442.25</v>
      </c>
      <c r="L1854" s="4">
        <v>0</v>
      </c>
      <c r="M1854" s="4">
        <v>0</v>
      </c>
      <c r="N1854" s="4">
        <f>SUM(Table1[[#This Row],[2025]:[2018]])</f>
        <v>442.25</v>
      </c>
      <c r="O1854" s="2">
        <f>Table1[[#This Row],[ttl]]/SUM(Table1[ttl])</f>
        <v>8.9176571759722347E-7</v>
      </c>
      <c r="P1854" s="3">
        <f>SUM($O$2:Table1[[#This Row],[pctAllTimeExp]])</f>
        <v>0.99976624504673139</v>
      </c>
      <c r="Q1854" t="b">
        <f>Table1[[#This Row],[cumPctAllTimeExp]]&lt;0.95</f>
        <v>0</v>
      </c>
    </row>
    <row r="1855" spans="1:17" x14ac:dyDescent="0.25">
      <c r="A1855">
        <v>578</v>
      </c>
      <c r="C1855" t="s">
        <v>2508</v>
      </c>
      <c r="E1855" t="s">
        <v>580</v>
      </c>
      <c r="F1855" s="4">
        <v>441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f>SUM(Table1[[#This Row],[2025]:[2018]])</f>
        <v>441</v>
      </c>
      <c r="O1855" s="2">
        <f>Table1[[#This Row],[ttl]]/SUM(Table1[ttl])</f>
        <v>8.8924518136885372E-7</v>
      </c>
      <c r="P1855" s="3">
        <f>SUM($O$2:Table1[[#This Row],[pctAllTimeExp]])</f>
        <v>0.99976713429191277</v>
      </c>
      <c r="Q1855" t="b">
        <f>Table1[[#This Row],[cumPctAllTimeExp]]&lt;0.95</f>
        <v>0</v>
      </c>
    </row>
    <row r="1856" spans="1:17" x14ac:dyDescent="0.25">
      <c r="A1856">
        <v>580</v>
      </c>
      <c r="C1856" t="s">
        <v>2508</v>
      </c>
      <c r="E1856" t="s">
        <v>582</v>
      </c>
      <c r="F1856" s="4">
        <v>440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f>SUM(Table1[[#This Row],[2025]:[2018]])</f>
        <v>440</v>
      </c>
      <c r="O1856" s="2">
        <f>Table1[[#This Row],[ttl]]/SUM(Table1[ttl])</f>
        <v>8.8722875238615794E-7</v>
      </c>
      <c r="P1856" s="3">
        <f>SUM($O$2:Table1[[#This Row],[pctAllTimeExp]])</f>
        <v>0.99976802152066513</v>
      </c>
      <c r="Q1856" t="b">
        <f>Table1[[#This Row],[cumPctAllTimeExp]]&lt;0.95</f>
        <v>0</v>
      </c>
    </row>
    <row r="1857" spans="1:17" x14ac:dyDescent="0.25">
      <c r="A1857">
        <v>1320</v>
      </c>
      <c r="C1857" t="s">
        <v>2508</v>
      </c>
      <c r="E1857" t="s">
        <v>1322</v>
      </c>
      <c r="F1857" s="4">
        <v>0</v>
      </c>
      <c r="G1857" s="4">
        <v>0</v>
      </c>
      <c r="H1857" s="4">
        <v>0</v>
      </c>
      <c r="I1857" s="4">
        <v>440</v>
      </c>
      <c r="J1857" s="4">
        <v>0</v>
      </c>
      <c r="K1857" s="4">
        <v>0</v>
      </c>
      <c r="L1857" s="4">
        <v>0</v>
      </c>
      <c r="M1857" s="4">
        <v>0</v>
      </c>
      <c r="N1857" s="4">
        <f>SUM(Table1[[#This Row],[2025]:[2018]])</f>
        <v>440</v>
      </c>
      <c r="O1857" s="2">
        <f>Table1[[#This Row],[ttl]]/SUM(Table1[ttl])</f>
        <v>8.8722875238615794E-7</v>
      </c>
      <c r="P1857" s="3">
        <f>SUM($O$2:Table1[[#This Row],[pctAllTimeExp]])</f>
        <v>0.99976890874941748</v>
      </c>
      <c r="Q1857" t="b">
        <f>Table1[[#This Row],[cumPctAllTimeExp]]&lt;0.95</f>
        <v>0</v>
      </c>
    </row>
    <row r="1858" spans="1:17" x14ac:dyDescent="0.25">
      <c r="A1858">
        <v>1321</v>
      </c>
      <c r="C1858" t="s">
        <v>2508</v>
      </c>
      <c r="E1858" t="s">
        <v>1323</v>
      </c>
      <c r="F1858" s="4">
        <v>0</v>
      </c>
      <c r="G1858" s="4">
        <v>0</v>
      </c>
      <c r="H1858" s="4">
        <v>0</v>
      </c>
      <c r="I1858" s="4">
        <v>439</v>
      </c>
      <c r="J1858" s="4">
        <v>0</v>
      </c>
      <c r="K1858" s="4">
        <v>0</v>
      </c>
      <c r="L1858" s="4">
        <v>0</v>
      </c>
      <c r="M1858" s="4">
        <v>0</v>
      </c>
      <c r="N1858" s="4">
        <f>SUM(Table1[[#This Row],[2025]:[2018]])</f>
        <v>439</v>
      </c>
      <c r="O1858" s="2">
        <f>Table1[[#This Row],[ttl]]/SUM(Table1[ttl])</f>
        <v>8.8521232340346215E-7</v>
      </c>
      <c r="P1858" s="3">
        <f>SUM($O$2:Table1[[#This Row],[pctAllTimeExp]])</f>
        <v>0.99976979396174093</v>
      </c>
      <c r="Q1858" t="b">
        <f>Table1[[#This Row],[cumPctAllTimeExp]]&lt;0.95</f>
        <v>0</v>
      </c>
    </row>
    <row r="1859" spans="1:17" x14ac:dyDescent="0.25">
      <c r="A1859">
        <v>2387</v>
      </c>
      <c r="C1859" t="s">
        <v>2508</v>
      </c>
      <c r="E1859" t="s">
        <v>2389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435.48</v>
      </c>
      <c r="N1859" s="4">
        <f>SUM(Table1[[#This Row],[2025]:[2018]])</f>
        <v>435.48</v>
      </c>
      <c r="O1859" s="2">
        <f>Table1[[#This Row],[ttl]]/SUM(Table1[ttl])</f>
        <v>8.7811449338437292E-7</v>
      </c>
      <c r="P1859" s="3">
        <f>SUM($O$2:Table1[[#This Row],[pctAllTimeExp]])</f>
        <v>0.99977067207623427</v>
      </c>
      <c r="Q1859" t="b">
        <f>Table1[[#This Row],[cumPctAllTimeExp]]&lt;0.95</f>
        <v>0</v>
      </c>
    </row>
    <row r="1860" spans="1:17" x14ac:dyDescent="0.25">
      <c r="A1860">
        <v>1523</v>
      </c>
      <c r="C1860" t="s">
        <v>2508</v>
      </c>
      <c r="E1860" t="s">
        <v>1525</v>
      </c>
      <c r="F1860" s="4">
        <v>0</v>
      </c>
      <c r="G1860" s="4">
        <v>0</v>
      </c>
      <c r="H1860" s="4">
        <v>0</v>
      </c>
      <c r="I1860" s="4">
        <v>0</v>
      </c>
      <c r="J1860" s="4">
        <v>432</v>
      </c>
      <c r="K1860" s="4">
        <v>0</v>
      </c>
      <c r="L1860" s="4">
        <v>0</v>
      </c>
      <c r="M1860" s="4">
        <v>0</v>
      </c>
      <c r="N1860" s="4">
        <f>SUM(Table1[[#This Row],[2025]:[2018]])</f>
        <v>432</v>
      </c>
      <c r="O1860" s="2">
        <f>Table1[[#This Row],[ttl]]/SUM(Table1[ttl])</f>
        <v>8.7109732052459146E-7</v>
      </c>
      <c r="P1860" s="3">
        <f>SUM($O$2:Table1[[#This Row],[pctAllTimeExp]])</f>
        <v>0.99977154317355477</v>
      </c>
      <c r="Q1860" t="b">
        <f>Table1[[#This Row],[cumPctAllTimeExp]]&lt;0.95</f>
        <v>0</v>
      </c>
    </row>
    <row r="1861" spans="1:17" x14ac:dyDescent="0.25">
      <c r="A1861">
        <v>1817</v>
      </c>
      <c r="C1861" t="s">
        <v>2508</v>
      </c>
      <c r="E1861" t="s">
        <v>1819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432</v>
      </c>
      <c r="L1861" s="4">
        <v>0</v>
      </c>
      <c r="M1861" s="4">
        <v>0</v>
      </c>
      <c r="N1861" s="4">
        <f>SUM(Table1[[#This Row],[2025]:[2018]])</f>
        <v>432</v>
      </c>
      <c r="O1861" s="2">
        <f>Table1[[#This Row],[ttl]]/SUM(Table1[ttl])</f>
        <v>8.7109732052459146E-7</v>
      </c>
      <c r="P1861" s="3">
        <f>SUM($O$2:Table1[[#This Row],[pctAllTimeExp]])</f>
        <v>0.99977241427087526</v>
      </c>
      <c r="Q1861" t="b">
        <f>Table1[[#This Row],[cumPctAllTimeExp]]&lt;0.95</f>
        <v>0</v>
      </c>
    </row>
    <row r="1862" spans="1:17" x14ac:dyDescent="0.25">
      <c r="A1862">
        <v>1818</v>
      </c>
      <c r="C1862" t="s">
        <v>2508</v>
      </c>
      <c r="E1862" t="s">
        <v>1820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432</v>
      </c>
      <c r="L1862" s="4">
        <v>0</v>
      </c>
      <c r="M1862" s="4">
        <v>0</v>
      </c>
      <c r="N1862" s="4">
        <f>SUM(Table1[[#This Row],[2025]:[2018]])</f>
        <v>432</v>
      </c>
      <c r="O1862" s="2">
        <f>Table1[[#This Row],[ttl]]/SUM(Table1[ttl])</f>
        <v>8.7109732052459146E-7</v>
      </c>
      <c r="P1862" s="3">
        <f>SUM($O$2:Table1[[#This Row],[pctAllTimeExp]])</f>
        <v>0.99977328536819576</v>
      </c>
      <c r="Q1862" t="b">
        <f>Table1[[#This Row],[cumPctAllTimeExp]]&lt;0.95</f>
        <v>0</v>
      </c>
    </row>
    <row r="1863" spans="1:17" x14ac:dyDescent="0.25">
      <c r="A1863">
        <v>1819</v>
      </c>
      <c r="C1863" t="s">
        <v>2508</v>
      </c>
      <c r="E1863" t="s">
        <v>1821</v>
      </c>
      <c r="F1863" s="4">
        <v>0</v>
      </c>
      <c r="G1863" s="4">
        <v>0</v>
      </c>
      <c r="H1863" s="4">
        <v>0</v>
      </c>
      <c r="I1863" s="4">
        <v>0</v>
      </c>
      <c r="J1863" s="4">
        <v>0</v>
      </c>
      <c r="K1863" s="4">
        <v>432</v>
      </c>
      <c r="L1863" s="4">
        <v>0</v>
      </c>
      <c r="M1863" s="4">
        <v>0</v>
      </c>
      <c r="N1863" s="4">
        <f>SUM(Table1[[#This Row],[2025]:[2018]])</f>
        <v>432</v>
      </c>
      <c r="O1863" s="2">
        <f>Table1[[#This Row],[ttl]]/SUM(Table1[ttl])</f>
        <v>8.7109732052459146E-7</v>
      </c>
      <c r="P1863" s="3">
        <f>SUM($O$2:Table1[[#This Row],[pctAllTimeExp]])</f>
        <v>0.99977415646551626</v>
      </c>
      <c r="Q1863" t="b">
        <f>Table1[[#This Row],[cumPctAllTimeExp]]&lt;0.95</f>
        <v>0</v>
      </c>
    </row>
    <row r="1864" spans="1:17" x14ac:dyDescent="0.25">
      <c r="A1864">
        <v>1524</v>
      </c>
      <c r="C1864" t="s">
        <v>2508</v>
      </c>
      <c r="E1864" t="s">
        <v>1526</v>
      </c>
      <c r="F1864" s="4">
        <v>0</v>
      </c>
      <c r="G1864" s="4">
        <v>0</v>
      </c>
      <c r="H1864" s="4">
        <v>0</v>
      </c>
      <c r="I1864" s="4">
        <v>0</v>
      </c>
      <c r="J1864" s="4">
        <v>430</v>
      </c>
      <c r="K1864" s="4">
        <v>0</v>
      </c>
      <c r="L1864" s="4">
        <v>0</v>
      </c>
      <c r="M1864" s="4">
        <v>0</v>
      </c>
      <c r="N1864" s="4">
        <f>SUM(Table1[[#This Row],[2025]:[2018]])</f>
        <v>430</v>
      </c>
      <c r="O1864" s="2">
        <f>Table1[[#This Row],[ttl]]/SUM(Table1[ttl])</f>
        <v>8.6706446255919979E-7</v>
      </c>
      <c r="P1864" s="3">
        <f>SUM($O$2:Table1[[#This Row],[pctAllTimeExp]])</f>
        <v>0.99977502352997882</v>
      </c>
      <c r="Q1864" t="b">
        <f>Table1[[#This Row],[cumPctAllTimeExp]]&lt;0.95</f>
        <v>0</v>
      </c>
    </row>
    <row r="1865" spans="1:17" x14ac:dyDescent="0.25">
      <c r="A1865">
        <v>1322</v>
      </c>
      <c r="C1865" t="s">
        <v>2508</v>
      </c>
      <c r="E1865" t="s">
        <v>1324</v>
      </c>
      <c r="F1865" s="4">
        <v>0</v>
      </c>
      <c r="G1865" s="4">
        <v>0</v>
      </c>
      <c r="H1865" s="4">
        <v>0</v>
      </c>
      <c r="I1865" s="4">
        <v>429.41</v>
      </c>
      <c r="J1865" s="4">
        <v>0</v>
      </c>
      <c r="K1865" s="4">
        <v>0</v>
      </c>
      <c r="L1865" s="4">
        <v>0</v>
      </c>
      <c r="M1865" s="4">
        <v>0</v>
      </c>
      <c r="N1865" s="4">
        <f>SUM(Table1[[#This Row],[2025]:[2018]])</f>
        <v>429.41</v>
      </c>
      <c r="O1865" s="2">
        <f>Table1[[#This Row],[ttl]]/SUM(Table1[ttl])</f>
        <v>8.6587476945940928E-7</v>
      </c>
      <c r="P1865" s="3">
        <f>SUM($O$2:Table1[[#This Row],[pctAllTimeExp]])</f>
        <v>0.99977588940474826</v>
      </c>
      <c r="Q1865" t="b">
        <f>Table1[[#This Row],[cumPctAllTimeExp]]&lt;0.95</f>
        <v>0</v>
      </c>
    </row>
    <row r="1866" spans="1:17" x14ac:dyDescent="0.25">
      <c r="A1866">
        <v>2388</v>
      </c>
      <c r="C1866" t="s">
        <v>2508</v>
      </c>
      <c r="E1866" t="s">
        <v>2390</v>
      </c>
      <c r="F1866" s="4">
        <v>0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>
        <v>0</v>
      </c>
      <c r="M1866" s="4">
        <v>426.91</v>
      </c>
      <c r="N1866" s="4">
        <f>SUM(Table1[[#This Row],[2025]:[2018]])</f>
        <v>426.91</v>
      </c>
      <c r="O1866" s="2">
        <f>Table1[[#This Row],[ttl]]/SUM(Table1[ttl])</f>
        <v>8.6083369700266977E-7</v>
      </c>
      <c r="P1866" s="3">
        <f>SUM($O$2:Table1[[#This Row],[pctAllTimeExp]])</f>
        <v>0.99977675023844526</v>
      </c>
      <c r="Q1866" t="b">
        <f>Table1[[#This Row],[cumPctAllTimeExp]]&lt;0.95</f>
        <v>0</v>
      </c>
    </row>
    <row r="1867" spans="1:17" x14ac:dyDescent="0.25">
      <c r="A1867">
        <v>1323</v>
      </c>
      <c r="C1867" t="s">
        <v>2508</v>
      </c>
      <c r="E1867" t="s">
        <v>1325</v>
      </c>
      <c r="F1867" s="4">
        <v>0</v>
      </c>
      <c r="G1867" s="4">
        <v>0</v>
      </c>
      <c r="H1867" s="4">
        <v>0</v>
      </c>
      <c r="I1867" s="4">
        <v>425</v>
      </c>
      <c r="J1867" s="4">
        <v>0</v>
      </c>
      <c r="K1867" s="4">
        <v>0</v>
      </c>
      <c r="L1867" s="4">
        <v>0</v>
      </c>
      <c r="M1867" s="4">
        <v>0</v>
      </c>
      <c r="N1867" s="4">
        <f>SUM(Table1[[#This Row],[2025]:[2018]])</f>
        <v>425</v>
      </c>
      <c r="O1867" s="2">
        <f>Table1[[#This Row],[ttl]]/SUM(Table1[ttl])</f>
        <v>8.5698231764572077E-7</v>
      </c>
      <c r="P1867" s="3">
        <f>SUM($O$2:Table1[[#This Row],[pctAllTimeExp]])</f>
        <v>0.99977760722076292</v>
      </c>
      <c r="Q1867" t="b">
        <f>Table1[[#This Row],[cumPctAllTimeExp]]&lt;0.95</f>
        <v>0</v>
      </c>
    </row>
    <row r="1868" spans="1:17" x14ac:dyDescent="0.25">
      <c r="A1868">
        <v>1566</v>
      </c>
      <c r="C1868" t="s">
        <v>2508</v>
      </c>
      <c r="E1868" t="s">
        <v>1568</v>
      </c>
      <c r="F1868" s="4">
        <v>0</v>
      </c>
      <c r="G1868" s="4">
        <v>0</v>
      </c>
      <c r="H1868" s="4">
        <v>0</v>
      </c>
      <c r="I1868" s="4">
        <v>0</v>
      </c>
      <c r="J1868" s="4">
        <v>225</v>
      </c>
      <c r="K1868" s="4">
        <v>200</v>
      </c>
      <c r="L1868" s="4">
        <v>0</v>
      </c>
      <c r="M1868" s="4">
        <v>0</v>
      </c>
      <c r="N1868" s="4">
        <f>SUM(Table1[[#This Row],[2025]:[2018]])</f>
        <v>425</v>
      </c>
      <c r="O1868" s="2">
        <f>Table1[[#This Row],[ttl]]/SUM(Table1[ttl])</f>
        <v>8.5698231764572077E-7</v>
      </c>
      <c r="P1868" s="3">
        <f>SUM($O$2:Table1[[#This Row],[pctAllTimeExp]])</f>
        <v>0.99977846420308059</v>
      </c>
      <c r="Q1868" t="b">
        <f>Table1[[#This Row],[cumPctAllTimeExp]]&lt;0.95</f>
        <v>0</v>
      </c>
    </row>
    <row r="1869" spans="1:17" x14ac:dyDescent="0.25">
      <c r="A1869">
        <v>2133</v>
      </c>
      <c r="C1869" t="s">
        <v>2508</v>
      </c>
      <c r="E1869" t="s">
        <v>2135</v>
      </c>
      <c r="F1869" s="4">
        <v>0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425</v>
      </c>
      <c r="M1869" s="4">
        <v>0</v>
      </c>
      <c r="N1869" s="4">
        <f>SUM(Table1[[#This Row],[2025]:[2018]])</f>
        <v>425</v>
      </c>
      <c r="O1869" s="2">
        <f>Table1[[#This Row],[ttl]]/SUM(Table1[ttl])</f>
        <v>8.5698231764572077E-7</v>
      </c>
      <c r="P1869" s="3">
        <f>SUM($O$2:Table1[[#This Row],[pctAllTimeExp]])</f>
        <v>0.99977932118539825</v>
      </c>
      <c r="Q1869" t="b">
        <f>Table1[[#This Row],[cumPctAllTimeExp]]&lt;0.95</f>
        <v>0</v>
      </c>
    </row>
    <row r="1870" spans="1:17" x14ac:dyDescent="0.25">
      <c r="A1870">
        <v>584</v>
      </c>
      <c r="C1870" t="s">
        <v>2508</v>
      </c>
      <c r="E1870" t="s">
        <v>586</v>
      </c>
      <c r="F1870" s="4">
        <v>420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4">
        <f>SUM(Table1[[#This Row],[2025]:[2018]])</f>
        <v>420</v>
      </c>
      <c r="O1870" s="2">
        <f>Table1[[#This Row],[ttl]]/SUM(Table1[ttl])</f>
        <v>8.4690017273224165E-7</v>
      </c>
      <c r="P1870" s="3">
        <f>SUM($O$2:Table1[[#This Row],[pctAllTimeExp]])</f>
        <v>0.99978016808557102</v>
      </c>
      <c r="Q1870" t="b">
        <f>Table1[[#This Row],[cumPctAllTimeExp]]&lt;0.95</f>
        <v>0</v>
      </c>
    </row>
    <row r="1871" spans="1:17" x14ac:dyDescent="0.25">
      <c r="A1871">
        <v>2187</v>
      </c>
      <c r="C1871" t="s">
        <v>2508</v>
      </c>
      <c r="E1871" t="s">
        <v>2189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>
        <v>157</v>
      </c>
      <c r="M1871" s="4">
        <v>258</v>
      </c>
      <c r="N1871" s="4">
        <f>SUM(Table1[[#This Row],[2025]:[2018]])</f>
        <v>415</v>
      </c>
      <c r="O1871" s="2">
        <f>Table1[[#This Row],[ttl]]/SUM(Table1[ttl])</f>
        <v>8.3681802781876263E-7</v>
      </c>
      <c r="P1871" s="3">
        <f>SUM($O$2:Table1[[#This Row],[pctAllTimeExp]])</f>
        <v>0.99978100490359889</v>
      </c>
      <c r="Q1871" t="b">
        <f>Table1[[#This Row],[cumPctAllTimeExp]]&lt;0.95</f>
        <v>0</v>
      </c>
    </row>
    <row r="1872" spans="1:17" x14ac:dyDescent="0.25">
      <c r="A1872">
        <v>2224</v>
      </c>
      <c r="C1872" t="s">
        <v>2508</v>
      </c>
      <c r="E1872" t="s">
        <v>2226</v>
      </c>
      <c r="F1872" s="4">
        <v>0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40.25</v>
      </c>
      <c r="M1872" s="4">
        <v>373.09</v>
      </c>
      <c r="N1872" s="4">
        <f>SUM(Table1[[#This Row],[2025]:[2018]])</f>
        <v>413.34</v>
      </c>
      <c r="O1872" s="2">
        <f>Table1[[#This Row],[ttl]]/SUM(Table1[ttl])</f>
        <v>8.334707557074875E-7</v>
      </c>
      <c r="P1872" s="3">
        <f>SUM($O$2:Table1[[#This Row],[pctAllTimeExp]])</f>
        <v>0.99978183837435464</v>
      </c>
      <c r="Q1872" t="b">
        <f>Table1[[#This Row],[cumPctAllTimeExp]]&lt;0.95</f>
        <v>0</v>
      </c>
    </row>
    <row r="1873" spans="1:17" x14ac:dyDescent="0.25">
      <c r="A1873">
        <v>1388</v>
      </c>
      <c r="C1873" t="s">
        <v>2508</v>
      </c>
      <c r="E1873" t="s">
        <v>1390</v>
      </c>
      <c r="F1873" s="4">
        <v>0</v>
      </c>
      <c r="G1873" s="4">
        <v>0</v>
      </c>
      <c r="H1873" s="4">
        <v>0</v>
      </c>
      <c r="I1873" s="4">
        <v>66.73</v>
      </c>
      <c r="J1873" s="4">
        <v>0</v>
      </c>
      <c r="K1873" s="4">
        <v>0</v>
      </c>
      <c r="L1873" s="4">
        <v>344.81</v>
      </c>
      <c r="M1873" s="4">
        <v>0</v>
      </c>
      <c r="N1873" s="4">
        <f>SUM(Table1[[#This Row],[2025]:[2018]])</f>
        <v>411.54</v>
      </c>
      <c r="O1873" s="2">
        <f>Table1[[#This Row],[ttl]]/SUM(Table1[ttl])</f>
        <v>8.2984118353863511E-7</v>
      </c>
      <c r="P1873" s="3">
        <f>SUM($O$2:Table1[[#This Row],[pctAllTimeExp]])</f>
        <v>0.99978266821553818</v>
      </c>
      <c r="Q1873" t="b">
        <f>Table1[[#This Row],[cumPctAllTimeExp]]&lt;0.95</f>
        <v>0</v>
      </c>
    </row>
    <row r="1874" spans="1:17" x14ac:dyDescent="0.25">
      <c r="A1874">
        <v>1525</v>
      </c>
      <c r="C1874" t="s">
        <v>2508</v>
      </c>
      <c r="E1874" t="s">
        <v>1527</v>
      </c>
      <c r="F1874" s="4">
        <v>0</v>
      </c>
      <c r="G1874" s="4">
        <v>0</v>
      </c>
      <c r="H1874" s="4">
        <v>0</v>
      </c>
      <c r="I1874" s="4">
        <v>0</v>
      </c>
      <c r="J1874" s="4">
        <v>409.5</v>
      </c>
      <c r="K1874" s="4">
        <v>0</v>
      </c>
      <c r="L1874" s="4">
        <v>0</v>
      </c>
      <c r="M1874" s="4">
        <v>0</v>
      </c>
      <c r="N1874" s="4">
        <f>SUM(Table1[[#This Row],[2025]:[2018]])</f>
        <v>409.5</v>
      </c>
      <c r="O1874" s="2">
        <f>Table1[[#This Row],[ttl]]/SUM(Table1[ttl])</f>
        <v>8.2572766841393566E-7</v>
      </c>
      <c r="P1874" s="3">
        <f>SUM($O$2:Table1[[#This Row],[pctAllTimeExp]])</f>
        <v>0.99978349394320665</v>
      </c>
      <c r="Q1874" t="b">
        <f>Table1[[#This Row],[cumPctAllTimeExp]]&lt;0.95</f>
        <v>0</v>
      </c>
    </row>
    <row r="1875" spans="1:17" x14ac:dyDescent="0.25">
      <c r="A1875">
        <v>629</v>
      </c>
      <c r="C1875" t="s">
        <v>2508</v>
      </c>
      <c r="E1875" t="s">
        <v>631</v>
      </c>
      <c r="F1875" s="4">
        <v>200</v>
      </c>
      <c r="G1875" s="4">
        <v>0</v>
      </c>
      <c r="H1875" s="4">
        <v>208.2</v>
      </c>
      <c r="I1875" s="4">
        <v>0</v>
      </c>
      <c r="J1875" s="4">
        <v>0</v>
      </c>
      <c r="K1875" s="4">
        <v>0</v>
      </c>
      <c r="L1875" s="4">
        <v>0</v>
      </c>
      <c r="M1875" s="4">
        <v>0</v>
      </c>
      <c r="N1875" s="4">
        <f>SUM(Table1[[#This Row],[2025]:[2018]])</f>
        <v>408.2</v>
      </c>
      <c r="O1875" s="2">
        <f>Table1[[#This Row],[ttl]]/SUM(Table1[ttl])</f>
        <v>8.2310631073643101E-7</v>
      </c>
      <c r="P1875" s="3">
        <f>SUM($O$2:Table1[[#This Row],[pctAllTimeExp]])</f>
        <v>0.99978431704951742</v>
      </c>
      <c r="Q1875" t="b">
        <f>Table1[[#This Row],[cumPctAllTimeExp]]&lt;0.95</f>
        <v>0</v>
      </c>
    </row>
    <row r="1876" spans="1:17" x14ac:dyDescent="0.25">
      <c r="A1876">
        <v>2389</v>
      </c>
      <c r="C1876" t="s">
        <v>2508</v>
      </c>
      <c r="E1876" t="s">
        <v>2391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>
        <v>0</v>
      </c>
      <c r="M1876" s="4">
        <v>405</v>
      </c>
      <c r="N1876" s="4">
        <f>SUM(Table1[[#This Row],[2025]:[2018]])</f>
        <v>405</v>
      </c>
      <c r="O1876" s="2">
        <f>Table1[[#This Row],[ttl]]/SUM(Table1[ttl])</f>
        <v>8.1665373799180448E-7</v>
      </c>
      <c r="P1876" s="3">
        <f>SUM($O$2:Table1[[#This Row],[pctAllTimeExp]])</f>
        <v>0.99978513370325539</v>
      </c>
      <c r="Q1876" t="b">
        <f>Table1[[#This Row],[cumPctAllTimeExp]]&lt;0.95</f>
        <v>0</v>
      </c>
    </row>
    <row r="1877" spans="1:17" x14ac:dyDescent="0.25">
      <c r="A1877">
        <v>588</v>
      </c>
      <c r="C1877" t="s">
        <v>2508</v>
      </c>
      <c r="E1877" t="s">
        <v>590</v>
      </c>
      <c r="F1877" s="4">
        <v>400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f>SUM(Table1[[#This Row],[2025]:[2018]])</f>
        <v>400</v>
      </c>
      <c r="O1877" s="2">
        <f>Table1[[#This Row],[ttl]]/SUM(Table1[ttl])</f>
        <v>8.0657159307832536E-7</v>
      </c>
      <c r="P1877" s="3">
        <f>SUM($O$2:Table1[[#This Row],[pctAllTimeExp]])</f>
        <v>0.99978594027484846</v>
      </c>
      <c r="Q1877" t="b">
        <f>Table1[[#This Row],[cumPctAllTimeExp]]&lt;0.95</f>
        <v>0</v>
      </c>
    </row>
    <row r="1878" spans="1:17" x14ac:dyDescent="0.25">
      <c r="A1878">
        <v>589</v>
      </c>
      <c r="C1878" t="s">
        <v>2508</v>
      </c>
      <c r="E1878" t="s">
        <v>591</v>
      </c>
      <c r="F1878" s="4">
        <v>400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f>SUM(Table1[[#This Row],[2025]:[2018]])</f>
        <v>400</v>
      </c>
      <c r="O1878" s="2">
        <f>Table1[[#This Row],[ttl]]/SUM(Table1[ttl])</f>
        <v>8.0657159307832536E-7</v>
      </c>
      <c r="P1878" s="3">
        <f>SUM($O$2:Table1[[#This Row],[pctAllTimeExp]])</f>
        <v>0.99978674684644153</v>
      </c>
      <c r="Q1878" t="b">
        <f>Table1[[#This Row],[cumPctAllTimeExp]]&lt;0.95</f>
        <v>0</v>
      </c>
    </row>
    <row r="1879" spans="1:17" x14ac:dyDescent="0.25">
      <c r="A1879">
        <v>590</v>
      </c>
      <c r="C1879" t="s">
        <v>2508</v>
      </c>
      <c r="E1879" t="s">
        <v>592</v>
      </c>
      <c r="F1879" s="4">
        <v>400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f>SUM(Table1[[#This Row],[2025]:[2018]])</f>
        <v>400</v>
      </c>
      <c r="O1879" s="2">
        <f>Table1[[#This Row],[ttl]]/SUM(Table1[ttl])</f>
        <v>8.0657159307832536E-7</v>
      </c>
      <c r="P1879" s="3">
        <f>SUM($O$2:Table1[[#This Row],[pctAllTimeExp]])</f>
        <v>0.9997875534180346</v>
      </c>
      <c r="Q1879" t="b">
        <f>Table1[[#This Row],[cumPctAllTimeExp]]&lt;0.95</f>
        <v>0</v>
      </c>
    </row>
    <row r="1880" spans="1:17" x14ac:dyDescent="0.25">
      <c r="A1880">
        <v>591</v>
      </c>
      <c r="C1880" t="s">
        <v>2508</v>
      </c>
      <c r="E1880" t="s">
        <v>593</v>
      </c>
      <c r="F1880" s="4">
        <v>400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f>SUM(Table1[[#This Row],[2025]:[2018]])</f>
        <v>400</v>
      </c>
      <c r="O1880" s="2">
        <f>Table1[[#This Row],[ttl]]/SUM(Table1[ttl])</f>
        <v>8.0657159307832536E-7</v>
      </c>
      <c r="P1880" s="3">
        <f>SUM($O$2:Table1[[#This Row],[pctAllTimeExp]])</f>
        <v>0.99978835998962767</v>
      </c>
      <c r="Q1880" t="b">
        <f>Table1[[#This Row],[cumPctAllTimeExp]]&lt;0.95</f>
        <v>0</v>
      </c>
    </row>
    <row r="1881" spans="1:17" x14ac:dyDescent="0.25">
      <c r="A1881">
        <v>592</v>
      </c>
      <c r="C1881" t="s">
        <v>2508</v>
      </c>
      <c r="E1881" t="s">
        <v>594</v>
      </c>
      <c r="F1881" s="4">
        <v>400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>
        <v>0</v>
      </c>
      <c r="M1881" s="4">
        <v>0</v>
      </c>
      <c r="N1881" s="4">
        <f>SUM(Table1[[#This Row],[2025]:[2018]])</f>
        <v>400</v>
      </c>
      <c r="O1881" s="2">
        <f>Table1[[#This Row],[ttl]]/SUM(Table1[ttl])</f>
        <v>8.0657159307832536E-7</v>
      </c>
      <c r="P1881" s="3">
        <f>SUM($O$2:Table1[[#This Row],[pctAllTimeExp]])</f>
        <v>0.99978916656122074</v>
      </c>
      <c r="Q1881" t="b">
        <f>Table1[[#This Row],[cumPctAllTimeExp]]&lt;0.95</f>
        <v>0</v>
      </c>
    </row>
    <row r="1882" spans="1:17" x14ac:dyDescent="0.25">
      <c r="A1882">
        <v>596</v>
      </c>
      <c r="C1882" t="s">
        <v>2508</v>
      </c>
      <c r="E1882" t="s">
        <v>598</v>
      </c>
      <c r="F1882" s="4">
        <v>400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>
        <v>0</v>
      </c>
      <c r="M1882" s="4">
        <v>0</v>
      </c>
      <c r="N1882" s="4">
        <f>SUM(Table1[[#This Row],[2025]:[2018]])</f>
        <v>400</v>
      </c>
      <c r="O1882" s="2">
        <f>Table1[[#This Row],[ttl]]/SUM(Table1[ttl])</f>
        <v>8.0657159307832536E-7</v>
      </c>
      <c r="P1882" s="3">
        <f>SUM($O$2:Table1[[#This Row],[pctAllTimeExp]])</f>
        <v>0.99978997313281381</v>
      </c>
      <c r="Q1882" t="b">
        <f>Table1[[#This Row],[cumPctAllTimeExp]]&lt;0.95</f>
        <v>0</v>
      </c>
    </row>
    <row r="1883" spans="1:17" x14ac:dyDescent="0.25">
      <c r="A1883">
        <v>666</v>
      </c>
      <c r="C1883" t="s">
        <v>2508</v>
      </c>
      <c r="E1883" t="s">
        <v>668</v>
      </c>
      <c r="F1883" s="4">
        <v>100</v>
      </c>
      <c r="G1883" s="4">
        <v>100</v>
      </c>
      <c r="H1883" s="4">
        <v>100</v>
      </c>
      <c r="I1883" s="4">
        <v>100</v>
      </c>
      <c r="J1883" s="4">
        <v>0</v>
      </c>
      <c r="K1883" s="4">
        <v>0</v>
      </c>
      <c r="L1883" s="4">
        <v>0</v>
      </c>
      <c r="M1883" s="4">
        <v>0</v>
      </c>
      <c r="N1883" s="4">
        <f>SUM(Table1[[#This Row],[2025]:[2018]])</f>
        <v>400</v>
      </c>
      <c r="O1883" s="2">
        <f>Table1[[#This Row],[ttl]]/SUM(Table1[ttl])</f>
        <v>8.0657159307832536E-7</v>
      </c>
      <c r="P1883" s="3">
        <f>SUM($O$2:Table1[[#This Row],[pctAllTimeExp]])</f>
        <v>0.99979077970440688</v>
      </c>
      <c r="Q1883" t="b">
        <f>Table1[[#This Row],[cumPctAllTimeExp]]&lt;0.95</f>
        <v>0</v>
      </c>
    </row>
    <row r="1884" spans="1:17" x14ac:dyDescent="0.25">
      <c r="A1884">
        <v>668</v>
      </c>
      <c r="C1884" t="s">
        <v>2508</v>
      </c>
      <c r="E1884" t="s">
        <v>670</v>
      </c>
      <c r="F1884" s="4">
        <v>100</v>
      </c>
      <c r="G1884" s="4">
        <v>300</v>
      </c>
      <c r="H1884" s="4">
        <v>0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f>SUM(Table1[[#This Row],[2025]:[2018]])</f>
        <v>400</v>
      </c>
      <c r="O1884" s="2">
        <f>Table1[[#This Row],[ttl]]/SUM(Table1[ttl])</f>
        <v>8.0657159307832536E-7</v>
      </c>
      <c r="P1884" s="3">
        <f>SUM($O$2:Table1[[#This Row],[pctAllTimeExp]])</f>
        <v>0.99979158627599996</v>
      </c>
      <c r="Q1884" t="b">
        <f>Table1[[#This Row],[cumPctAllTimeExp]]&lt;0.95</f>
        <v>0</v>
      </c>
    </row>
    <row r="1885" spans="1:17" x14ac:dyDescent="0.25">
      <c r="A1885">
        <v>1129</v>
      </c>
      <c r="C1885" t="s">
        <v>2508</v>
      </c>
      <c r="E1885" t="s">
        <v>1131</v>
      </c>
      <c r="F1885" s="4">
        <v>0</v>
      </c>
      <c r="G1885" s="4">
        <v>0</v>
      </c>
      <c r="H1885" s="4">
        <v>400</v>
      </c>
      <c r="I1885" s="4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f>SUM(Table1[[#This Row],[2025]:[2018]])</f>
        <v>400</v>
      </c>
      <c r="O1885" s="2">
        <f>Table1[[#This Row],[ttl]]/SUM(Table1[ttl])</f>
        <v>8.0657159307832536E-7</v>
      </c>
      <c r="P1885" s="3">
        <f>SUM($O$2:Table1[[#This Row],[pctAllTimeExp]])</f>
        <v>0.99979239284759303</v>
      </c>
      <c r="Q1885" t="b">
        <f>Table1[[#This Row],[cumPctAllTimeExp]]&lt;0.95</f>
        <v>0</v>
      </c>
    </row>
    <row r="1886" spans="1:17" x14ac:dyDescent="0.25">
      <c r="A1886">
        <v>1132</v>
      </c>
      <c r="C1886" t="s">
        <v>2508</v>
      </c>
      <c r="E1886" t="s">
        <v>1134</v>
      </c>
      <c r="F1886" s="4">
        <v>0</v>
      </c>
      <c r="G1886" s="4">
        <v>0</v>
      </c>
      <c r="H1886" s="4">
        <v>400</v>
      </c>
      <c r="I1886" s="4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f>SUM(Table1[[#This Row],[2025]:[2018]])</f>
        <v>400</v>
      </c>
      <c r="O1886" s="2">
        <f>Table1[[#This Row],[ttl]]/SUM(Table1[ttl])</f>
        <v>8.0657159307832536E-7</v>
      </c>
      <c r="P1886" s="3">
        <f>SUM($O$2:Table1[[#This Row],[pctAllTimeExp]])</f>
        <v>0.9997931994191861</v>
      </c>
      <c r="Q1886" t="b">
        <f>Table1[[#This Row],[cumPctAllTimeExp]]&lt;0.95</f>
        <v>0</v>
      </c>
    </row>
    <row r="1887" spans="1:17" x14ac:dyDescent="0.25">
      <c r="A1887">
        <v>1526</v>
      </c>
      <c r="C1887" t="s">
        <v>2508</v>
      </c>
      <c r="E1887" t="s">
        <v>1528</v>
      </c>
      <c r="F1887" s="4">
        <v>0</v>
      </c>
      <c r="G1887" s="4">
        <v>0</v>
      </c>
      <c r="H1887" s="4">
        <v>0</v>
      </c>
      <c r="I1887" s="4">
        <v>0</v>
      </c>
      <c r="J1887" s="4">
        <v>400</v>
      </c>
      <c r="K1887" s="4">
        <v>0</v>
      </c>
      <c r="L1887" s="4">
        <v>0</v>
      </c>
      <c r="M1887" s="4">
        <v>0</v>
      </c>
      <c r="N1887" s="4">
        <f>SUM(Table1[[#This Row],[2025]:[2018]])</f>
        <v>400</v>
      </c>
      <c r="O1887" s="2">
        <f>Table1[[#This Row],[ttl]]/SUM(Table1[ttl])</f>
        <v>8.0657159307832536E-7</v>
      </c>
      <c r="P1887" s="3">
        <f>SUM($O$2:Table1[[#This Row],[pctAllTimeExp]])</f>
        <v>0.99979400599077917</v>
      </c>
      <c r="Q1887" t="b">
        <f>Table1[[#This Row],[cumPctAllTimeExp]]&lt;0.95</f>
        <v>0</v>
      </c>
    </row>
    <row r="1888" spans="1:17" x14ac:dyDescent="0.25">
      <c r="A1888">
        <v>1527</v>
      </c>
      <c r="C1888" t="s">
        <v>2508</v>
      </c>
      <c r="E1888" t="s">
        <v>1529</v>
      </c>
      <c r="F1888" s="4">
        <v>0</v>
      </c>
      <c r="G1888" s="4">
        <v>0</v>
      </c>
      <c r="H1888" s="4">
        <v>0</v>
      </c>
      <c r="I1888" s="4">
        <v>0</v>
      </c>
      <c r="J1888" s="4">
        <v>400</v>
      </c>
      <c r="K1888" s="4">
        <v>0</v>
      </c>
      <c r="L1888" s="4">
        <v>0</v>
      </c>
      <c r="M1888" s="4">
        <v>0</v>
      </c>
      <c r="N1888" s="4">
        <f>SUM(Table1[[#This Row],[2025]:[2018]])</f>
        <v>400</v>
      </c>
      <c r="O1888" s="2">
        <f>Table1[[#This Row],[ttl]]/SUM(Table1[ttl])</f>
        <v>8.0657159307832536E-7</v>
      </c>
      <c r="P1888" s="3">
        <f>SUM($O$2:Table1[[#This Row],[pctAllTimeExp]])</f>
        <v>0.99979481256237224</v>
      </c>
      <c r="Q1888" t="b">
        <f>Table1[[#This Row],[cumPctAllTimeExp]]&lt;0.95</f>
        <v>0</v>
      </c>
    </row>
    <row r="1889" spans="1:17" x14ac:dyDescent="0.25">
      <c r="A1889">
        <v>1528</v>
      </c>
      <c r="C1889" t="s">
        <v>2508</v>
      </c>
      <c r="E1889" t="s">
        <v>1530</v>
      </c>
      <c r="F1889" s="4">
        <v>0</v>
      </c>
      <c r="G1889" s="4">
        <v>0</v>
      </c>
      <c r="H1889" s="4">
        <v>0</v>
      </c>
      <c r="I1889" s="4">
        <v>0</v>
      </c>
      <c r="J1889" s="4">
        <v>400</v>
      </c>
      <c r="K1889" s="4">
        <v>0</v>
      </c>
      <c r="L1889" s="4">
        <v>0</v>
      </c>
      <c r="M1889" s="4">
        <v>0</v>
      </c>
      <c r="N1889" s="4">
        <f>SUM(Table1[[#This Row],[2025]:[2018]])</f>
        <v>400</v>
      </c>
      <c r="O1889" s="2">
        <f>Table1[[#This Row],[ttl]]/SUM(Table1[ttl])</f>
        <v>8.0657159307832536E-7</v>
      </c>
      <c r="P1889" s="3">
        <f>SUM($O$2:Table1[[#This Row],[pctAllTimeExp]])</f>
        <v>0.99979561913396531</v>
      </c>
      <c r="Q1889" t="b">
        <f>Table1[[#This Row],[cumPctAllTimeExp]]&lt;0.95</f>
        <v>0</v>
      </c>
    </row>
    <row r="1890" spans="1:17" x14ac:dyDescent="0.25">
      <c r="A1890">
        <v>1529</v>
      </c>
      <c r="C1890" t="s">
        <v>2508</v>
      </c>
      <c r="E1890" t="s">
        <v>1531</v>
      </c>
      <c r="F1890" s="4">
        <v>0</v>
      </c>
      <c r="G1890" s="4">
        <v>0</v>
      </c>
      <c r="H1890" s="4">
        <v>0</v>
      </c>
      <c r="I1890" s="4">
        <v>0</v>
      </c>
      <c r="J1890" s="4">
        <v>400</v>
      </c>
      <c r="K1890" s="4">
        <v>0</v>
      </c>
      <c r="L1890" s="4">
        <v>0</v>
      </c>
      <c r="M1890" s="4">
        <v>0</v>
      </c>
      <c r="N1890" s="4">
        <f>SUM(Table1[[#This Row],[2025]:[2018]])</f>
        <v>400</v>
      </c>
      <c r="O1890" s="2">
        <f>Table1[[#This Row],[ttl]]/SUM(Table1[ttl])</f>
        <v>8.0657159307832536E-7</v>
      </c>
      <c r="P1890" s="3">
        <f>SUM($O$2:Table1[[#This Row],[pctAllTimeExp]])</f>
        <v>0.99979642570555838</v>
      </c>
      <c r="Q1890" t="b">
        <f>Table1[[#This Row],[cumPctAllTimeExp]]&lt;0.95</f>
        <v>0</v>
      </c>
    </row>
    <row r="1891" spans="1:17" x14ac:dyDescent="0.25">
      <c r="A1891">
        <v>1581</v>
      </c>
      <c r="C1891" t="s">
        <v>2508</v>
      </c>
      <c r="E1891" t="s">
        <v>1583</v>
      </c>
      <c r="F1891" s="4">
        <v>0</v>
      </c>
      <c r="G1891" s="4">
        <v>0</v>
      </c>
      <c r="H1891" s="4">
        <v>0</v>
      </c>
      <c r="I1891" s="4">
        <v>0</v>
      </c>
      <c r="J1891" s="4">
        <v>200</v>
      </c>
      <c r="K1891" s="4">
        <v>200</v>
      </c>
      <c r="L1891" s="4">
        <v>0</v>
      </c>
      <c r="M1891" s="4">
        <v>0</v>
      </c>
      <c r="N1891" s="4">
        <f>SUM(Table1[[#This Row],[2025]:[2018]])</f>
        <v>400</v>
      </c>
      <c r="O1891" s="2">
        <f>Table1[[#This Row],[ttl]]/SUM(Table1[ttl])</f>
        <v>8.0657159307832536E-7</v>
      </c>
      <c r="P1891" s="3">
        <f>SUM($O$2:Table1[[#This Row],[pctAllTimeExp]])</f>
        <v>0.99979723227715145</v>
      </c>
      <c r="Q1891" t="b">
        <f>Table1[[#This Row],[cumPctAllTimeExp]]&lt;0.95</f>
        <v>0</v>
      </c>
    </row>
    <row r="1892" spans="1:17" x14ac:dyDescent="0.25">
      <c r="A1892">
        <v>1820</v>
      </c>
      <c r="C1892" t="s">
        <v>2508</v>
      </c>
      <c r="E1892" t="s">
        <v>1822</v>
      </c>
      <c r="F1892" s="4">
        <v>0</v>
      </c>
      <c r="G1892" s="4">
        <v>0</v>
      </c>
      <c r="H1892" s="4">
        <v>0</v>
      </c>
      <c r="I1892" s="4">
        <v>0</v>
      </c>
      <c r="J1892" s="4">
        <v>0</v>
      </c>
      <c r="K1892" s="4">
        <v>400</v>
      </c>
      <c r="L1892" s="4">
        <v>0</v>
      </c>
      <c r="M1892" s="4">
        <v>0</v>
      </c>
      <c r="N1892" s="4">
        <f>SUM(Table1[[#This Row],[2025]:[2018]])</f>
        <v>400</v>
      </c>
      <c r="O1892" s="2">
        <f>Table1[[#This Row],[ttl]]/SUM(Table1[ttl])</f>
        <v>8.0657159307832536E-7</v>
      </c>
      <c r="P1892" s="3">
        <f>SUM($O$2:Table1[[#This Row],[pctAllTimeExp]])</f>
        <v>0.99979803884874452</v>
      </c>
      <c r="Q1892" t="b">
        <f>Table1[[#This Row],[cumPctAllTimeExp]]&lt;0.95</f>
        <v>0</v>
      </c>
    </row>
    <row r="1893" spans="1:17" x14ac:dyDescent="0.25">
      <c r="A1893">
        <v>1821</v>
      </c>
      <c r="C1893" t="s">
        <v>2508</v>
      </c>
      <c r="E1893" t="s">
        <v>1823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400</v>
      </c>
      <c r="L1893" s="4">
        <v>0</v>
      </c>
      <c r="M1893" s="4">
        <v>0</v>
      </c>
      <c r="N1893" s="4">
        <f>SUM(Table1[[#This Row],[2025]:[2018]])</f>
        <v>400</v>
      </c>
      <c r="O1893" s="2">
        <f>Table1[[#This Row],[ttl]]/SUM(Table1[ttl])</f>
        <v>8.0657159307832536E-7</v>
      </c>
      <c r="P1893" s="3">
        <f>SUM($O$2:Table1[[#This Row],[pctAllTimeExp]])</f>
        <v>0.99979884542033759</v>
      </c>
      <c r="Q1893" t="b">
        <f>Table1[[#This Row],[cumPctAllTimeExp]]&lt;0.95</f>
        <v>0</v>
      </c>
    </row>
    <row r="1894" spans="1:17" x14ac:dyDescent="0.25">
      <c r="A1894">
        <v>1823</v>
      </c>
      <c r="C1894" t="s">
        <v>2508</v>
      </c>
      <c r="E1894" t="s">
        <v>1825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400</v>
      </c>
      <c r="L1894" s="4">
        <v>0</v>
      </c>
      <c r="M1894" s="4">
        <v>0</v>
      </c>
      <c r="N1894" s="4">
        <f>SUM(Table1[[#This Row],[2025]:[2018]])</f>
        <v>400</v>
      </c>
      <c r="O1894" s="2">
        <f>Table1[[#This Row],[ttl]]/SUM(Table1[ttl])</f>
        <v>8.0657159307832536E-7</v>
      </c>
      <c r="P1894" s="3">
        <f>SUM($O$2:Table1[[#This Row],[pctAllTimeExp]])</f>
        <v>0.99979965199193066</v>
      </c>
      <c r="Q1894" t="b">
        <f>Table1[[#This Row],[cumPctAllTimeExp]]&lt;0.95</f>
        <v>0</v>
      </c>
    </row>
    <row r="1895" spans="1:17" x14ac:dyDescent="0.25">
      <c r="A1895">
        <v>1825</v>
      </c>
      <c r="C1895" t="s">
        <v>2508</v>
      </c>
      <c r="E1895" t="s">
        <v>1827</v>
      </c>
      <c r="F1895" s="4">
        <v>0</v>
      </c>
      <c r="G1895" s="4">
        <v>0</v>
      </c>
      <c r="H1895" s="4">
        <v>0</v>
      </c>
      <c r="I1895" s="4">
        <v>0</v>
      </c>
      <c r="J1895" s="4">
        <v>0</v>
      </c>
      <c r="K1895" s="4">
        <v>400</v>
      </c>
      <c r="L1895" s="4">
        <v>0</v>
      </c>
      <c r="M1895" s="4">
        <v>0</v>
      </c>
      <c r="N1895" s="4">
        <f>SUM(Table1[[#This Row],[2025]:[2018]])</f>
        <v>400</v>
      </c>
      <c r="O1895" s="2">
        <f>Table1[[#This Row],[ttl]]/SUM(Table1[ttl])</f>
        <v>8.0657159307832536E-7</v>
      </c>
      <c r="P1895" s="3">
        <f>SUM($O$2:Table1[[#This Row],[pctAllTimeExp]])</f>
        <v>0.99980045856352373</v>
      </c>
      <c r="Q1895" t="b">
        <f>Table1[[#This Row],[cumPctAllTimeExp]]&lt;0.95</f>
        <v>0</v>
      </c>
    </row>
    <row r="1896" spans="1:17" x14ac:dyDescent="0.25">
      <c r="A1896">
        <v>2136</v>
      </c>
      <c r="C1896" t="s">
        <v>2508</v>
      </c>
      <c r="E1896" t="s">
        <v>2138</v>
      </c>
      <c r="F1896" s="4">
        <v>0</v>
      </c>
      <c r="G1896" s="4">
        <v>0</v>
      </c>
      <c r="H1896" s="4">
        <v>0</v>
      </c>
      <c r="I1896" s="4">
        <v>0</v>
      </c>
      <c r="J1896" s="4">
        <v>0</v>
      </c>
      <c r="K1896" s="4">
        <v>0</v>
      </c>
      <c r="L1896" s="4">
        <v>400</v>
      </c>
      <c r="M1896" s="4">
        <v>0</v>
      </c>
      <c r="N1896" s="4">
        <f>SUM(Table1[[#This Row],[2025]:[2018]])</f>
        <v>400</v>
      </c>
      <c r="O1896" s="2">
        <f>Table1[[#This Row],[ttl]]/SUM(Table1[ttl])</f>
        <v>8.0657159307832536E-7</v>
      </c>
      <c r="P1896" s="3">
        <f>SUM($O$2:Table1[[#This Row],[pctAllTimeExp]])</f>
        <v>0.9998012651351168</v>
      </c>
      <c r="Q1896" t="b">
        <f>Table1[[#This Row],[cumPctAllTimeExp]]&lt;0.95</f>
        <v>0</v>
      </c>
    </row>
    <row r="1897" spans="1:17" x14ac:dyDescent="0.25">
      <c r="A1897">
        <v>2137</v>
      </c>
      <c r="C1897" t="s">
        <v>2508</v>
      </c>
      <c r="E1897" t="s">
        <v>2139</v>
      </c>
      <c r="F1897" s="4">
        <v>0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  <c r="L1897" s="4">
        <v>400</v>
      </c>
      <c r="M1897" s="4">
        <v>0</v>
      </c>
      <c r="N1897" s="4">
        <f>SUM(Table1[[#This Row],[2025]:[2018]])</f>
        <v>400</v>
      </c>
      <c r="O1897" s="2">
        <f>Table1[[#This Row],[ttl]]/SUM(Table1[ttl])</f>
        <v>8.0657159307832536E-7</v>
      </c>
      <c r="P1897" s="3">
        <f>SUM($O$2:Table1[[#This Row],[pctAllTimeExp]])</f>
        <v>0.99980207170670987</v>
      </c>
      <c r="Q1897" t="b">
        <f>Table1[[#This Row],[cumPctAllTimeExp]]&lt;0.95</f>
        <v>0</v>
      </c>
    </row>
    <row r="1898" spans="1:17" x14ac:dyDescent="0.25">
      <c r="A1898">
        <v>2390</v>
      </c>
      <c r="C1898" t="s">
        <v>2508</v>
      </c>
      <c r="E1898" t="s">
        <v>2392</v>
      </c>
      <c r="F1898" s="4">
        <v>0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>
        <v>0</v>
      </c>
      <c r="M1898" s="4">
        <v>400</v>
      </c>
      <c r="N1898" s="4">
        <f>SUM(Table1[[#This Row],[2025]:[2018]])</f>
        <v>400</v>
      </c>
      <c r="O1898" s="2">
        <f>Table1[[#This Row],[ttl]]/SUM(Table1[ttl])</f>
        <v>8.0657159307832536E-7</v>
      </c>
      <c r="P1898" s="3">
        <f>SUM($O$2:Table1[[#This Row],[pctAllTimeExp]])</f>
        <v>0.99980287827830294</v>
      </c>
      <c r="Q1898" t="b">
        <f>Table1[[#This Row],[cumPctAllTimeExp]]&lt;0.95</f>
        <v>0</v>
      </c>
    </row>
    <row r="1899" spans="1:17" x14ac:dyDescent="0.25">
      <c r="A1899">
        <v>1133</v>
      </c>
      <c r="C1899" t="s">
        <v>2508</v>
      </c>
      <c r="E1899" t="s">
        <v>1135</v>
      </c>
      <c r="F1899" s="4">
        <v>0</v>
      </c>
      <c r="G1899" s="4">
        <v>0</v>
      </c>
      <c r="H1899" s="4">
        <v>398.22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f>SUM(Table1[[#This Row],[2025]:[2018]])</f>
        <v>398.22</v>
      </c>
      <c r="O1899" s="2">
        <f>Table1[[#This Row],[ttl]]/SUM(Table1[ttl])</f>
        <v>8.0298234948912691E-7</v>
      </c>
      <c r="P1899" s="3">
        <f>SUM($O$2:Table1[[#This Row],[pctAllTimeExp]])</f>
        <v>0.99980368126065244</v>
      </c>
      <c r="Q1899" t="b">
        <f>Table1[[#This Row],[cumPctAllTimeExp]]&lt;0.95</f>
        <v>0</v>
      </c>
    </row>
    <row r="1900" spans="1:17" x14ac:dyDescent="0.25">
      <c r="A1900">
        <v>2194</v>
      </c>
      <c r="C1900" t="s">
        <v>2508</v>
      </c>
      <c r="E1900" t="s">
        <v>2196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>
        <v>149</v>
      </c>
      <c r="M1900" s="4">
        <v>249</v>
      </c>
      <c r="N1900" s="4">
        <f>SUM(Table1[[#This Row],[2025]:[2018]])</f>
        <v>398</v>
      </c>
      <c r="O1900" s="2">
        <f>Table1[[#This Row],[ttl]]/SUM(Table1[ttl])</f>
        <v>8.0253873511293379E-7</v>
      </c>
      <c r="P1900" s="3">
        <f>SUM($O$2:Table1[[#This Row],[pctAllTimeExp]])</f>
        <v>0.99980448379938758</v>
      </c>
      <c r="Q1900" t="b">
        <f>Table1[[#This Row],[cumPctAllTimeExp]]&lt;0.95</f>
        <v>0</v>
      </c>
    </row>
    <row r="1901" spans="1:17" x14ac:dyDescent="0.25">
      <c r="A1901">
        <v>2391</v>
      </c>
      <c r="C1901" t="s">
        <v>2508</v>
      </c>
      <c r="E1901" t="s">
        <v>2393</v>
      </c>
      <c r="F1901" s="4">
        <v>0</v>
      </c>
      <c r="G1901" s="4">
        <v>0</v>
      </c>
      <c r="H1901" s="4">
        <v>0</v>
      </c>
      <c r="I1901" s="4">
        <v>0</v>
      </c>
      <c r="J1901" s="4">
        <v>0</v>
      </c>
      <c r="K1901" s="4">
        <v>0</v>
      </c>
      <c r="L1901" s="4">
        <v>0</v>
      </c>
      <c r="M1901" s="4">
        <v>390</v>
      </c>
      <c r="N1901" s="4">
        <f>SUM(Table1[[#This Row],[2025]:[2018]])</f>
        <v>390</v>
      </c>
      <c r="O1901" s="2">
        <f>Table1[[#This Row],[ttl]]/SUM(Table1[ttl])</f>
        <v>7.8640730325136721E-7</v>
      </c>
      <c r="P1901" s="3">
        <f>SUM($O$2:Table1[[#This Row],[pctAllTimeExp]])</f>
        <v>0.99980527020669085</v>
      </c>
      <c r="Q1901" t="b">
        <f>Table1[[#This Row],[cumPctAllTimeExp]]&lt;0.95</f>
        <v>0</v>
      </c>
    </row>
    <row r="1902" spans="1:17" x14ac:dyDescent="0.25">
      <c r="A1902">
        <v>2392</v>
      </c>
      <c r="C1902" t="s">
        <v>2508</v>
      </c>
      <c r="E1902" t="s">
        <v>2394</v>
      </c>
      <c r="F1902" s="4">
        <v>0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  <c r="M1902" s="4">
        <v>386.75</v>
      </c>
      <c r="N1902" s="4">
        <f>SUM(Table1[[#This Row],[2025]:[2018]])</f>
        <v>386.75</v>
      </c>
      <c r="O1902" s="2">
        <f>Table1[[#This Row],[ttl]]/SUM(Table1[ttl])</f>
        <v>7.7985390905760589E-7</v>
      </c>
      <c r="P1902" s="3">
        <f>SUM($O$2:Table1[[#This Row],[pctAllTimeExp]])</f>
        <v>0.99980605006059986</v>
      </c>
      <c r="Q1902" t="b">
        <f>Table1[[#This Row],[cumPctAllTimeExp]]&lt;0.95</f>
        <v>0</v>
      </c>
    </row>
    <row r="1903" spans="1:17" x14ac:dyDescent="0.25">
      <c r="A1903">
        <v>2139</v>
      </c>
      <c r="C1903" t="s">
        <v>2508</v>
      </c>
      <c r="E1903" t="s">
        <v>2141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4">
        <v>386.22</v>
      </c>
      <c r="M1903" s="4">
        <v>0</v>
      </c>
      <c r="N1903" s="4">
        <f>SUM(Table1[[#This Row],[2025]:[2018]])</f>
        <v>386.22</v>
      </c>
      <c r="O1903" s="2">
        <f>Table1[[#This Row],[ttl]]/SUM(Table1[ttl])</f>
        <v>7.7878520169677709E-7</v>
      </c>
      <c r="P1903" s="3">
        <f>SUM($O$2:Table1[[#This Row],[pctAllTimeExp]])</f>
        <v>0.99980682884580152</v>
      </c>
      <c r="Q1903" t="b">
        <f>Table1[[#This Row],[cumPctAllTimeExp]]&lt;0.95</f>
        <v>0</v>
      </c>
    </row>
    <row r="1904" spans="1:17" x14ac:dyDescent="0.25">
      <c r="A1904">
        <v>1827</v>
      </c>
      <c r="C1904" t="s">
        <v>2508</v>
      </c>
      <c r="E1904" t="s">
        <v>1829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381.25</v>
      </c>
      <c r="L1904" s="4">
        <v>0</v>
      </c>
      <c r="M1904" s="4">
        <v>0</v>
      </c>
      <c r="N1904" s="4">
        <f>SUM(Table1[[#This Row],[2025]:[2018]])</f>
        <v>381.25</v>
      </c>
      <c r="O1904" s="2">
        <f>Table1[[#This Row],[ttl]]/SUM(Table1[ttl])</f>
        <v>7.6876354965277893E-7</v>
      </c>
      <c r="P1904" s="3">
        <f>SUM($O$2:Table1[[#This Row],[pctAllTimeExp]])</f>
        <v>0.99980759760935123</v>
      </c>
      <c r="Q1904" t="b">
        <f>Table1[[#This Row],[cumPctAllTimeExp]]&lt;0.95</f>
        <v>0</v>
      </c>
    </row>
    <row r="1905" spans="1:17" x14ac:dyDescent="0.25">
      <c r="A1905">
        <v>1913</v>
      </c>
      <c r="C1905" t="s">
        <v>2508</v>
      </c>
      <c r="E1905" t="s">
        <v>1915</v>
      </c>
      <c r="F1905" s="4">
        <v>0</v>
      </c>
      <c r="G1905" s="4">
        <v>0</v>
      </c>
      <c r="H1905" s="4">
        <v>0</v>
      </c>
      <c r="I1905" s="4">
        <v>0</v>
      </c>
      <c r="J1905" s="4">
        <v>0</v>
      </c>
      <c r="K1905" s="4">
        <v>110</v>
      </c>
      <c r="L1905" s="4">
        <v>158.94999999999999</v>
      </c>
      <c r="M1905" s="4">
        <v>110</v>
      </c>
      <c r="N1905" s="4">
        <f>SUM(Table1[[#This Row],[2025]:[2018]])</f>
        <v>378.95</v>
      </c>
      <c r="O1905" s="2">
        <f>Table1[[#This Row],[ttl]]/SUM(Table1[ttl])</f>
        <v>7.6412576299257849E-7</v>
      </c>
      <c r="P1905" s="3">
        <f>SUM($O$2:Table1[[#This Row],[pctAllTimeExp]])</f>
        <v>0.99980836173511423</v>
      </c>
      <c r="Q1905" t="b">
        <f>Table1[[#This Row],[cumPctAllTimeExp]]&lt;0.95</f>
        <v>0</v>
      </c>
    </row>
    <row r="1906" spans="1:17" x14ac:dyDescent="0.25">
      <c r="A1906">
        <v>2141</v>
      </c>
      <c r="C1906" t="s">
        <v>2508</v>
      </c>
      <c r="E1906" t="s">
        <v>2143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>
        <v>376.81</v>
      </c>
      <c r="M1906" s="4">
        <v>0</v>
      </c>
      <c r="N1906" s="4">
        <f>SUM(Table1[[#This Row],[2025]:[2018]])</f>
        <v>376.81</v>
      </c>
      <c r="O1906" s="2">
        <f>Table1[[#This Row],[ttl]]/SUM(Table1[ttl])</f>
        <v>7.5981060496960946E-7</v>
      </c>
      <c r="P1906" s="3">
        <f>SUM($O$2:Table1[[#This Row],[pctAllTimeExp]])</f>
        <v>0.99980912154571921</v>
      </c>
      <c r="Q1906" t="b">
        <f>Table1[[#This Row],[cumPctAllTimeExp]]&lt;0.95</f>
        <v>0</v>
      </c>
    </row>
    <row r="1907" spans="1:17" x14ac:dyDescent="0.25">
      <c r="A1907">
        <v>892</v>
      </c>
      <c r="C1907" t="s">
        <v>2508</v>
      </c>
      <c r="E1907" t="s">
        <v>894</v>
      </c>
      <c r="F1907" s="4">
        <v>0</v>
      </c>
      <c r="G1907" s="4">
        <v>375</v>
      </c>
      <c r="H1907" s="4">
        <v>0</v>
      </c>
      <c r="I1907" s="4">
        <v>0</v>
      </c>
      <c r="J1907" s="4">
        <v>0</v>
      </c>
      <c r="K1907" s="4">
        <v>0</v>
      </c>
      <c r="L1907" s="4">
        <v>0</v>
      </c>
      <c r="M1907" s="4">
        <v>0</v>
      </c>
      <c r="N1907" s="4">
        <f>SUM(Table1[[#This Row],[2025]:[2018]])</f>
        <v>375</v>
      </c>
      <c r="O1907" s="2">
        <f>Table1[[#This Row],[ttl]]/SUM(Table1[ttl])</f>
        <v>7.5616086851093005E-7</v>
      </c>
      <c r="P1907" s="3">
        <f>SUM($O$2:Table1[[#This Row],[pctAllTimeExp]])</f>
        <v>0.99980987770658769</v>
      </c>
      <c r="Q1907" t="b">
        <f>Table1[[#This Row],[cumPctAllTimeExp]]&lt;0.95</f>
        <v>0</v>
      </c>
    </row>
    <row r="1908" spans="1:17" x14ac:dyDescent="0.25">
      <c r="A1908">
        <v>1325</v>
      </c>
      <c r="C1908" t="s">
        <v>2508</v>
      </c>
      <c r="E1908" t="s">
        <v>1327</v>
      </c>
      <c r="F1908" s="4">
        <v>0</v>
      </c>
      <c r="G1908" s="4">
        <v>0</v>
      </c>
      <c r="H1908" s="4">
        <v>0</v>
      </c>
      <c r="I1908" s="4">
        <v>375</v>
      </c>
      <c r="J1908" s="4">
        <v>0</v>
      </c>
      <c r="K1908" s="4">
        <v>0</v>
      </c>
      <c r="L1908" s="4">
        <v>0</v>
      </c>
      <c r="M1908" s="4">
        <v>0</v>
      </c>
      <c r="N1908" s="4">
        <f>SUM(Table1[[#This Row],[2025]:[2018]])</f>
        <v>375</v>
      </c>
      <c r="O1908" s="2">
        <f>Table1[[#This Row],[ttl]]/SUM(Table1[ttl])</f>
        <v>7.5616086851093005E-7</v>
      </c>
      <c r="P1908" s="3">
        <f>SUM($O$2:Table1[[#This Row],[pctAllTimeExp]])</f>
        <v>0.99981063386745617</v>
      </c>
      <c r="Q1908" t="b">
        <f>Table1[[#This Row],[cumPctAllTimeExp]]&lt;0.95</f>
        <v>0</v>
      </c>
    </row>
    <row r="1909" spans="1:17" x14ac:dyDescent="0.25">
      <c r="A1909">
        <v>1828</v>
      </c>
      <c r="C1909" t="s">
        <v>2508</v>
      </c>
      <c r="E1909" t="s">
        <v>1830</v>
      </c>
      <c r="F1909" s="4">
        <v>0</v>
      </c>
      <c r="G1909" s="4">
        <v>0</v>
      </c>
      <c r="H1909" s="4">
        <v>0</v>
      </c>
      <c r="I1909" s="4">
        <v>0</v>
      </c>
      <c r="J1909" s="4">
        <v>0</v>
      </c>
      <c r="K1909" s="4">
        <v>375</v>
      </c>
      <c r="L1909" s="4">
        <v>0</v>
      </c>
      <c r="M1909" s="4">
        <v>0</v>
      </c>
      <c r="N1909" s="4">
        <f>SUM(Table1[[#This Row],[2025]:[2018]])</f>
        <v>375</v>
      </c>
      <c r="O1909" s="2">
        <f>Table1[[#This Row],[ttl]]/SUM(Table1[ttl])</f>
        <v>7.5616086851093005E-7</v>
      </c>
      <c r="P1909" s="3">
        <f>SUM($O$2:Table1[[#This Row],[pctAllTimeExp]])</f>
        <v>0.99981139002832464</v>
      </c>
      <c r="Q1909" t="b">
        <f>Table1[[#This Row],[cumPctAllTimeExp]]&lt;0.95</f>
        <v>0</v>
      </c>
    </row>
    <row r="1910" spans="1:17" x14ac:dyDescent="0.25">
      <c r="A1910">
        <v>1326</v>
      </c>
      <c r="C1910" t="s">
        <v>2508</v>
      </c>
      <c r="E1910" t="s">
        <v>1328</v>
      </c>
      <c r="F1910" s="4">
        <v>0</v>
      </c>
      <c r="G1910" s="4">
        <v>0</v>
      </c>
      <c r="H1910" s="4">
        <v>0</v>
      </c>
      <c r="I1910" s="4">
        <v>370.09</v>
      </c>
      <c r="J1910" s="4">
        <v>0</v>
      </c>
      <c r="K1910" s="4">
        <v>0</v>
      </c>
      <c r="L1910" s="4">
        <v>0</v>
      </c>
      <c r="M1910" s="4">
        <v>0</v>
      </c>
      <c r="N1910" s="4">
        <f>SUM(Table1[[#This Row],[2025]:[2018]])</f>
        <v>370.09</v>
      </c>
      <c r="O1910" s="2">
        <f>Table1[[#This Row],[ttl]]/SUM(Table1[ttl])</f>
        <v>7.462602022058936E-7</v>
      </c>
      <c r="P1910" s="3">
        <f>SUM($O$2:Table1[[#This Row],[pctAllTimeExp]])</f>
        <v>0.99981213628852683</v>
      </c>
      <c r="Q1910" t="b">
        <f>Table1[[#This Row],[cumPctAllTimeExp]]&lt;0.95</f>
        <v>0</v>
      </c>
    </row>
    <row r="1911" spans="1:17" x14ac:dyDescent="0.25">
      <c r="A1911">
        <v>2393</v>
      </c>
      <c r="C1911" t="s">
        <v>2508</v>
      </c>
      <c r="E1911" t="s">
        <v>2395</v>
      </c>
      <c r="F1911" s="4">
        <v>0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370</v>
      </c>
      <c r="N1911" s="4">
        <f>SUM(Table1[[#This Row],[2025]:[2018]])</f>
        <v>370</v>
      </c>
      <c r="O1911" s="2">
        <f>Table1[[#This Row],[ttl]]/SUM(Table1[ttl])</f>
        <v>7.4607872359745103E-7</v>
      </c>
      <c r="P1911" s="3">
        <f>SUM($O$2:Table1[[#This Row],[pctAllTimeExp]])</f>
        <v>0.99981288236725041</v>
      </c>
      <c r="Q1911" t="b">
        <f>Table1[[#This Row],[cumPctAllTimeExp]]&lt;0.95</f>
        <v>0</v>
      </c>
    </row>
    <row r="1912" spans="1:17" x14ac:dyDescent="0.25">
      <c r="A1912">
        <v>599</v>
      </c>
      <c r="C1912" t="s">
        <v>2508</v>
      </c>
      <c r="E1912" t="s">
        <v>601</v>
      </c>
      <c r="F1912" s="4">
        <v>365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f>SUM(Table1[[#This Row],[2025]:[2018]])</f>
        <v>365</v>
      </c>
      <c r="O1912" s="2">
        <f>Table1[[#This Row],[ttl]]/SUM(Table1[ttl])</f>
        <v>7.3599657868397191E-7</v>
      </c>
      <c r="P1912" s="3">
        <f>SUM($O$2:Table1[[#This Row],[pctAllTimeExp]])</f>
        <v>0.99981361836382909</v>
      </c>
      <c r="Q1912" t="b">
        <f>Table1[[#This Row],[cumPctAllTimeExp]]&lt;0.95</f>
        <v>0</v>
      </c>
    </row>
    <row r="1913" spans="1:17" x14ac:dyDescent="0.25">
      <c r="A1913">
        <v>1829</v>
      </c>
      <c r="C1913" t="s">
        <v>2508</v>
      </c>
      <c r="E1913" t="s">
        <v>1831</v>
      </c>
      <c r="F1913" s="4">
        <v>0</v>
      </c>
      <c r="G1913" s="4">
        <v>0</v>
      </c>
      <c r="H1913" s="4">
        <v>0</v>
      </c>
      <c r="I1913" s="4">
        <v>0</v>
      </c>
      <c r="J1913" s="4">
        <v>0</v>
      </c>
      <c r="K1913" s="4">
        <v>362.5</v>
      </c>
      <c r="L1913" s="4">
        <v>0</v>
      </c>
      <c r="M1913" s="4">
        <v>0</v>
      </c>
      <c r="N1913" s="4">
        <f>SUM(Table1[[#This Row],[2025]:[2018]])</f>
        <v>362.5</v>
      </c>
      <c r="O1913" s="2">
        <f>Table1[[#This Row],[ttl]]/SUM(Table1[ttl])</f>
        <v>7.309555062272324E-7</v>
      </c>
      <c r="P1913" s="3">
        <f>SUM($O$2:Table1[[#This Row],[pctAllTimeExp]])</f>
        <v>0.99981434931933533</v>
      </c>
      <c r="Q1913" t="b">
        <f>Table1[[#This Row],[cumPctAllTimeExp]]&lt;0.95</f>
        <v>0</v>
      </c>
    </row>
    <row r="1914" spans="1:17" x14ac:dyDescent="0.25">
      <c r="A1914">
        <v>1830</v>
      </c>
      <c r="C1914" t="s">
        <v>2508</v>
      </c>
      <c r="E1914" t="s">
        <v>1832</v>
      </c>
      <c r="F1914" s="4">
        <v>0</v>
      </c>
      <c r="G1914" s="4">
        <v>0</v>
      </c>
      <c r="H1914" s="4">
        <v>0</v>
      </c>
      <c r="I1914" s="4">
        <v>0</v>
      </c>
      <c r="J1914" s="4">
        <v>0</v>
      </c>
      <c r="K1914" s="4">
        <v>362.36</v>
      </c>
      <c r="L1914" s="4">
        <v>0</v>
      </c>
      <c r="M1914" s="4">
        <v>0</v>
      </c>
      <c r="N1914" s="4">
        <f>SUM(Table1[[#This Row],[2025]:[2018]])</f>
        <v>362.36</v>
      </c>
      <c r="O1914" s="2">
        <f>Table1[[#This Row],[ttl]]/SUM(Table1[ttl])</f>
        <v>7.3067320616965504E-7</v>
      </c>
      <c r="P1914" s="3">
        <f>SUM($O$2:Table1[[#This Row],[pctAllTimeExp]])</f>
        <v>0.99981507999254149</v>
      </c>
      <c r="Q1914" t="b">
        <f>Table1[[#This Row],[cumPctAllTimeExp]]&lt;0.95</f>
        <v>0</v>
      </c>
    </row>
    <row r="1915" spans="1:17" x14ac:dyDescent="0.25">
      <c r="A1915">
        <v>637</v>
      </c>
      <c r="C1915" t="s">
        <v>2508</v>
      </c>
      <c r="E1915" t="s">
        <v>639</v>
      </c>
      <c r="F1915" s="4">
        <v>180</v>
      </c>
      <c r="G1915" s="4">
        <v>180</v>
      </c>
      <c r="H1915" s="4">
        <v>0</v>
      </c>
      <c r="I1915" s="4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f>SUM(Table1[[#This Row],[2025]:[2018]])</f>
        <v>360</v>
      </c>
      <c r="O1915" s="2">
        <f>Table1[[#This Row],[ttl]]/SUM(Table1[ttl])</f>
        <v>7.2591443377049289E-7</v>
      </c>
      <c r="P1915" s="3">
        <f>SUM($O$2:Table1[[#This Row],[pctAllTimeExp]])</f>
        <v>0.99981580590697527</v>
      </c>
      <c r="Q1915" t="b">
        <f>Table1[[#This Row],[cumPctAllTimeExp]]&lt;0.95</f>
        <v>0</v>
      </c>
    </row>
    <row r="1916" spans="1:17" x14ac:dyDescent="0.25">
      <c r="A1916">
        <v>1831</v>
      </c>
      <c r="C1916" t="s">
        <v>2508</v>
      </c>
      <c r="E1916" t="s">
        <v>1833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360</v>
      </c>
      <c r="L1916" s="4">
        <v>0</v>
      </c>
      <c r="M1916" s="4">
        <v>0</v>
      </c>
      <c r="N1916" s="4">
        <f>SUM(Table1[[#This Row],[2025]:[2018]])</f>
        <v>360</v>
      </c>
      <c r="O1916" s="2">
        <f>Table1[[#This Row],[ttl]]/SUM(Table1[ttl])</f>
        <v>7.2591443377049289E-7</v>
      </c>
      <c r="P1916" s="3">
        <f>SUM($O$2:Table1[[#This Row],[pctAllTimeExp]])</f>
        <v>0.99981653182140906</v>
      </c>
      <c r="Q1916" t="b">
        <f>Table1[[#This Row],[cumPctAllTimeExp]]&lt;0.95</f>
        <v>0</v>
      </c>
    </row>
    <row r="1917" spans="1:17" x14ac:dyDescent="0.25">
      <c r="A1917">
        <v>2164</v>
      </c>
      <c r="C1917" t="s">
        <v>2508</v>
      </c>
      <c r="E1917" t="s">
        <v>2166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>
        <v>240</v>
      </c>
      <c r="M1917" s="4">
        <v>120</v>
      </c>
      <c r="N1917" s="4">
        <f>SUM(Table1[[#This Row],[2025]:[2018]])</f>
        <v>360</v>
      </c>
      <c r="O1917" s="2">
        <f>Table1[[#This Row],[ttl]]/SUM(Table1[ttl])</f>
        <v>7.2591443377049289E-7</v>
      </c>
      <c r="P1917" s="3">
        <f>SUM($O$2:Table1[[#This Row],[pctAllTimeExp]])</f>
        <v>0.99981725773584285</v>
      </c>
      <c r="Q1917" t="b">
        <f>Table1[[#This Row],[cumPctAllTimeExp]]&lt;0.95</f>
        <v>0</v>
      </c>
    </row>
    <row r="1918" spans="1:17" x14ac:dyDescent="0.25">
      <c r="A1918">
        <v>1593</v>
      </c>
      <c r="C1918" t="s">
        <v>2508</v>
      </c>
      <c r="E1918" t="s">
        <v>1595</v>
      </c>
      <c r="F1918" s="4">
        <v>0</v>
      </c>
      <c r="G1918" s="4">
        <v>0</v>
      </c>
      <c r="H1918" s="4">
        <v>0</v>
      </c>
      <c r="I1918" s="4">
        <v>0</v>
      </c>
      <c r="J1918" s="4">
        <v>164.44</v>
      </c>
      <c r="K1918" s="4">
        <v>194.91</v>
      </c>
      <c r="L1918" s="4">
        <v>0</v>
      </c>
      <c r="M1918" s="4">
        <v>0</v>
      </c>
      <c r="N1918" s="4">
        <f>SUM(Table1[[#This Row],[2025]:[2018]])</f>
        <v>359.35</v>
      </c>
      <c r="O1918" s="2">
        <f>Table1[[#This Row],[ttl]]/SUM(Table1[ttl])</f>
        <v>7.2460375493174066E-7</v>
      </c>
      <c r="P1918" s="3">
        <f>SUM($O$2:Table1[[#This Row],[pctAllTimeExp]])</f>
        <v>0.99981798233959773</v>
      </c>
      <c r="Q1918" t="b">
        <f>Table1[[#This Row],[cumPctAllTimeExp]]&lt;0.95</f>
        <v>0</v>
      </c>
    </row>
    <row r="1919" spans="1:17" x14ac:dyDescent="0.25">
      <c r="A1919">
        <v>2394</v>
      </c>
      <c r="C1919" t="s">
        <v>2508</v>
      </c>
      <c r="E1919" t="s">
        <v>2396</v>
      </c>
      <c r="F1919" s="4">
        <v>0</v>
      </c>
      <c r="G1919" s="4">
        <v>0</v>
      </c>
      <c r="H1919" s="4">
        <v>0</v>
      </c>
      <c r="I1919" s="4">
        <v>0</v>
      </c>
      <c r="J1919" s="4">
        <v>0</v>
      </c>
      <c r="K1919" s="4">
        <v>0</v>
      </c>
      <c r="L1919" s="4">
        <v>0</v>
      </c>
      <c r="M1919" s="4">
        <v>357.5</v>
      </c>
      <c r="N1919" s="4">
        <f>SUM(Table1[[#This Row],[2025]:[2018]])</f>
        <v>357.5</v>
      </c>
      <c r="O1919" s="2">
        <f>Table1[[#This Row],[ttl]]/SUM(Table1[ttl])</f>
        <v>7.2087336131375327E-7</v>
      </c>
      <c r="P1919" s="3">
        <f>SUM($O$2:Table1[[#This Row],[pctAllTimeExp]])</f>
        <v>0.99981870321295907</v>
      </c>
      <c r="Q1919" t="b">
        <f>Table1[[#This Row],[cumPctAllTimeExp]]&lt;0.95</f>
        <v>0</v>
      </c>
    </row>
    <row r="1920" spans="1:17" x14ac:dyDescent="0.25">
      <c r="A1920">
        <v>1356</v>
      </c>
      <c r="C1920" t="s">
        <v>2508</v>
      </c>
      <c r="E1920" t="s">
        <v>1358</v>
      </c>
      <c r="F1920" s="4">
        <v>0</v>
      </c>
      <c r="G1920" s="4">
        <v>0</v>
      </c>
      <c r="H1920" s="4">
        <v>0</v>
      </c>
      <c r="I1920" s="4">
        <v>200</v>
      </c>
      <c r="J1920" s="4">
        <v>0</v>
      </c>
      <c r="K1920" s="4">
        <v>0</v>
      </c>
      <c r="L1920" s="4">
        <v>154</v>
      </c>
      <c r="M1920" s="4">
        <v>0</v>
      </c>
      <c r="N1920" s="4">
        <f>SUM(Table1[[#This Row],[2025]:[2018]])</f>
        <v>354</v>
      </c>
      <c r="O1920" s="2">
        <f>Table1[[#This Row],[ttl]]/SUM(Table1[ttl])</f>
        <v>7.1381585987431798E-7</v>
      </c>
      <c r="P1920" s="3">
        <f>SUM($O$2:Table1[[#This Row],[pctAllTimeExp]])</f>
        <v>0.99981941702881894</v>
      </c>
      <c r="Q1920" t="b">
        <f>Table1[[#This Row],[cumPctAllTimeExp]]&lt;0.95</f>
        <v>0</v>
      </c>
    </row>
    <row r="1921" spans="1:17" x14ac:dyDescent="0.25">
      <c r="A1921">
        <v>1648</v>
      </c>
      <c r="C1921" t="s">
        <v>2508</v>
      </c>
      <c r="E1921" t="s">
        <v>1650</v>
      </c>
      <c r="F1921" s="4">
        <v>0</v>
      </c>
      <c r="G1921" s="4">
        <v>0</v>
      </c>
      <c r="H1921" s="4">
        <v>0</v>
      </c>
      <c r="I1921" s="4">
        <v>0</v>
      </c>
      <c r="J1921" s="4">
        <v>4.05</v>
      </c>
      <c r="K1921" s="4">
        <v>0</v>
      </c>
      <c r="L1921" s="4">
        <v>0</v>
      </c>
      <c r="M1921" s="4">
        <v>349.74</v>
      </c>
      <c r="N1921" s="4">
        <f>SUM(Table1[[#This Row],[2025]:[2018]])</f>
        <v>353.79</v>
      </c>
      <c r="O1921" s="2">
        <f>Table1[[#This Row],[ttl]]/SUM(Table1[ttl])</f>
        <v>7.1339240978795188E-7</v>
      </c>
      <c r="P1921" s="3">
        <f>SUM($O$2:Table1[[#This Row],[pctAllTimeExp]])</f>
        <v>0.99982013042122875</v>
      </c>
      <c r="Q1921" t="b">
        <f>Table1[[#This Row],[cumPctAllTimeExp]]&lt;0.95</f>
        <v>0</v>
      </c>
    </row>
    <row r="1922" spans="1:17" x14ac:dyDescent="0.25">
      <c r="A1922">
        <v>2395</v>
      </c>
      <c r="C1922" t="s">
        <v>2508</v>
      </c>
      <c r="E1922" t="s">
        <v>2397</v>
      </c>
      <c r="F1922" s="4">
        <v>0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>
        <v>0</v>
      </c>
      <c r="M1922" s="4">
        <v>353.64</v>
      </c>
      <c r="N1922" s="4">
        <f>SUM(Table1[[#This Row],[2025]:[2018]])</f>
        <v>353.64</v>
      </c>
      <c r="O1922" s="2">
        <f>Table1[[#This Row],[ttl]]/SUM(Table1[ttl])</f>
        <v>7.130899454405475E-7</v>
      </c>
      <c r="P1922" s="3">
        <f>SUM($O$2:Table1[[#This Row],[pctAllTimeExp]])</f>
        <v>0.99982084351117417</v>
      </c>
      <c r="Q1922" t="b">
        <f>Table1[[#This Row],[cumPctAllTimeExp]]&lt;0.95</f>
        <v>0</v>
      </c>
    </row>
    <row r="1923" spans="1:17" x14ac:dyDescent="0.25">
      <c r="A1923">
        <v>894</v>
      </c>
      <c r="C1923" t="s">
        <v>2508</v>
      </c>
      <c r="E1923" t="s">
        <v>896</v>
      </c>
      <c r="F1923" s="4">
        <v>0</v>
      </c>
      <c r="G1923" s="4">
        <v>350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f>SUM(Table1[[#This Row],[2025]:[2018]])</f>
        <v>350</v>
      </c>
      <c r="O1923" s="2">
        <f>Table1[[#This Row],[ttl]]/SUM(Table1[ttl])</f>
        <v>7.0575014394353474E-7</v>
      </c>
      <c r="P1923" s="3">
        <f>SUM($O$2:Table1[[#This Row],[pctAllTimeExp]])</f>
        <v>0.99982154926131817</v>
      </c>
      <c r="Q1923" t="b">
        <f>Table1[[#This Row],[cumPctAllTimeExp]]&lt;0.95</f>
        <v>0</v>
      </c>
    </row>
    <row r="1924" spans="1:17" x14ac:dyDescent="0.25">
      <c r="A1924">
        <v>1150</v>
      </c>
      <c r="C1924" t="s">
        <v>2508</v>
      </c>
      <c r="E1924" t="s">
        <v>1152</v>
      </c>
      <c r="F1924" s="4">
        <v>0</v>
      </c>
      <c r="G1924" s="4">
        <v>0</v>
      </c>
      <c r="H1924" s="4">
        <v>250</v>
      </c>
      <c r="I1924" s="4">
        <v>0</v>
      </c>
      <c r="J1924" s="4">
        <v>100</v>
      </c>
      <c r="K1924" s="4">
        <v>0</v>
      </c>
      <c r="L1924" s="4">
        <v>0</v>
      </c>
      <c r="M1924" s="4">
        <v>0</v>
      </c>
      <c r="N1924" s="4">
        <f>SUM(Table1[[#This Row],[2025]:[2018]])</f>
        <v>350</v>
      </c>
      <c r="O1924" s="2">
        <f>Table1[[#This Row],[ttl]]/SUM(Table1[ttl])</f>
        <v>7.0575014394353474E-7</v>
      </c>
      <c r="P1924" s="3">
        <f>SUM($O$2:Table1[[#This Row],[pctAllTimeExp]])</f>
        <v>0.99982225501146216</v>
      </c>
      <c r="Q1924" t="b">
        <f>Table1[[#This Row],[cumPctAllTimeExp]]&lt;0.95</f>
        <v>0</v>
      </c>
    </row>
    <row r="1925" spans="1:17" x14ac:dyDescent="0.25">
      <c r="A1925">
        <v>1533</v>
      </c>
      <c r="C1925" t="s">
        <v>2508</v>
      </c>
      <c r="E1925" t="s">
        <v>1535</v>
      </c>
      <c r="F1925" s="4">
        <v>0</v>
      </c>
      <c r="G1925" s="4">
        <v>0</v>
      </c>
      <c r="H1925" s="4">
        <v>0</v>
      </c>
      <c r="I1925" s="4">
        <v>0</v>
      </c>
      <c r="J1925" s="4">
        <v>350</v>
      </c>
      <c r="K1925" s="4">
        <v>0</v>
      </c>
      <c r="L1925" s="4">
        <v>0</v>
      </c>
      <c r="M1925" s="4">
        <v>0</v>
      </c>
      <c r="N1925" s="4">
        <f>SUM(Table1[[#This Row],[2025]:[2018]])</f>
        <v>350</v>
      </c>
      <c r="O1925" s="2">
        <f>Table1[[#This Row],[ttl]]/SUM(Table1[ttl])</f>
        <v>7.0575014394353474E-7</v>
      </c>
      <c r="P1925" s="3">
        <f>SUM($O$2:Table1[[#This Row],[pctAllTimeExp]])</f>
        <v>0.99982296076160615</v>
      </c>
      <c r="Q1925" t="b">
        <f>Table1[[#This Row],[cumPctAllTimeExp]]&lt;0.95</f>
        <v>0</v>
      </c>
    </row>
    <row r="1926" spans="1:17" x14ac:dyDescent="0.25">
      <c r="A1926">
        <v>1534</v>
      </c>
      <c r="C1926" t="s">
        <v>2508</v>
      </c>
      <c r="E1926" t="s">
        <v>1536</v>
      </c>
      <c r="F1926" s="4">
        <v>0</v>
      </c>
      <c r="G1926" s="4">
        <v>0</v>
      </c>
      <c r="H1926" s="4">
        <v>0</v>
      </c>
      <c r="I1926" s="4">
        <v>0</v>
      </c>
      <c r="J1926" s="4">
        <v>350</v>
      </c>
      <c r="K1926" s="4">
        <v>0</v>
      </c>
      <c r="L1926" s="4">
        <v>0</v>
      </c>
      <c r="M1926" s="4">
        <v>0</v>
      </c>
      <c r="N1926" s="4">
        <f>SUM(Table1[[#This Row],[2025]:[2018]])</f>
        <v>350</v>
      </c>
      <c r="O1926" s="2">
        <f>Table1[[#This Row],[ttl]]/SUM(Table1[ttl])</f>
        <v>7.0575014394353474E-7</v>
      </c>
      <c r="P1926" s="3">
        <f>SUM($O$2:Table1[[#This Row],[pctAllTimeExp]])</f>
        <v>0.99982366651175014</v>
      </c>
      <c r="Q1926" t="b">
        <f>Table1[[#This Row],[cumPctAllTimeExp]]&lt;0.95</f>
        <v>0</v>
      </c>
    </row>
    <row r="1927" spans="1:17" x14ac:dyDescent="0.25">
      <c r="A1927">
        <v>1535</v>
      </c>
      <c r="C1927" t="s">
        <v>2508</v>
      </c>
      <c r="E1927" t="s">
        <v>1537</v>
      </c>
      <c r="F1927" s="4">
        <v>0</v>
      </c>
      <c r="G1927" s="4">
        <v>0</v>
      </c>
      <c r="H1927" s="4">
        <v>0</v>
      </c>
      <c r="I1927" s="4">
        <v>0</v>
      </c>
      <c r="J1927" s="4">
        <v>350</v>
      </c>
      <c r="K1927" s="4">
        <v>0</v>
      </c>
      <c r="L1927" s="4">
        <v>0</v>
      </c>
      <c r="M1927" s="4">
        <v>0</v>
      </c>
      <c r="N1927" s="4">
        <f>SUM(Table1[[#This Row],[2025]:[2018]])</f>
        <v>350</v>
      </c>
      <c r="O1927" s="2">
        <f>Table1[[#This Row],[ttl]]/SUM(Table1[ttl])</f>
        <v>7.0575014394353474E-7</v>
      </c>
      <c r="P1927" s="3">
        <f>SUM($O$2:Table1[[#This Row],[pctAllTimeExp]])</f>
        <v>0.99982437226189413</v>
      </c>
      <c r="Q1927" t="b">
        <f>Table1[[#This Row],[cumPctAllTimeExp]]&lt;0.95</f>
        <v>0</v>
      </c>
    </row>
    <row r="1928" spans="1:17" x14ac:dyDescent="0.25">
      <c r="A1928">
        <v>1832</v>
      </c>
      <c r="C1928" t="s">
        <v>2508</v>
      </c>
      <c r="E1928" t="s">
        <v>1834</v>
      </c>
      <c r="F1928" s="4">
        <v>0</v>
      </c>
      <c r="G1928" s="4">
        <v>0</v>
      </c>
      <c r="H1928" s="4">
        <v>0</v>
      </c>
      <c r="I1928" s="4">
        <v>0</v>
      </c>
      <c r="J1928" s="4">
        <v>0</v>
      </c>
      <c r="K1928" s="4">
        <v>350</v>
      </c>
      <c r="L1928" s="4">
        <v>0</v>
      </c>
      <c r="M1928" s="4">
        <v>0</v>
      </c>
      <c r="N1928" s="4">
        <f>SUM(Table1[[#This Row],[2025]:[2018]])</f>
        <v>350</v>
      </c>
      <c r="O1928" s="2">
        <f>Table1[[#This Row],[ttl]]/SUM(Table1[ttl])</f>
        <v>7.0575014394353474E-7</v>
      </c>
      <c r="P1928" s="3">
        <f>SUM($O$2:Table1[[#This Row],[pctAllTimeExp]])</f>
        <v>0.99982507801203813</v>
      </c>
      <c r="Q1928" t="b">
        <f>Table1[[#This Row],[cumPctAllTimeExp]]&lt;0.95</f>
        <v>0</v>
      </c>
    </row>
    <row r="1929" spans="1:17" x14ac:dyDescent="0.25">
      <c r="A1929">
        <v>1867</v>
      </c>
      <c r="C1929" t="s">
        <v>2508</v>
      </c>
      <c r="E1929" t="s">
        <v>1869</v>
      </c>
      <c r="F1929" s="4">
        <v>0</v>
      </c>
      <c r="G1929" s="4">
        <v>0</v>
      </c>
      <c r="H1929" s="4">
        <v>0</v>
      </c>
      <c r="I1929" s="4">
        <v>0</v>
      </c>
      <c r="J1929" s="4">
        <v>0</v>
      </c>
      <c r="K1929" s="4">
        <v>200</v>
      </c>
      <c r="L1929" s="4">
        <v>150</v>
      </c>
      <c r="M1929" s="4">
        <v>0</v>
      </c>
      <c r="N1929" s="4">
        <f>SUM(Table1[[#This Row],[2025]:[2018]])</f>
        <v>350</v>
      </c>
      <c r="O1929" s="2">
        <f>Table1[[#This Row],[ttl]]/SUM(Table1[ttl])</f>
        <v>7.0575014394353474E-7</v>
      </c>
      <c r="P1929" s="3">
        <f>SUM($O$2:Table1[[#This Row],[pctAllTimeExp]])</f>
        <v>0.99982578376218212</v>
      </c>
      <c r="Q1929" t="b">
        <f>Table1[[#This Row],[cumPctAllTimeExp]]&lt;0.95</f>
        <v>0</v>
      </c>
    </row>
    <row r="1930" spans="1:17" x14ac:dyDescent="0.25">
      <c r="A1930">
        <v>1872</v>
      </c>
      <c r="C1930" t="s">
        <v>2508</v>
      </c>
      <c r="E1930" t="s">
        <v>1874</v>
      </c>
      <c r="F1930" s="4">
        <v>0</v>
      </c>
      <c r="G1930" s="4">
        <v>0</v>
      </c>
      <c r="H1930" s="4">
        <v>0</v>
      </c>
      <c r="I1930" s="4">
        <v>0</v>
      </c>
      <c r="J1930" s="4">
        <v>0</v>
      </c>
      <c r="K1930" s="4">
        <v>200</v>
      </c>
      <c r="L1930" s="4">
        <v>150</v>
      </c>
      <c r="M1930" s="4">
        <v>0</v>
      </c>
      <c r="N1930" s="4">
        <f>SUM(Table1[[#This Row],[2025]:[2018]])</f>
        <v>350</v>
      </c>
      <c r="O1930" s="2">
        <f>Table1[[#This Row],[ttl]]/SUM(Table1[ttl])</f>
        <v>7.0575014394353474E-7</v>
      </c>
      <c r="P1930" s="3">
        <f>SUM($O$2:Table1[[#This Row],[pctAllTimeExp]])</f>
        <v>0.99982648951232611</v>
      </c>
      <c r="Q1930" t="b">
        <f>Table1[[#This Row],[cumPctAllTimeExp]]&lt;0.95</f>
        <v>0</v>
      </c>
    </row>
    <row r="1931" spans="1:17" x14ac:dyDescent="0.25">
      <c r="A1931">
        <v>2143</v>
      </c>
      <c r="C1931" t="s">
        <v>2508</v>
      </c>
      <c r="E1931" t="s">
        <v>2145</v>
      </c>
      <c r="F1931" s="4">
        <v>0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s="4">
        <v>350</v>
      </c>
      <c r="M1931" s="4">
        <v>0</v>
      </c>
      <c r="N1931" s="4">
        <f>SUM(Table1[[#This Row],[2025]:[2018]])</f>
        <v>350</v>
      </c>
      <c r="O1931" s="2">
        <f>Table1[[#This Row],[ttl]]/SUM(Table1[ttl])</f>
        <v>7.0575014394353474E-7</v>
      </c>
      <c r="P1931" s="3">
        <f>SUM($O$2:Table1[[#This Row],[pctAllTimeExp]])</f>
        <v>0.9998271952624701</v>
      </c>
      <c r="Q1931" t="b">
        <f>Table1[[#This Row],[cumPctAllTimeExp]]&lt;0.95</f>
        <v>0</v>
      </c>
    </row>
    <row r="1932" spans="1:17" x14ac:dyDescent="0.25">
      <c r="A1932">
        <v>2144</v>
      </c>
      <c r="C1932" t="s">
        <v>2508</v>
      </c>
      <c r="E1932" t="s">
        <v>2146</v>
      </c>
      <c r="F1932" s="4">
        <v>0</v>
      </c>
      <c r="G1932" s="4">
        <v>0</v>
      </c>
      <c r="H1932" s="4">
        <v>0</v>
      </c>
      <c r="I1932" s="4">
        <v>0</v>
      </c>
      <c r="J1932" s="4">
        <v>0</v>
      </c>
      <c r="K1932" s="4">
        <v>0</v>
      </c>
      <c r="L1932" s="4">
        <v>350</v>
      </c>
      <c r="M1932" s="4">
        <v>0</v>
      </c>
      <c r="N1932" s="4">
        <f>SUM(Table1[[#This Row],[2025]:[2018]])</f>
        <v>350</v>
      </c>
      <c r="O1932" s="2">
        <f>Table1[[#This Row],[ttl]]/SUM(Table1[ttl])</f>
        <v>7.0575014394353474E-7</v>
      </c>
      <c r="P1932" s="3">
        <f>SUM($O$2:Table1[[#This Row],[pctAllTimeExp]])</f>
        <v>0.9998279010126141</v>
      </c>
      <c r="Q1932" t="b">
        <f>Table1[[#This Row],[cumPctAllTimeExp]]&lt;0.95</f>
        <v>0</v>
      </c>
    </row>
    <row r="1933" spans="1:17" x14ac:dyDescent="0.25">
      <c r="A1933">
        <v>2396</v>
      </c>
      <c r="C1933" t="s">
        <v>2508</v>
      </c>
      <c r="E1933" t="s">
        <v>2398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>
        <v>0</v>
      </c>
      <c r="M1933" s="4">
        <v>350</v>
      </c>
      <c r="N1933" s="4">
        <f>SUM(Table1[[#This Row],[2025]:[2018]])</f>
        <v>350</v>
      </c>
      <c r="O1933" s="2">
        <f>Table1[[#This Row],[ttl]]/SUM(Table1[ttl])</f>
        <v>7.0575014394353474E-7</v>
      </c>
      <c r="P1933" s="3">
        <f>SUM($O$2:Table1[[#This Row],[pctAllTimeExp]])</f>
        <v>0.99982860676275809</v>
      </c>
      <c r="Q1933" t="b">
        <f>Table1[[#This Row],[cumPctAllTimeExp]]&lt;0.95</f>
        <v>0</v>
      </c>
    </row>
    <row r="1934" spans="1:17" x14ac:dyDescent="0.25">
      <c r="A1934">
        <v>2146</v>
      </c>
      <c r="C1934" t="s">
        <v>2508</v>
      </c>
      <c r="E1934" t="s">
        <v>2148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>
        <v>348.33</v>
      </c>
      <c r="M1934" s="4">
        <v>0</v>
      </c>
      <c r="N1934" s="4">
        <f>SUM(Table1[[#This Row],[2025]:[2018]])</f>
        <v>348.33</v>
      </c>
      <c r="O1934" s="2">
        <f>Table1[[#This Row],[ttl]]/SUM(Table1[ttl])</f>
        <v>7.0238270754243269E-7</v>
      </c>
      <c r="P1934" s="3">
        <f>SUM($O$2:Table1[[#This Row],[pctAllTimeExp]])</f>
        <v>0.99982930914546564</v>
      </c>
      <c r="Q1934" t="b">
        <f>Table1[[#This Row],[cumPctAllTimeExp]]&lt;0.95</f>
        <v>0</v>
      </c>
    </row>
    <row r="1935" spans="1:17" x14ac:dyDescent="0.25">
      <c r="A1935">
        <v>1536</v>
      </c>
      <c r="C1935" t="s">
        <v>2508</v>
      </c>
      <c r="E1935" t="s">
        <v>1538</v>
      </c>
      <c r="F1935" s="4">
        <v>0</v>
      </c>
      <c r="G1935" s="4">
        <v>0</v>
      </c>
      <c r="H1935" s="4">
        <v>0</v>
      </c>
      <c r="I1935" s="4">
        <v>0</v>
      </c>
      <c r="J1935" s="4">
        <v>347.5</v>
      </c>
      <c r="K1935" s="4">
        <v>0</v>
      </c>
      <c r="L1935" s="4">
        <v>0</v>
      </c>
      <c r="M1935" s="4">
        <v>0</v>
      </c>
      <c r="N1935" s="4">
        <f>SUM(Table1[[#This Row],[2025]:[2018]])</f>
        <v>347.5</v>
      </c>
      <c r="O1935" s="2">
        <f>Table1[[#This Row],[ttl]]/SUM(Table1[ttl])</f>
        <v>7.0070907148679523E-7</v>
      </c>
      <c r="P1935" s="3">
        <f>SUM($O$2:Table1[[#This Row],[pctAllTimeExp]])</f>
        <v>0.99983000985453707</v>
      </c>
      <c r="Q1935" t="b">
        <f>Table1[[#This Row],[cumPctAllTimeExp]]&lt;0.95</f>
        <v>0</v>
      </c>
    </row>
    <row r="1936" spans="1:17" x14ac:dyDescent="0.25">
      <c r="A1936">
        <v>2397</v>
      </c>
      <c r="C1936" t="s">
        <v>2508</v>
      </c>
      <c r="E1936" t="s">
        <v>2399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>
        <v>0</v>
      </c>
      <c r="M1936" s="4">
        <v>347.28</v>
      </c>
      <c r="N1936" s="4">
        <f>SUM(Table1[[#This Row],[2025]:[2018]])</f>
        <v>347.28</v>
      </c>
      <c r="O1936" s="2">
        <f>Table1[[#This Row],[ttl]]/SUM(Table1[ttl])</f>
        <v>7.0026545711060201E-7</v>
      </c>
      <c r="P1936" s="3">
        <f>SUM($O$2:Table1[[#This Row],[pctAllTimeExp]])</f>
        <v>0.99983071011999414</v>
      </c>
      <c r="Q1936" t="b">
        <f>Table1[[#This Row],[cumPctAllTimeExp]]&lt;0.95</f>
        <v>0</v>
      </c>
    </row>
    <row r="1937" spans="1:17" x14ac:dyDescent="0.25">
      <c r="A1937">
        <v>1329</v>
      </c>
      <c r="C1937" t="s">
        <v>2508</v>
      </c>
      <c r="E1937" t="s">
        <v>1331</v>
      </c>
      <c r="F1937" s="4">
        <v>0</v>
      </c>
      <c r="G1937" s="4">
        <v>0</v>
      </c>
      <c r="H1937" s="4">
        <v>0</v>
      </c>
      <c r="I1937" s="4">
        <v>342.65</v>
      </c>
      <c r="J1937" s="4">
        <v>0</v>
      </c>
      <c r="K1937" s="4">
        <v>0</v>
      </c>
      <c r="L1937" s="4">
        <v>0</v>
      </c>
      <c r="M1937" s="4">
        <v>0</v>
      </c>
      <c r="N1937" s="4">
        <f>SUM(Table1[[#This Row],[2025]:[2018]])</f>
        <v>342.65</v>
      </c>
      <c r="O1937" s="2">
        <f>Table1[[#This Row],[ttl]]/SUM(Table1[ttl])</f>
        <v>6.9092939092072049E-7</v>
      </c>
      <c r="P1937" s="3">
        <f>SUM($O$2:Table1[[#This Row],[pctAllTimeExp]])</f>
        <v>0.99983140104938506</v>
      </c>
      <c r="Q1937" t="b">
        <f>Table1[[#This Row],[cumPctAllTimeExp]]&lt;0.95</f>
        <v>0</v>
      </c>
    </row>
    <row r="1938" spans="1:17" x14ac:dyDescent="0.25">
      <c r="A1938">
        <v>2171</v>
      </c>
      <c r="C1938" t="s">
        <v>2508</v>
      </c>
      <c r="E1938" t="s">
        <v>2173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>
        <v>215</v>
      </c>
      <c r="M1938" s="4">
        <v>125</v>
      </c>
      <c r="N1938" s="4">
        <f>SUM(Table1[[#This Row],[2025]:[2018]])</f>
        <v>340</v>
      </c>
      <c r="O1938" s="2">
        <f>Table1[[#This Row],[ttl]]/SUM(Table1[ttl])</f>
        <v>6.855858541165766E-7</v>
      </c>
      <c r="P1938" s="3">
        <f>SUM($O$2:Table1[[#This Row],[pctAllTimeExp]])</f>
        <v>0.99983208663523915</v>
      </c>
      <c r="Q1938" t="b">
        <f>Table1[[#This Row],[cumPctAllTimeExp]]&lt;0.95</f>
        <v>0</v>
      </c>
    </row>
    <row r="1939" spans="1:17" x14ac:dyDescent="0.25">
      <c r="A1939">
        <v>2398</v>
      </c>
      <c r="C1939" t="s">
        <v>2508</v>
      </c>
      <c r="E1939" t="s">
        <v>2400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>
        <v>0</v>
      </c>
      <c r="M1939" s="4">
        <v>340</v>
      </c>
      <c r="N1939" s="4">
        <f>SUM(Table1[[#This Row],[2025]:[2018]])</f>
        <v>340</v>
      </c>
      <c r="O1939" s="2">
        <f>Table1[[#This Row],[ttl]]/SUM(Table1[ttl])</f>
        <v>6.855858541165766E-7</v>
      </c>
      <c r="P1939" s="3">
        <f>SUM($O$2:Table1[[#This Row],[pctAllTimeExp]])</f>
        <v>0.99983277222109324</v>
      </c>
      <c r="Q1939" t="b">
        <f>Table1[[#This Row],[cumPctAllTimeExp]]&lt;0.95</f>
        <v>0</v>
      </c>
    </row>
    <row r="1940" spans="1:17" x14ac:dyDescent="0.25">
      <c r="A1940">
        <v>1833</v>
      </c>
      <c r="C1940" t="s">
        <v>2508</v>
      </c>
      <c r="E1940" t="s">
        <v>1835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336.26</v>
      </c>
      <c r="L1940" s="4">
        <v>0</v>
      </c>
      <c r="M1940" s="4">
        <v>0</v>
      </c>
      <c r="N1940" s="4">
        <f>SUM(Table1[[#This Row],[2025]:[2018]])</f>
        <v>336.26</v>
      </c>
      <c r="O1940" s="2">
        <f>Table1[[#This Row],[ttl]]/SUM(Table1[ttl])</f>
        <v>6.7804440972129425E-7</v>
      </c>
      <c r="P1940" s="3">
        <f>SUM($O$2:Table1[[#This Row],[pctAllTimeExp]])</f>
        <v>0.99983345026550297</v>
      </c>
      <c r="Q1940" t="b">
        <f>Table1[[#This Row],[cumPctAllTimeExp]]&lt;0.95</f>
        <v>0</v>
      </c>
    </row>
    <row r="1941" spans="1:17" x14ac:dyDescent="0.25">
      <c r="A1941">
        <v>1537</v>
      </c>
      <c r="C1941" t="s">
        <v>2508</v>
      </c>
      <c r="E1941" t="s">
        <v>1539</v>
      </c>
      <c r="F1941" s="4">
        <v>0</v>
      </c>
      <c r="G1941" s="4">
        <v>0</v>
      </c>
      <c r="H1941" s="4">
        <v>0</v>
      </c>
      <c r="I1941" s="4">
        <v>0</v>
      </c>
      <c r="J1941" s="4">
        <v>336</v>
      </c>
      <c r="K1941" s="4">
        <v>0</v>
      </c>
      <c r="L1941" s="4">
        <v>0</v>
      </c>
      <c r="M1941" s="4">
        <v>0</v>
      </c>
      <c r="N1941" s="4">
        <f>SUM(Table1[[#This Row],[2025]:[2018]])</f>
        <v>336</v>
      </c>
      <c r="O1941" s="2">
        <f>Table1[[#This Row],[ttl]]/SUM(Table1[ttl])</f>
        <v>6.7752013818579336E-7</v>
      </c>
      <c r="P1941" s="3">
        <f>SUM($O$2:Table1[[#This Row],[pctAllTimeExp]])</f>
        <v>0.99983412778564118</v>
      </c>
      <c r="Q1941" t="b">
        <f>Table1[[#This Row],[cumPctAllTimeExp]]&lt;0.95</f>
        <v>0</v>
      </c>
    </row>
    <row r="1942" spans="1:17" x14ac:dyDescent="0.25">
      <c r="A1942">
        <v>1844</v>
      </c>
      <c r="C1942" t="s">
        <v>2508</v>
      </c>
      <c r="E1942" t="s">
        <v>1846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4">
        <v>280</v>
      </c>
      <c r="L1942" s="4">
        <v>55.73</v>
      </c>
      <c r="M1942" s="4">
        <v>0</v>
      </c>
      <c r="N1942" s="4">
        <f>SUM(Table1[[#This Row],[2025]:[2018]])</f>
        <v>335.73</v>
      </c>
      <c r="O1942" s="2">
        <f>Table1[[#This Row],[ttl]]/SUM(Table1[ttl])</f>
        <v>6.7697570236046545E-7</v>
      </c>
      <c r="P1942" s="3">
        <f>SUM($O$2:Table1[[#This Row],[pctAllTimeExp]])</f>
        <v>0.99983480476134357</v>
      </c>
      <c r="Q1942" t="b">
        <f>Table1[[#This Row],[cumPctAllTimeExp]]&lt;0.95</f>
        <v>0</v>
      </c>
    </row>
    <row r="1943" spans="1:17" x14ac:dyDescent="0.25">
      <c r="A1943">
        <v>2210</v>
      </c>
      <c r="C1943" t="s">
        <v>2508</v>
      </c>
      <c r="E1943" t="s">
        <v>2212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>
        <v>82.5</v>
      </c>
      <c r="M1943" s="4">
        <v>250</v>
      </c>
      <c r="N1943" s="4">
        <f>SUM(Table1[[#This Row],[2025]:[2018]])</f>
        <v>332.5</v>
      </c>
      <c r="O1943" s="2">
        <f>Table1[[#This Row],[ttl]]/SUM(Table1[ttl])</f>
        <v>6.7046263674635796E-7</v>
      </c>
      <c r="P1943" s="3">
        <f>SUM($O$2:Table1[[#This Row],[pctAllTimeExp]])</f>
        <v>0.99983547522398031</v>
      </c>
      <c r="Q1943" t="b">
        <f>Table1[[#This Row],[cumPctAllTimeExp]]&lt;0.95</f>
        <v>0</v>
      </c>
    </row>
    <row r="1944" spans="1:17" x14ac:dyDescent="0.25">
      <c r="A1944">
        <v>2399</v>
      </c>
      <c r="C1944" t="s">
        <v>2508</v>
      </c>
      <c r="E1944" t="s">
        <v>2401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0</v>
      </c>
      <c r="M1944" s="4">
        <v>332.5</v>
      </c>
      <c r="N1944" s="4">
        <f>SUM(Table1[[#This Row],[2025]:[2018]])</f>
        <v>332.5</v>
      </c>
      <c r="O1944" s="2">
        <f>Table1[[#This Row],[ttl]]/SUM(Table1[ttl])</f>
        <v>6.7046263674635796E-7</v>
      </c>
      <c r="P1944" s="3">
        <f>SUM($O$2:Table1[[#This Row],[pctAllTimeExp]])</f>
        <v>0.99983614568661705</v>
      </c>
      <c r="Q1944" t="b">
        <f>Table1[[#This Row],[cumPctAllTimeExp]]&lt;0.95</f>
        <v>0</v>
      </c>
    </row>
    <row r="1945" spans="1:17" x14ac:dyDescent="0.25">
      <c r="A1945">
        <v>2147</v>
      </c>
      <c r="C1945" t="s">
        <v>2508</v>
      </c>
      <c r="E1945" t="s">
        <v>2149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>
        <v>331.68</v>
      </c>
      <c r="M1945" s="4">
        <v>0</v>
      </c>
      <c r="N1945" s="4">
        <f>SUM(Table1[[#This Row],[2025]:[2018]])</f>
        <v>331.68</v>
      </c>
      <c r="O1945" s="2">
        <f>Table1[[#This Row],[ttl]]/SUM(Table1[ttl])</f>
        <v>6.6880916498054742E-7</v>
      </c>
      <c r="P1945" s="3">
        <f>SUM($O$2:Table1[[#This Row],[pctAllTimeExp]])</f>
        <v>0.99983681449578199</v>
      </c>
      <c r="Q1945" t="b">
        <f>Table1[[#This Row],[cumPctAllTimeExp]]&lt;0.95</f>
        <v>0</v>
      </c>
    </row>
    <row r="1946" spans="1:17" x14ac:dyDescent="0.25">
      <c r="A1946">
        <v>1138</v>
      </c>
      <c r="C1946" t="s">
        <v>2508</v>
      </c>
      <c r="E1946" t="s">
        <v>1140</v>
      </c>
      <c r="F1946" s="4">
        <v>0</v>
      </c>
      <c r="G1946" s="4">
        <v>0</v>
      </c>
      <c r="H1946" s="4">
        <v>330</v>
      </c>
      <c r="I1946" s="4">
        <v>0</v>
      </c>
      <c r="J1946" s="4">
        <v>0</v>
      </c>
      <c r="K1946" s="4">
        <v>0</v>
      </c>
      <c r="L1946" s="4">
        <v>0</v>
      </c>
      <c r="M1946" s="4">
        <v>0</v>
      </c>
      <c r="N1946" s="4">
        <f>SUM(Table1[[#This Row],[2025]:[2018]])</f>
        <v>330</v>
      </c>
      <c r="O1946" s="2">
        <f>Table1[[#This Row],[ttl]]/SUM(Table1[ttl])</f>
        <v>6.6542156428961845E-7</v>
      </c>
      <c r="P1946" s="3">
        <f>SUM($O$2:Table1[[#This Row],[pctAllTimeExp]])</f>
        <v>0.99983747991734628</v>
      </c>
      <c r="Q1946" t="b">
        <f>Table1[[#This Row],[cumPctAllTimeExp]]&lt;0.95</f>
        <v>0</v>
      </c>
    </row>
    <row r="1947" spans="1:17" x14ac:dyDescent="0.25">
      <c r="A1947">
        <v>2148</v>
      </c>
      <c r="C1947" t="s">
        <v>2508</v>
      </c>
      <c r="E1947" t="s">
        <v>2150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>
        <v>330</v>
      </c>
      <c r="M1947" s="4">
        <v>0</v>
      </c>
      <c r="N1947" s="4">
        <f>SUM(Table1[[#This Row],[2025]:[2018]])</f>
        <v>330</v>
      </c>
      <c r="O1947" s="2">
        <f>Table1[[#This Row],[ttl]]/SUM(Table1[ttl])</f>
        <v>6.6542156428961845E-7</v>
      </c>
      <c r="P1947" s="3">
        <f>SUM($O$2:Table1[[#This Row],[pctAllTimeExp]])</f>
        <v>0.99983814533891058</v>
      </c>
      <c r="Q1947" t="b">
        <f>Table1[[#This Row],[cumPctAllTimeExp]]&lt;0.95</f>
        <v>0</v>
      </c>
    </row>
    <row r="1948" spans="1:17" x14ac:dyDescent="0.25">
      <c r="A1948">
        <v>2400</v>
      </c>
      <c r="C1948" t="s">
        <v>2508</v>
      </c>
      <c r="E1948" t="s">
        <v>2402</v>
      </c>
      <c r="F1948" s="4">
        <v>0</v>
      </c>
      <c r="G1948" s="4">
        <v>0</v>
      </c>
      <c r="H1948" s="4">
        <v>0</v>
      </c>
      <c r="I1948" s="4">
        <v>0</v>
      </c>
      <c r="J1948" s="4">
        <v>0</v>
      </c>
      <c r="K1948" s="4">
        <v>0</v>
      </c>
      <c r="L1948" s="4">
        <v>0</v>
      </c>
      <c r="M1948" s="4">
        <v>330</v>
      </c>
      <c r="N1948" s="4">
        <f>SUM(Table1[[#This Row],[2025]:[2018]])</f>
        <v>330</v>
      </c>
      <c r="O1948" s="2">
        <f>Table1[[#This Row],[ttl]]/SUM(Table1[ttl])</f>
        <v>6.6542156428961845E-7</v>
      </c>
      <c r="P1948" s="3">
        <f>SUM($O$2:Table1[[#This Row],[pctAllTimeExp]])</f>
        <v>0.99983881076047487</v>
      </c>
      <c r="Q1948" t="b">
        <f>Table1[[#This Row],[cumPctAllTimeExp]]&lt;0.95</f>
        <v>0</v>
      </c>
    </row>
    <row r="1949" spans="1:17" x14ac:dyDescent="0.25">
      <c r="A1949">
        <v>1364</v>
      </c>
      <c r="C1949" t="s">
        <v>2508</v>
      </c>
      <c r="E1949" t="s">
        <v>1366</v>
      </c>
      <c r="F1949" s="4">
        <v>0</v>
      </c>
      <c r="G1949" s="4">
        <v>0</v>
      </c>
      <c r="H1949" s="4">
        <v>0</v>
      </c>
      <c r="I1949" s="4">
        <v>171</v>
      </c>
      <c r="J1949" s="4">
        <v>154.80000000000001</v>
      </c>
      <c r="K1949" s="4">
        <v>0</v>
      </c>
      <c r="L1949" s="4">
        <v>0</v>
      </c>
      <c r="M1949" s="4">
        <v>0</v>
      </c>
      <c r="N1949" s="4">
        <f>SUM(Table1[[#This Row],[2025]:[2018]])</f>
        <v>325.8</v>
      </c>
      <c r="O1949" s="2">
        <f>Table1[[#This Row],[ttl]]/SUM(Table1[ttl])</f>
        <v>6.5695256256229604E-7</v>
      </c>
      <c r="P1949" s="3">
        <f>SUM($O$2:Table1[[#This Row],[pctAllTimeExp]])</f>
        <v>0.99983946771303744</v>
      </c>
      <c r="Q1949" t="b">
        <f>Table1[[#This Row],[cumPctAllTimeExp]]&lt;0.95</f>
        <v>0</v>
      </c>
    </row>
    <row r="1950" spans="1:17" x14ac:dyDescent="0.25">
      <c r="A1950">
        <v>1931</v>
      </c>
      <c r="C1950" t="s">
        <v>2508</v>
      </c>
      <c r="E1950" t="s">
        <v>1933</v>
      </c>
      <c r="F1950" s="4">
        <v>0</v>
      </c>
      <c r="G1950" s="4">
        <v>0</v>
      </c>
      <c r="H1950" s="4">
        <v>0</v>
      </c>
      <c r="I1950" s="4">
        <v>0</v>
      </c>
      <c r="J1950" s="4">
        <v>0</v>
      </c>
      <c r="K1950" s="4">
        <v>48.04</v>
      </c>
      <c r="L1950" s="4">
        <v>33.46</v>
      </c>
      <c r="M1950" s="4">
        <v>244.17</v>
      </c>
      <c r="N1950" s="4">
        <f>SUM(Table1[[#This Row],[2025]:[2018]])</f>
        <v>325.66999999999996</v>
      </c>
      <c r="O1950" s="2">
        <f>Table1[[#This Row],[ttl]]/SUM(Table1[ttl])</f>
        <v>6.5669042679454549E-7</v>
      </c>
      <c r="P1950" s="3">
        <f>SUM($O$2:Table1[[#This Row],[pctAllTimeExp]])</f>
        <v>0.99984012440346426</v>
      </c>
      <c r="Q1950" t="b">
        <f>Table1[[#This Row],[cumPctAllTimeExp]]&lt;0.95</f>
        <v>0</v>
      </c>
    </row>
    <row r="1951" spans="1:17" x14ac:dyDescent="0.25">
      <c r="A1951">
        <v>622</v>
      </c>
      <c r="C1951" t="s">
        <v>2508</v>
      </c>
      <c r="E1951" t="s">
        <v>624</v>
      </c>
      <c r="F1951" s="4">
        <v>225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100</v>
      </c>
      <c r="N1951" s="4">
        <f>SUM(Table1[[#This Row],[2025]:[2018]])</f>
        <v>325</v>
      </c>
      <c r="O1951" s="2">
        <f>Table1[[#This Row],[ttl]]/SUM(Table1[ttl])</f>
        <v>6.5533941937613943E-7</v>
      </c>
      <c r="P1951" s="3">
        <f>SUM($O$2:Table1[[#This Row],[pctAllTimeExp]])</f>
        <v>0.99984077974288366</v>
      </c>
      <c r="Q1951" t="b">
        <f>Table1[[#This Row],[cumPctAllTimeExp]]&lt;0.95</f>
        <v>0</v>
      </c>
    </row>
    <row r="1952" spans="1:17" x14ac:dyDescent="0.25">
      <c r="A1952">
        <v>1541</v>
      </c>
      <c r="C1952" t="s">
        <v>2508</v>
      </c>
      <c r="E1952" t="s">
        <v>1543</v>
      </c>
      <c r="F1952" s="4">
        <v>0</v>
      </c>
      <c r="G1952" s="4">
        <v>0</v>
      </c>
      <c r="H1952" s="4">
        <v>0</v>
      </c>
      <c r="I1952" s="4">
        <v>0</v>
      </c>
      <c r="J1952" s="4">
        <v>325</v>
      </c>
      <c r="K1952" s="4">
        <v>0</v>
      </c>
      <c r="L1952" s="4">
        <v>0</v>
      </c>
      <c r="M1952" s="4">
        <v>0</v>
      </c>
      <c r="N1952" s="4">
        <f>SUM(Table1[[#This Row],[2025]:[2018]])</f>
        <v>325</v>
      </c>
      <c r="O1952" s="2">
        <f>Table1[[#This Row],[ttl]]/SUM(Table1[ttl])</f>
        <v>6.5533941937613943E-7</v>
      </c>
      <c r="P1952" s="3">
        <f>SUM($O$2:Table1[[#This Row],[pctAllTimeExp]])</f>
        <v>0.99984143508230305</v>
      </c>
      <c r="Q1952" t="b">
        <f>Table1[[#This Row],[cumPctAllTimeExp]]&lt;0.95</f>
        <v>0</v>
      </c>
    </row>
    <row r="1953" spans="1:17" x14ac:dyDescent="0.25">
      <c r="A1953">
        <v>1152</v>
      </c>
      <c r="C1953" t="s">
        <v>2508</v>
      </c>
      <c r="E1953" t="s">
        <v>1154</v>
      </c>
      <c r="F1953" s="4">
        <v>0</v>
      </c>
      <c r="G1953" s="4">
        <v>0</v>
      </c>
      <c r="H1953" s="4">
        <v>240</v>
      </c>
      <c r="I1953" s="4">
        <v>80</v>
      </c>
      <c r="J1953" s="4">
        <v>0</v>
      </c>
      <c r="K1953" s="4">
        <v>0</v>
      </c>
      <c r="L1953" s="4">
        <v>0</v>
      </c>
      <c r="M1953" s="4">
        <v>0</v>
      </c>
      <c r="N1953" s="4">
        <f>SUM(Table1[[#This Row],[2025]:[2018]])</f>
        <v>320</v>
      </c>
      <c r="O1953" s="2">
        <f>Table1[[#This Row],[ttl]]/SUM(Table1[ttl])</f>
        <v>6.4525727446266031E-7</v>
      </c>
      <c r="P1953" s="3">
        <f>SUM($O$2:Table1[[#This Row],[pctAllTimeExp]])</f>
        <v>0.99984208033957755</v>
      </c>
      <c r="Q1953" t="b">
        <f>Table1[[#This Row],[cumPctAllTimeExp]]&lt;0.95</f>
        <v>0</v>
      </c>
    </row>
    <row r="1954" spans="1:17" x14ac:dyDescent="0.25">
      <c r="A1954">
        <v>1542</v>
      </c>
      <c r="C1954" t="s">
        <v>2508</v>
      </c>
      <c r="E1954" t="s">
        <v>1544</v>
      </c>
      <c r="F1954" s="4">
        <v>0</v>
      </c>
      <c r="G1954" s="4">
        <v>0</v>
      </c>
      <c r="H1954" s="4">
        <v>0</v>
      </c>
      <c r="I1954" s="4">
        <v>0</v>
      </c>
      <c r="J1954" s="4">
        <v>318.58999999999997</v>
      </c>
      <c r="K1954" s="4">
        <v>0</v>
      </c>
      <c r="L1954" s="4">
        <v>0</v>
      </c>
      <c r="M1954" s="4">
        <v>0</v>
      </c>
      <c r="N1954" s="4">
        <f>SUM(Table1[[#This Row],[2025]:[2018]])</f>
        <v>318.58999999999997</v>
      </c>
      <c r="O1954" s="2">
        <f>Table1[[#This Row],[ttl]]/SUM(Table1[ttl])</f>
        <v>6.4241410959705915E-7</v>
      </c>
      <c r="P1954" s="3">
        <f>SUM($O$2:Table1[[#This Row],[pctAllTimeExp]])</f>
        <v>0.99984272275368713</v>
      </c>
      <c r="Q1954" t="b">
        <f>Table1[[#This Row],[cumPctAllTimeExp]]&lt;0.95</f>
        <v>0</v>
      </c>
    </row>
    <row r="1955" spans="1:17" x14ac:dyDescent="0.25">
      <c r="A1955">
        <v>1332</v>
      </c>
      <c r="C1955" t="s">
        <v>2508</v>
      </c>
      <c r="E1955" t="s">
        <v>1334</v>
      </c>
      <c r="F1955" s="4">
        <v>0</v>
      </c>
      <c r="G1955" s="4">
        <v>0</v>
      </c>
      <c r="H1955" s="4">
        <v>0</v>
      </c>
      <c r="I1955" s="4">
        <v>315</v>
      </c>
      <c r="J1955" s="4">
        <v>0</v>
      </c>
      <c r="K1955" s="4">
        <v>0</v>
      </c>
      <c r="L1955" s="4">
        <v>0</v>
      </c>
      <c r="M1955" s="4">
        <v>0</v>
      </c>
      <c r="N1955" s="4">
        <f>SUM(Table1[[#This Row],[2025]:[2018]])</f>
        <v>315</v>
      </c>
      <c r="O1955" s="2">
        <f>Table1[[#This Row],[ttl]]/SUM(Table1[ttl])</f>
        <v>6.3517512954918129E-7</v>
      </c>
      <c r="P1955" s="3">
        <f>SUM($O$2:Table1[[#This Row],[pctAllTimeExp]])</f>
        <v>0.99984335792881673</v>
      </c>
      <c r="Q1955" t="b">
        <f>Table1[[#This Row],[cumPctAllTimeExp]]&lt;0.95</f>
        <v>0</v>
      </c>
    </row>
    <row r="1956" spans="1:17" x14ac:dyDescent="0.25">
      <c r="A1956">
        <v>2401</v>
      </c>
      <c r="C1956" t="s">
        <v>2508</v>
      </c>
      <c r="E1956" t="s">
        <v>2403</v>
      </c>
      <c r="F1956" s="4">
        <v>0</v>
      </c>
      <c r="G1956" s="4">
        <v>0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310</v>
      </c>
      <c r="N1956" s="4">
        <f>SUM(Table1[[#This Row],[2025]:[2018]])</f>
        <v>310</v>
      </c>
      <c r="O1956" s="2">
        <f>Table1[[#This Row],[ttl]]/SUM(Table1[ttl])</f>
        <v>6.2509298463570216E-7</v>
      </c>
      <c r="P1956" s="3">
        <f>SUM($O$2:Table1[[#This Row],[pctAllTimeExp]])</f>
        <v>0.99984398302180133</v>
      </c>
      <c r="Q1956" t="b">
        <f>Table1[[#This Row],[cumPctAllTimeExp]]&lt;0.95</f>
        <v>0</v>
      </c>
    </row>
    <row r="1957" spans="1:17" x14ac:dyDescent="0.25">
      <c r="A1957">
        <v>606</v>
      </c>
      <c r="C1957" t="s">
        <v>2508</v>
      </c>
      <c r="E1957" t="s">
        <v>608</v>
      </c>
      <c r="F1957" s="4">
        <v>306.70999999999998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f>SUM(Table1[[#This Row],[2025]:[2018]])</f>
        <v>306.70999999999998</v>
      </c>
      <c r="O1957" s="2">
        <f>Table1[[#This Row],[ttl]]/SUM(Table1[ttl])</f>
        <v>6.1845893328263297E-7</v>
      </c>
      <c r="P1957" s="3">
        <f>SUM($O$2:Table1[[#This Row],[pctAllTimeExp]])</f>
        <v>0.99984460148073462</v>
      </c>
      <c r="Q1957" t="b">
        <f>Table1[[#This Row],[cumPctAllTimeExp]]&lt;0.95</f>
        <v>0</v>
      </c>
    </row>
    <row r="1958" spans="1:17" x14ac:dyDescent="0.25">
      <c r="A1958">
        <v>2402</v>
      </c>
      <c r="C1958" t="s">
        <v>2508</v>
      </c>
      <c r="E1958" t="s">
        <v>2404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>
        <v>0</v>
      </c>
      <c r="M1958" s="4">
        <v>301.75</v>
      </c>
      <c r="N1958" s="4">
        <f>SUM(Table1[[#This Row],[2025]:[2018]])</f>
        <v>301.75</v>
      </c>
      <c r="O1958" s="2">
        <f>Table1[[#This Row],[ttl]]/SUM(Table1[ttl])</f>
        <v>6.0845744552846172E-7</v>
      </c>
      <c r="P1958" s="3">
        <f>SUM($O$2:Table1[[#This Row],[pctAllTimeExp]])</f>
        <v>0.99984520993818016</v>
      </c>
      <c r="Q1958" t="b">
        <f>Table1[[#This Row],[cumPctAllTimeExp]]&lt;0.95</f>
        <v>0</v>
      </c>
    </row>
    <row r="1959" spans="1:17" x14ac:dyDescent="0.25">
      <c r="A1959">
        <v>607</v>
      </c>
      <c r="C1959" t="s">
        <v>2508</v>
      </c>
      <c r="E1959" t="s">
        <v>609</v>
      </c>
      <c r="F1959" s="4">
        <v>301.12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f>SUM(Table1[[#This Row],[2025]:[2018]])</f>
        <v>301.12</v>
      </c>
      <c r="O1959" s="2">
        <f>Table1[[#This Row],[ttl]]/SUM(Table1[ttl])</f>
        <v>6.0718709526936333E-7</v>
      </c>
      <c r="P1959" s="3">
        <f>SUM($O$2:Table1[[#This Row],[pctAllTimeExp]])</f>
        <v>0.99984581712527543</v>
      </c>
      <c r="Q1959" t="b">
        <f>Table1[[#This Row],[cumPctAllTimeExp]]&lt;0.95</f>
        <v>0</v>
      </c>
    </row>
    <row r="1960" spans="1:17" x14ac:dyDescent="0.25">
      <c r="A1960">
        <v>610</v>
      </c>
      <c r="C1960" t="s">
        <v>2508</v>
      </c>
      <c r="E1960" t="s">
        <v>612</v>
      </c>
      <c r="F1960" s="4">
        <v>300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f>SUM(Table1[[#This Row],[2025]:[2018]])</f>
        <v>300</v>
      </c>
      <c r="O1960" s="2">
        <f>Table1[[#This Row],[ttl]]/SUM(Table1[ttl])</f>
        <v>6.0492869480874402E-7</v>
      </c>
      <c r="P1960" s="3">
        <f>SUM($O$2:Table1[[#This Row],[pctAllTimeExp]])</f>
        <v>0.99984642205397023</v>
      </c>
      <c r="Q1960" t="b">
        <f>Table1[[#This Row],[cumPctAllTimeExp]]&lt;0.95</f>
        <v>0</v>
      </c>
    </row>
    <row r="1961" spans="1:17" x14ac:dyDescent="0.25">
      <c r="A1961">
        <v>899</v>
      </c>
      <c r="C1961" t="s">
        <v>2508</v>
      </c>
      <c r="E1961" t="s">
        <v>901</v>
      </c>
      <c r="F1961" s="4">
        <v>0</v>
      </c>
      <c r="G1961" s="4">
        <v>300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f>SUM(Table1[[#This Row],[2025]:[2018]])</f>
        <v>300</v>
      </c>
      <c r="O1961" s="2">
        <f>Table1[[#This Row],[ttl]]/SUM(Table1[ttl])</f>
        <v>6.0492869480874402E-7</v>
      </c>
      <c r="P1961" s="3">
        <f>SUM($O$2:Table1[[#This Row],[pctAllTimeExp]])</f>
        <v>0.99984702698266503</v>
      </c>
      <c r="Q1961" t="b">
        <f>Table1[[#This Row],[cumPctAllTimeExp]]&lt;0.95</f>
        <v>0</v>
      </c>
    </row>
    <row r="1962" spans="1:17" x14ac:dyDescent="0.25">
      <c r="A1962">
        <v>900</v>
      </c>
      <c r="C1962" t="s">
        <v>2508</v>
      </c>
      <c r="E1962" t="s">
        <v>902</v>
      </c>
      <c r="F1962" s="4">
        <v>0</v>
      </c>
      <c r="G1962" s="4">
        <v>300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f>SUM(Table1[[#This Row],[2025]:[2018]])</f>
        <v>300</v>
      </c>
      <c r="O1962" s="2">
        <f>Table1[[#This Row],[ttl]]/SUM(Table1[ttl])</f>
        <v>6.0492869480874402E-7</v>
      </c>
      <c r="P1962" s="3">
        <f>SUM($O$2:Table1[[#This Row],[pctAllTimeExp]])</f>
        <v>0.99984763191135984</v>
      </c>
      <c r="Q1962" t="b">
        <f>Table1[[#This Row],[cumPctAllTimeExp]]&lt;0.95</f>
        <v>0</v>
      </c>
    </row>
    <row r="1963" spans="1:17" x14ac:dyDescent="0.25">
      <c r="A1963">
        <v>901</v>
      </c>
      <c r="C1963" t="s">
        <v>2508</v>
      </c>
      <c r="E1963" t="s">
        <v>903</v>
      </c>
      <c r="F1963" s="4">
        <v>0</v>
      </c>
      <c r="G1963" s="4">
        <v>300</v>
      </c>
      <c r="H1963" s="4">
        <v>0</v>
      </c>
      <c r="I1963" s="4">
        <v>0</v>
      </c>
      <c r="J1963" s="4">
        <v>0</v>
      </c>
      <c r="K1963" s="4">
        <v>0</v>
      </c>
      <c r="L1963" s="4">
        <v>0</v>
      </c>
      <c r="M1963" s="4">
        <v>0</v>
      </c>
      <c r="N1963" s="4">
        <f>SUM(Table1[[#This Row],[2025]:[2018]])</f>
        <v>300</v>
      </c>
      <c r="O1963" s="2">
        <f>Table1[[#This Row],[ttl]]/SUM(Table1[ttl])</f>
        <v>6.0492869480874402E-7</v>
      </c>
      <c r="P1963" s="3">
        <f>SUM($O$2:Table1[[#This Row],[pctAllTimeExp]])</f>
        <v>0.99984823684005464</v>
      </c>
      <c r="Q1963" t="b">
        <f>Table1[[#This Row],[cumPctAllTimeExp]]&lt;0.95</f>
        <v>0</v>
      </c>
    </row>
    <row r="1964" spans="1:17" x14ac:dyDescent="0.25">
      <c r="A1964">
        <v>904</v>
      </c>
      <c r="C1964" t="s">
        <v>2508</v>
      </c>
      <c r="E1964" t="s">
        <v>906</v>
      </c>
      <c r="F1964" s="4">
        <v>0</v>
      </c>
      <c r="G1964" s="4">
        <v>300</v>
      </c>
      <c r="H1964" s="4">
        <v>0</v>
      </c>
      <c r="I1964" s="4">
        <v>0</v>
      </c>
      <c r="J1964" s="4">
        <v>0</v>
      </c>
      <c r="K1964" s="4">
        <v>0</v>
      </c>
      <c r="L1964" s="4">
        <v>0</v>
      </c>
      <c r="M1964" s="4">
        <v>0</v>
      </c>
      <c r="N1964" s="4">
        <f>SUM(Table1[[#This Row],[2025]:[2018]])</f>
        <v>300</v>
      </c>
      <c r="O1964" s="2">
        <f>Table1[[#This Row],[ttl]]/SUM(Table1[ttl])</f>
        <v>6.0492869480874402E-7</v>
      </c>
      <c r="P1964" s="3">
        <f>SUM($O$2:Table1[[#This Row],[pctAllTimeExp]])</f>
        <v>0.99984884176874944</v>
      </c>
      <c r="Q1964" t="b">
        <f>Table1[[#This Row],[cumPctAllTimeExp]]&lt;0.95</f>
        <v>0</v>
      </c>
    </row>
    <row r="1965" spans="1:17" x14ac:dyDescent="0.25">
      <c r="A1965">
        <v>936</v>
      </c>
      <c r="C1965" t="s">
        <v>2508</v>
      </c>
      <c r="E1965" t="s">
        <v>938</v>
      </c>
      <c r="F1965" s="4">
        <v>0</v>
      </c>
      <c r="G1965" s="4">
        <v>100</v>
      </c>
      <c r="H1965" s="4">
        <v>100</v>
      </c>
      <c r="I1965" s="4">
        <v>100</v>
      </c>
      <c r="J1965" s="4">
        <v>0</v>
      </c>
      <c r="K1965" s="4">
        <v>0</v>
      </c>
      <c r="L1965" s="4">
        <v>0</v>
      </c>
      <c r="M1965" s="4">
        <v>0</v>
      </c>
      <c r="N1965" s="4">
        <f>SUM(Table1[[#This Row],[2025]:[2018]])</f>
        <v>300</v>
      </c>
      <c r="O1965" s="2">
        <f>Table1[[#This Row],[ttl]]/SUM(Table1[ttl])</f>
        <v>6.0492869480874402E-7</v>
      </c>
      <c r="P1965" s="3">
        <f>SUM($O$2:Table1[[#This Row],[pctAllTimeExp]])</f>
        <v>0.99984944669744424</v>
      </c>
      <c r="Q1965" t="b">
        <f>Table1[[#This Row],[cumPctAllTimeExp]]&lt;0.95</f>
        <v>0</v>
      </c>
    </row>
    <row r="1966" spans="1:17" x14ac:dyDescent="0.25">
      <c r="A1966">
        <v>1141</v>
      </c>
      <c r="C1966" t="s">
        <v>2508</v>
      </c>
      <c r="E1966" t="s">
        <v>1143</v>
      </c>
      <c r="F1966" s="4">
        <v>0</v>
      </c>
      <c r="G1966" s="4">
        <v>0</v>
      </c>
      <c r="H1966" s="4">
        <v>300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f>SUM(Table1[[#This Row],[2025]:[2018]])</f>
        <v>300</v>
      </c>
      <c r="O1966" s="2">
        <f>Table1[[#This Row],[ttl]]/SUM(Table1[ttl])</f>
        <v>6.0492869480874402E-7</v>
      </c>
      <c r="P1966" s="3">
        <f>SUM($O$2:Table1[[#This Row],[pctAllTimeExp]])</f>
        <v>0.99985005162613905</v>
      </c>
      <c r="Q1966" t="b">
        <f>Table1[[#This Row],[cumPctAllTimeExp]]&lt;0.95</f>
        <v>0</v>
      </c>
    </row>
    <row r="1967" spans="1:17" x14ac:dyDescent="0.25">
      <c r="A1967">
        <v>1142</v>
      </c>
      <c r="C1967" t="s">
        <v>2508</v>
      </c>
      <c r="E1967" t="s">
        <v>1144</v>
      </c>
      <c r="F1967" s="4">
        <v>0</v>
      </c>
      <c r="G1967" s="4">
        <v>0</v>
      </c>
      <c r="H1967" s="4">
        <v>300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f>SUM(Table1[[#This Row],[2025]:[2018]])</f>
        <v>300</v>
      </c>
      <c r="O1967" s="2">
        <f>Table1[[#This Row],[ttl]]/SUM(Table1[ttl])</f>
        <v>6.0492869480874402E-7</v>
      </c>
      <c r="P1967" s="3">
        <f>SUM($O$2:Table1[[#This Row],[pctAllTimeExp]])</f>
        <v>0.99985065655483385</v>
      </c>
      <c r="Q1967" t="b">
        <f>Table1[[#This Row],[cumPctAllTimeExp]]&lt;0.95</f>
        <v>0</v>
      </c>
    </row>
    <row r="1968" spans="1:17" x14ac:dyDescent="0.25">
      <c r="A1968">
        <v>1143</v>
      </c>
      <c r="C1968" t="s">
        <v>2508</v>
      </c>
      <c r="E1968" t="s">
        <v>1145</v>
      </c>
      <c r="F1968" s="4">
        <v>0</v>
      </c>
      <c r="G1968" s="4">
        <v>0</v>
      </c>
      <c r="H1968" s="4">
        <v>300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f>SUM(Table1[[#This Row],[2025]:[2018]])</f>
        <v>300</v>
      </c>
      <c r="O1968" s="2">
        <f>Table1[[#This Row],[ttl]]/SUM(Table1[ttl])</f>
        <v>6.0492869480874402E-7</v>
      </c>
      <c r="P1968" s="3">
        <f>SUM($O$2:Table1[[#This Row],[pctAllTimeExp]])</f>
        <v>0.99985126148352865</v>
      </c>
      <c r="Q1968" t="b">
        <f>Table1[[#This Row],[cumPctAllTimeExp]]&lt;0.95</f>
        <v>0</v>
      </c>
    </row>
    <row r="1969" spans="1:17" x14ac:dyDescent="0.25">
      <c r="A1969">
        <v>1169</v>
      </c>
      <c r="C1969" t="s">
        <v>2508</v>
      </c>
      <c r="E1969" t="s">
        <v>1171</v>
      </c>
      <c r="F1969" s="4">
        <v>0</v>
      </c>
      <c r="G1969" s="4">
        <v>0</v>
      </c>
      <c r="H1969" s="4">
        <v>150</v>
      </c>
      <c r="I1969" s="4">
        <v>0</v>
      </c>
      <c r="J1969" s="4">
        <v>0</v>
      </c>
      <c r="K1969" s="4">
        <v>0</v>
      </c>
      <c r="L1969" s="4">
        <v>0</v>
      </c>
      <c r="M1969" s="4">
        <v>150</v>
      </c>
      <c r="N1969" s="4">
        <f>SUM(Table1[[#This Row],[2025]:[2018]])</f>
        <v>300</v>
      </c>
      <c r="O1969" s="2">
        <f>Table1[[#This Row],[ttl]]/SUM(Table1[ttl])</f>
        <v>6.0492869480874402E-7</v>
      </c>
      <c r="P1969" s="3">
        <f>SUM($O$2:Table1[[#This Row],[pctAllTimeExp]])</f>
        <v>0.99985186641222346</v>
      </c>
      <c r="Q1969" t="b">
        <f>Table1[[#This Row],[cumPctAllTimeExp]]&lt;0.95</f>
        <v>0</v>
      </c>
    </row>
    <row r="1970" spans="1:17" x14ac:dyDescent="0.25">
      <c r="A1970">
        <v>1334</v>
      </c>
      <c r="C1970" t="s">
        <v>2508</v>
      </c>
      <c r="E1970" t="s">
        <v>1336</v>
      </c>
      <c r="F1970" s="4">
        <v>0</v>
      </c>
      <c r="G1970" s="4">
        <v>0</v>
      </c>
      <c r="H1970" s="4">
        <v>0</v>
      </c>
      <c r="I1970" s="4">
        <v>300</v>
      </c>
      <c r="J1970" s="4">
        <v>0</v>
      </c>
      <c r="K1970" s="4">
        <v>0</v>
      </c>
      <c r="L1970" s="4">
        <v>0</v>
      </c>
      <c r="M1970" s="4">
        <v>0</v>
      </c>
      <c r="N1970" s="4">
        <f>SUM(Table1[[#This Row],[2025]:[2018]])</f>
        <v>300</v>
      </c>
      <c r="O1970" s="2">
        <f>Table1[[#This Row],[ttl]]/SUM(Table1[ttl])</f>
        <v>6.0492869480874402E-7</v>
      </c>
      <c r="P1970" s="3">
        <f>SUM($O$2:Table1[[#This Row],[pctAllTimeExp]])</f>
        <v>0.99985247134091826</v>
      </c>
      <c r="Q1970" t="b">
        <f>Table1[[#This Row],[cumPctAllTimeExp]]&lt;0.95</f>
        <v>0</v>
      </c>
    </row>
    <row r="1971" spans="1:17" x14ac:dyDescent="0.25">
      <c r="A1971">
        <v>1337</v>
      </c>
      <c r="C1971" t="s">
        <v>2508</v>
      </c>
      <c r="E1971" t="s">
        <v>1339</v>
      </c>
      <c r="F1971" s="4">
        <v>0</v>
      </c>
      <c r="G1971" s="4">
        <v>0</v>
      </c>
      <c r="H1971" s="4">
        <v>0</v>
      </c>
      <c r="I1971" s="4">
        <v>300</v>
      </c>
      <c r="J1971" s="4">
        <v>0</v>
      </c>
      <c r="K1971" s="4">
        <v>0</v>
      </c>
      <c r="L1971" s="4">
        <v>0</v>
      </c>
      <c r="M1971" s="4">
        <v>0</v>
      </c>
      <c r="N1971" s="4">
        <f>SUM(Table1[[#This Row],[2025]:[2018]])</f>
        <v>300</v>
      </c>
      <c r="O1971" s="2">
        <f>Table1[[#This Row],[ttl]]/SUM(Table1[ttl])</f>
        <v>6.0492869480874402E-7</v>
      </c>
      <c r="P1971" s="3">
        <f>SUM($O$2:Table1[[#This Row],[pctAllTimeExp]])</f>
        <v>0.99985307626961306</v>
      </c>
      <c r="Q1971" t="b">
        <f>Table1[[#This Row],[cumPctAllTimeExp]]&lt;0.95</f>
        <v>0</v>
      </c>
    </row>
    <row r="1972" spans="1:17" x14ac:dyDescent="0.25">
      <c r="A1972">
        <v>1338</v>
      </c>
      <c r="C1972" t="s">
        <v>2508</v>
      </c>
      <c r="E1972" t="s">
        <v>1340</v>
      </c>
      <c r="F1972" s="4">
        <v>0</v>
      </c>
      <c r="G1972" s="4">
        <v>0</v>
      </c>
      <c r="H1972" s="4">
        <v>0</v>
      </c>
      <c r="I1972" s="4">
        <v>300</v>
      </c>
      <c r="J1972" s="4">
        <v>0</v>
      </c>
      <c r="K1972" s="4">
        <v>0</v>
      </c>
      <c r="L1972" s="4">
        <v>0</v>
      </c>
      <c r="M1972" s="4">
        <v>0</v>
      </c>
      <c r="N1972" s="4">
        <f>SUM(Table1[[#This Row],[2025]:[2018]])</f>
        <v>300</v>
      </c>
      <c r="O1972" s="2">
        <f>Table1[[#This Row],[ttl]]/SUM(Table1[ttl])</f>
        <v>6.0492869480874402E-7</v>
      </c>
      <c r="P1972" s="3">
        <f>SUM($O$2:Table1[[#This Row],[pctAllTimeExp]])</f>
        <v>0.99985368119830786</v>
      </c>
      <c r="Q1972" t="b">
        <f>Table1[[#This Row],[cumPctAllTimeExp]]&lt;0.95</f>
        <v>0</v>
      </c>
    </row>
    <row r="1973" spans="1:17" x14ac:dyDescent="0.25">
      <c r="A1973">
        <v>1543</v>
      </c>
      <c r="C1973" t="s">
        <v>2508</v>
      </c>
      <c r="E1973" t="s">
        <v>1545</v>
      </c>
      <c r="F1973" s="4">
        <v>0</v>
      </c>
      <c r="G1973" s="4">
        <v>0</v>
      </c>
      <c r="H1973" s="4">
        <v>0</v>
      </c>
      <c r="I1973" s="4">
        <v>0</v>
      </c>
      <c r="J1973" s="4">
        <v>300</v>
      </c>
      <c r="K1973" s="4">
        <v>0</v>
      </c>
      <c r="L1973" s="4">
        <v>0</v>
      </c>
      <c r="M1973" s="4">
        <v>0</v>
      </c>
      <c r="N1973" s="4">
        <f>SUM(Table1[[#This Row],[2025]:[2018]])</f>
        <v>300</v>
      </c>
      <c r="O1973" s="2">
        <f>Table1[[#This Row],[ttl]]/SUM(Table1[ttl])</f>
        <v>6.0492869480874402E-7</v>
      </c>
      <c r="P1973" s="3">
        <f>SUM($O$2:Table1[[#This Row],[pctAllTimeExp]])</f>
        <v>0.99985428612700267</v>
      </c>
      <c r="Q1973" t="b">
        <f>Table1[[#This Row],[cumPctAllTimeExp]]&lt;0.95</f>
        <v>0</v>
      </c>
    </row>
    <row r="1974" spans="1:17" x14ac:dyDescent="0.25">
      <c r="A1974">
        <v>1544</v>
      </c>
      <c r="C1974" t="s">
        <v>2508</v>
      </c>
      <c r="E1974" t="s">
        <v>1546</v>
      </c>
      <c r="F1974" s="4">
        <v>0</v>
      </c>
      <c r="G1974" s="4">
        <v>0</v>
      </c>
      <c r="H1974" s="4">
        <v>0</v>
      </c>
      <c r="I1974" s="4">
        <v>0</v>
      </c>
      <c r="J1974" s="4">
        <v>300</v>
      </c>
      <c r="K1974" s="4">
        <v>0</v>
      </c>
      <c r="L1974" s="4">
        <v>0</v>
      </c>
      <c r="M1974" s="4">
        <v>0</v>
      </c>
      <c r="N1974" s="4">
        <f>SUM(Table1[[#This Row],[2025]:[2018]])</f>
        <v>300</v>
      </c>
      <c r="O1974" s="2">
        <f>Table1[[#This Row],[ttl]]/SUM(Table1[ttl])</f>
        <v>6.0492869480874402E-7</v>
      </c>
      <c r="P1974" s="3">
        <f>SUM($O$2:Table1[[#This Row],[pctAllTimeExp]])</f>
        <v>0.99985489105569747</v>
      </c>
      <c r="Q1974" t="b">
        <f>Table1[[#This Row],[cumPctAllTimeExp]]&lt;0.95</f>
        <v>0</v>
      </c>
    </row>
    <row r="1975" spans="1:17" x14ac:dyDescent="0.25">
      <c r="A1975">
        <v>1545</v>
      </c>
      <c r="C1975" t="s">
        <v>2508</v>
      </c>
      <c r="E1975" t="s">
        <v>1547</v>
      </c>
      <c r="F1975" s="4">
        <v>0</v>
      </c>
      <c r="G1975" s="4">
        <v>0</v>
      </c>
      <c r="H1975" s="4">
        <v>0</v>
      </c>
      <c r="I1975" s="4">
        <v>0</v>
      </c>
      <c r="J1975" s="4">
        <v>300</v>
      </c>
      <c r="K1975" s="4">
        <v>0</v>
      </c>
      <c r="L1975" s="4">
        <v>0</v>
      </c>
      <c r="M1975" s="4">
        <v>0</v>
      </c>
      <c r="N1975" s="4">
        <f>SUM(Table1[[#This Row],[2025]:[2018]])</f>
        <v>300</v>
      </c>
      <c r="O1975" s="2">
        <f>Table1[[#This Row],[ttl]]/SUM(Table1[ttl])</f>
        <v>6.0492869480874402E-7</v>
      </c>
      <c r="P1975" s="3">
        <f>SUM($O$2:Table1[[#This Row],[pctAllTimeExp]])</f>
        <v>0.99985549598439227</v>
      </c>
      <c r="Q1975" t="b">
        <f>Table1[[#This Row],[cumPctAllTimeExp]]&lt;0.95</f>
        <v>0</v>
      </c>
    </row>
    <row r="1976" spans="1:17" x14ac:dyDescent="0.25">
      <c r="A1976">
        <v>1546</v>
      </c>
      <c r="C1976" t="s">
        <v>2508</v>
      </c>
      <c r="E1976" t="s">
        <v>1548</v>
      </c>
      <c r="F1976" s="4">
        <v>0</v>
      </c>
      <c r="G1976" s="4">
        <v>0</v>
      </c>
      <c r="H1976" s="4">
        <v>0</v>
      </c>
      <c r="I1976" s="4">
        <v>0</v>
      </c>
      <c r="J1976" s="4">
        <v>300</v>
      </c>
      <c r="K1976" s="4">
        <v>0</v>
      </c>
      <c r="L1976" s="4">
        <v>0</v>
      </c>
      <c r="M1976" s="4">
        <v>0</v>
      </c>
      <c r="N1976" s="4">
        <f>SUM(Table1[[#This Row],[2025]:[2018]])</f>
        <v>300</v>
      </c>
      <c r="O1976" s="2">
        <f>Table1[[#This Row],[ttl]]/SUM(Table1[ttl])</f>
        <v>6.0492869480874402E-7</v>
      </c>
      <c r="P1976" s="3">
        <f>SUM($O$2:Table1[[#This Row],[pctAllTimeExp]])</f>
        <v>0.99985610091308708</v>
      </c>
      <c r="Q1976" t="b">
        <f>Table1[[#This Row],[cumPctAllTimeExp]]&lt;0.95</f>
        <v>0</v>
      </c>
    </row>
    <row r="1977" spans="1:17" x14ac:dyDescent="0.25">
      <c r="A1977">
        <v>1547</v>
      </c>
      <c r="C1977" t="s">
        <v>2508</v>
      </c>
      <c r="E1977" t="s">
        <v>1549</v>
      </c>
      <c r="F1977" s="4">
        <v>0</v>
      </c>
      <c r="G1977" s="4">
        <v>0</v>
      </c>
      <c r="H1977" s="4">
        <v>0</v>
      </c>
      <c r="I1977" s="4">
        <v>0</v>
      </c>
      <c r="J1977" s="4">
        <v>300</v>
      </c>
      <c r="K1977" s="4">
        <v>0</v>
      </c>
      <c r="L1977" s="4">
        <v>0</v>
      </c>
      <c r="M1977" s="4">
        <v>0</v>
      </c>
      <c r="N1977" s="4">
        <f>SUM(Table1[[#This Row],[2025]:[2018]])</f>
        <v>300</v>
      </c>
      <c r="O1977" s="2">
        <f>Table1[[#This Row],[ttl]]/SUM(Table1[ttl])</f>
        <v>6.0492869480874402E-7</v>
      </c>
      <c r="P1977" s="3">
        <f>SUM($O$2:Table1[[#This Row],[pctAllTimeExp]])</f>
        <v>0.99985670584178188</v>
      </c>
      <c r="Q1977" t="b">
        <f>Table1[[#This Row],[cumPctAllTimeExp]]&lt;0.95</f>
        <v>0</v>
      </c>
    </row>
    <row r="1978" spans="1:17" x14ac:dyDescent="0.25">
      <c r="A1978">
        <v>1548</v>
      </c>
      <c r="C1978" t="s">
        <v>2508</v>
      </c>
      <c r="E1978" t="s">
        <v>1550</v>
      </c>
      <c r="F1978" s="4">
        <v>0</v>
      </c>
      <c r="G1978" s="4">
        <v>0</v>
      </c>
      <c r="H1978" s="4">
        <v>0</v>
      </c>
      <c r="I1978" s="4">
        <v>0</v>
      </c>
      <c r="J1978" s="4">
        <v>300</v>
      </c>
      <c r="K1978" s="4">
        <v>0</v>
      </c>
      <c r="L1978" s="4">
        <v>0</v>
      </c>
      <c r="M1978" s="4">
        <v>0</v>
      </c>
      <c r="N1978" s="4">
        <f>SUM(Table1[[#This Row],[2025]:[2018]])</f>
        <v>300</v>
      </c>
      <c r="O1978" s="2">
        <f>Table1[[#This Row],[ttl]]/SUM(Table1[ttl])</f>
        <v>6.0492869480874402E-7</v>
      </c>
      <c r="P1978" s="3">
        <f>SUM($O$2:Table1[[#This Row],[pctAllTimeExp]])</f>
        <v>0.99985731077047668</v>
      </c>
      <c r="Q1978" t="b">
        <f>Table1[[#This Row],[cumPctAllTimeExp]]&lt;0.95</f>
        <v>0</v>
      </c>
    </row>
    <row r="1979" spans="1:17" x14ac:dyDescent="0.25">
      <c r="A1979">
        <v>1836</v>
      </c>
      <c r="C1979" t="s">
        <v>2508</v>
      </c>
      <c r="E1979" t="s">
        <v>1838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300</v>
      </c>
      <c r="L1979" s="4">
        <v>0</v>
      </c>
      <c r="M1979" s="4">
        <v>0</v>
      </c>
      <c r="N1979" s="4">
        <f>SUM(Table1[[#This Row],[2025]:[2018]])</f>
        <v>300</v>
      </c>
      <c r="O1979" s="2">
        <f>Table1[[#This Row],[ttl]]/SUM(Table1[ttl])</f>
        <v>6.0492869480874402E-7</v>
      </c>
      <c r="P1979" s="3">
        <f>SUM($O$2:Table1[[#This Row],[pctAllTimeExp]])</f>
        <v>0.99985791569917148</v>
      </c>
      <c r="Q1979" t="b">
        <f>Table1[[#This Row],[cumPctAllTimeExp]]&lt;0.95</f>
        <v>0</v>
      </c>
    </row>
    <row r="1980" spans="1:17" x14ac:dyDescent="0.25">
      <c r="A1980">
        <v>1837</v>
      </c>
      <c r="C1980" t="s">
        <v>2508</v>
      </c>
      <c r="E1980" t="s">
        <v>1839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300</v>
      </c>
      <c r="L1980" s="4">
        <v>0</v>
      </c>
      <c r="M1980" s="4">
        <v>0</v>
      </c>
      <c r="N1980" s="4">
        <f>SUM(Table1[[#This Row],[2025]:[2018]])</f>
        <v>300</v>
      </c>
      <c r="O1980" s="2">
        <f>Table1[[#This Row],[ttl]]/SUM(Table1[ttl])</f>
        <v>6.0492869480874402E-7</v>
      </c>
      <c r="P1980" s="3">
        <f>SUM($O$2:Table1[[#This Row],[pctAllTimeExp]])</f>
        <v>0.99985852062786629</v>
      </c>
      <c r="Q1980" t="b">
        <f>Table1[[#This Row],[cumPctAllTimeExp]]&lt;0.95</f>
        <v>0</v>
      </c>
    </row>
    <row r="1981" spans="1:17" x14ac:dyDescent="0.25">
      <c r="A1981">
        <v>1838</v>
      </c>
      <c r="C1981" t="s">
        <v>2508</v>
      </c>
      <c r="E1981" t="s">
        <v>1840</v>
      </c>
      <c r="F1981" s="4">
        <v>0</v>
      </c>
      <c r="G1981" s="4">
        <v>0</v>
      </c>
      <c r="H1981" s="4">
        <v>0</v>
      </c>
      <c r="I1981" s="4">
        <v>0</v>
      </c>
      <c r="J1981" s="4">
        <v>0</v>
      </c>
      <c r="K1981" s="4">
        <v>300</v>
      </c>
      <c r="L1981" s="4">
        <v>0</v>
      </c>
      <c r="M1981" s="4">
        <v>0</v>
      </c>
      <c r="N1981" s="4">
        <f>SUM(Table1[[#This Row],[2025]:[2018]])</f>
        <v>300</v>
      </c>
      <c r="O1981" s="2">
        <f>Table1[[#This Row],[ttl]]/SUM(Table1[ttl])</f>
        <v>6.0492869480874402E-7</v>
      </c>
      <c r="P1981" s="3">
        <f>SUM($O$2:Table1[[#This Row],[pctAllTimeExp]])</f>
        <v>0.99985912555656109</v>
      </c>
      <c r="Q1981" t="b">
        <f>Table1[[#This Row],[cumPctAllTimeExp]]&lt;0.95</f>
        <v>0</v>
      </c>
    </row>
    <row r="1982" spans="1:17" x14ac:dyDescent="0.25">
      <c r="A1982">
        <v>1839</v>
      </c>
      <c r="C1982" t="s">
        <v>2508</v>
      </c>
      <c r="E1982" t="s">
        <v>1841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300</v>
      </c>
      <c r="L1982" s="4">
        <v>0</v>
      </c>
      <c r="M1982" s="4">
        <v>0</v>
      </c>
      <c r="N1982" s="4">
        <f>SUM(Table1[[#This Row],[2025]:[2018]])</f>
        <v>300</v>
      </c>
      <c r="O1982" s="2">
        <f>Table1[[#This Row],[ttl]]/SUM(Table1[ttl])</f>
        <v>6.0492869480874402E-7</v>
      </c>
      <c r="P1982" s="3">
        <f>SUM($O$2:Table1[[#This Row],[pctAllTimeExp]])</f>
        <v>0.99985973048525589</v>
      </c>
      <c r="Q1982" t="b">
        <f>Table1[[#This Row],[cumPctAllTimeExp]]&lt;0.95</f>
        <v>0</v>
      </c>
    </row>
    <row r="1983" spans="1:17" x14ac:dyDescent="0.25">
      <c r="A1983">
        <v>1840</v>
      </c>
      <c r="C1983" t="s">
        <v>2508</v>
      </c>
      <c r="E1983" t="s">
        <v>1842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300</v>
      </c>
      <c r="L1983" s="4">
        <v>0</v>
      </c>
      <c r="M1983" s="4">
        <v>0</v>
      </c>
      <c r="N1983" s="4">
        <f>SUM(Table1[[#This Row],[2025]:[2018]])</f>
        <v>300</v>
      </c>
      <c r="O1983" s="2">
        <f>Table1[[#This Row],[ttl]]/SUM(Table1[ttl])</f>
        <v>6.0492869480874402E-7</v>
      </c>
      <c r="P1983" s="3">
        <f>SUM($O$2:Table1[[#This Row],[pctAllTimeExp]])</f>
        <v>0.9998603354139507</v>
      </c>
      <c r="Q1983" t="b">
        <f>Table1[[#This Row],[cumPctAllTimeExp]]&lt;0.95</f>
        <v>0</v>
      </c>
    </row>
    <row r="1984" spans="1:17" x14ac:dyDescent="0.25">
      <c r="A1984">
        <v>1894</v>
      </c>
      <c r="C1984" t="s">
        <v>2508</v>
      </c>
      <c r="E1984" t="s">
        <v>1896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150</v>
      </c>
      <c r="L1984" s="4">
        <v>0</v>
      </c>
      <c r="M1984" s="4">
        <v>150</v>
      </c>
      <c r="N1984" s="4">
        <f>SUM(Table1[[#This Row],[2025]:[2018]])</f>
        <v>300</v>
      </c>
      <c r="O1984" s="2">
        <f>Table1[[#This Row],[ttl]]/SUM(Table1[ttl])</f>
        <v>6.0492869480874402E-7</v>
      </c>
      <c r="P1984" s="3">
        <f>SUM($O$2:Table1[[#This Row],[pctAllTimeExp]])</f>
        <v>0.9998609403426455</v>
      </c>
      <c r="Q1984" t="b">
        <f>Table1[[#This Row],[cumPctAllTimeExp]]&lt;0.95</f>
        <v>0</v>
      </c>
    </row>
    <row r="1985" spans="1:17" x14ac:dyDescent="0.25">
      <c r="A1985">
        <v>2150</v>
      </c>
      <c r="C1985" t="s">
        <v>2508</v>
      </c>
      <c r="E1985" t="s">
        <v>2152</v>
      </c>
      <c r="F1985" s="4">
        <v>0</v>
      </c>
      <c r="G1985" s="4">
        <v>0</v>
      </c>
      <c r="H1985" s="4">
        <v>0</v>
      </c>
      <c r="I1985" s="4">
        <v>0</v>
      </c>
      <c r="J1985" s="4">
        <v>0</v>
      </c>
      <c r="K1985" s="4">
        <v>0</v>
      </c>
      <c r="L1985" s="4">
        <v>300</v>
      </c>
      <c r="M1985" s="4">
        <v>0</v>
      </c>
      <c r="N1985" s="4">
        <f>SUM(Table1[[#This Row],[2025]:[2018]])</f>
        <v>300</v>
      </c>
      <c r="O1985" s="2">
        <f>Table1[[#This Row],[ttl]]/SUM(Table1[ttl])</f>
        <v>6.0492869480874402E-7</v>
      </c>
      <c r="P1985" s="3">
        <f>SUM($O$2:Table1[[#This Row],[pctAllTimeExp]])</f>
        <v>0.9998615452713403</v>
      </c>
      <c r="Q1985" t="b">
        <f>Table1[[#This Row],[cumPctAllTimeExp]]&lt;0.95</f>
        <v>0</v>
      </c>
    </row>
    <row r="1986" spans="1:17" x14ac:dyDescent="0.25">
      <c r="A1986">
        <v>2152</v>
      </c>
      <c r="C1986" t="s">
        <v>2508</v>
      </c>
      <c r="E1986" t="s">
        <v>2154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>
        <v>300</v>
      </c>
      <c r="M1986" s="4">
        <v>0</v>
      </c>
      <c r="N1986" s="4">
        <f>SUM(Table1[[#This Row],[2025]:[2018]])</f>
        <v>300</v>
      </c>
      <c r="O1986" s="2">
        <f>Table1[[#This Row],[ttl]]/SUM(Table1[ttl])</f>
        <v>6.0492869480874402E-7</v>
      </c>
      <c r="P1986" s="3">
        <f>SUM($O$2:Table1[[#This Row],[pctAllTimeExp]])</f>
        <v>0.9998621502000351</v>
      </c>
      <c r="Q1986" t="b">
        <f>Table1[[#This Row],[cumPctAllTimeExp]]&lt;0.95</f>
        <v>0</v>
      </c>
    </row>
    <row r="1987" spans="1:17" x14ac:dyDescent="0.25">
      <c r="A1987">
        <v>2192</v>
      </c>
      <c r="C1987" t="s">
        <v>2508</v>
      </c>
      <c r="E1987" t="s">
        <v>2194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>
        <v>150</v>
      </c>
      <c r="M1987" s="4">
        <v>150</v>
      </c>
      <c r="N1987" s="4">
        <f>SUM(Table1[[#This Row],[2025]:[2018]])</f>
        <v>300</v>
      </c>
      <c r="O1987" s="2">
        <f>Table1[[#This Row],[ttl]]/SUM(Table1[ttl])</f>
        <v>6.0492869480874402E-7</v>
      </c>
      <c r="P1987" s="3">
        <f>SUM($O$2:Table1[[#This Row],[pctAllTimeExp]])</f>
        <v>0.99986275512872991</v>
      </c>
      <c r="Q1987" t="b">
        <f>Table1[[#This Row],[cumPctAllTimeExp]]&lt;0.95</f>
        <v>0</v>
      </c>
    </row>
    <row r="1988" spans="1:17" x14ac:dyDescent="0.25">
      <c r="A1988">
        <v>2193</v>
      </c>
      <c r="C1988" t="s">
        <v>2508</v>
      </c>
      <c r="E1988" t="s">
        <v>2195</v>
      </c>
      <c r="F1988" s="4">
        <v>0</v>
      </c>
      <c r="G1988" s="4">
        <v>0</v>
      </c>
      <c r="H1988" s="4">
        <v>0</v>
      </c>
      <c r="I1988" s="4">
        <v>0</v>
      </c>
      <c r="J1988" s="4">
        <v>0</v>
      </c>
      <c r="K1988" s="4">
        <v>0</v>
      </c>
      <c r="L1988" s="4">
        <v>150</v>
      </c>
      <c r="M1988" s="4">
        <v>150</v>
      </c>
      <c r="N1988" s="4">
        <f>SUM(Table1[[#This Row],[2025]:[2018]])</f>
        <v>300</v>
      </c>
      <c r="O1988" s="2">
        <f>Table1[[#This Row],[ttl]]/SUM(Table1[ttl])</f>
        <v>6.0492869480874402E-7</v>
      </c>
      <c r="P1988" s="3">
        <f>SUM($O$2:Table1[[#This Row],[pctAllTimeExp]])</f>
        <v>0.99986336005742471</v>
      </c>
      <c r="Q1988" t="b">
        <f>Table1[[#This Row],[cumPctAllTimeExp]]&lt;0.95</f>
        <v>0</v>
      </c>
    </row>
    <row r="1989" spans="1:17" x14ac:dyDescent="0.25">
      <c r="A1989">
        <v>2403</v>
      </c>
      <c r="C1989" t="s">
        <v>2508</v>
      </c>
      <c r="E1989" t="s">
        <v>2405</v>
      </c>
      <c r="F1989" s="4">
        <v>0</v>
      </c>
      <c r="G1989" s="4">
        <v>0</v>
      </c>
      <c r="H1989" s="4">
        <v>0</v>
      </c>
      <c r="I1989" s="4">
        <v>0</v>
      </c>
      <c r="J1989" s="4">
        <v>0</v>
      </c>
      <c r="K1989" s="4">
        <v>0</v>
      </c>
      <c r="L1989" s="4">
        <v>0</v>
      </c>
      <c r="M1989" s="4">
        <v>300</v>
      </c>
      <c r="N1989" s="4">
        <f>SUM(Table1[[#This Row],[2025]:[2018]])</f>
        <v>300</v>
      </c>
      <c r="O1989" s="2">
        <f>Table1[[#This Row],[ttl]]/SUM(Table1[ttl])</f>
        <v>6.0492869480874402E-7</v>
      </c>
      <c r="P1989" s="3">
        <f>SUM($O$2:Table1[[#This Row],[pctAllTimeExp]])</f>
        <v>0.99986396498611951</v>
      </c>
      <c r="Q1989" t="b">
        <f>Table1[[#This Row],[cumPctAllTimeExp]]&lt;0.95</f>
        <v>0</v>
      </c>
    </row>
    <row r="1990" spans="1:17" x14ac:dyDescent="0.25">
      <c r="A1990">
        <v>2404</v>
      </c>
      <c r="C1990" t="s">
        <v>2508</v>
      </c>
      <c r="E1990" t="s">
        <v>2406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0</v>
      </c>
      <c r="M1990" s="4">
        <v>300</v>
      </c>
      <c r="N1990" s="4">
        <f>SUM(Table1[[#This Row],[2025]:[2018]])</f>
        <v>300</v>
      </c>
      <c r="O1990" s="2">
        <f>Table1[[#This Row],[ttl]]/SUM(Table1[ttl])</f>
        <v>6.0492869480874402E-7</v>
      </c>
      <c r="P1990" s="3">
        <f>SUM($O$2:Table1[[#This Row],[pctAllTimeExp]])</f>
        <v>0.99986456991481432</v>
      </c>
      <c r="Q1990" t="b">
        <f>Table1[[#This Row],[cumPctAllTimeExp]]&lt;0.95</f>
        <v>0</v>
      </c>
    </row>
    <row r="1991" spans="1:17" x14ac:dyDescent="0.25">
      <c r="A1991">
        <v>2405</v>
      </c>
      <c r="C1991" t="s">
        <v>2508</v>
      </c>
      <c r="E1991" t="s">
        <v>2407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>
        <v>0</v>
      </c>
      <c r="M1991" s="4">
        <v>300</v>
      </c>
      <c r="N1991" s="4">
        <f>SUM(Table1[[#This Row],[2025]:[2018]])</f>
        <v>300</v>
      </c>
      <c r="O1991" s="2">
        <f>Table1[[#This Row],[ttl]]/SUM(Table1[ttl])</f>
        <v>6.0492869480874402E-7</v>
      </c>
      <c r="P1991" s="3">
        <f>SUM($O$2:Table1[[#This Row],[pctAllTimeExp]])</f>
        <v>0.99986517484350912</v>
      </c>
      <c r="Q1991" t="b">
        <f>Table1[[#This Row],[cumPctAllTimeExp]]&lt;0.95</f>
        <v>0</v>
      </c>
    </row>
    <row r="1992" spans="1:17" x14ac:dyDescent="0.25">
      <c r="A1992">
        <v>2406</v>
      </c>
      <c r="C1992" t="s">
        <v>2508</v>
      </c>
      <c r="E1992" t="s">
        <v>2408</v>
      </c>
      <c r="F1992" s="4">
        <v>0</v>
      </c>
      <c r="G1992" s="4">
        <v>0</v>
      </c>
      <c r="H1992" s="4">
        <v>0</v>
      </c>
      <c r="I1992" s="4">
        <v>0</v>
      </c>
      <c r="J1992" s="4">
        <v>0</v>
      </c>
      <c r="K1992" s="4">
        <v>0</v>
      </c>
      <c r="L1992" s="4">
        <v>0</v>
      </c>
      <c r="M1992" s="4">
        <v>300</v>
      </c>
      <c r="N1992" s="4">
        <f>SUM(Table1[[#This Row],[2025]:[2018]])</f>
        <v>300</v>
      </c>
      <c r="O1992" s="2">
        <f>Table1[[#This Row],[ttl]]/SUM(Table1[ttl])</f>
        <v>6.0492869480874402E-7</v>
      </c>
      <c r="P1992" s="3">
        <f>SUM($O$2:Table1[[#This Row],[pctAllTimeExp]])</f>
        <v>0.99986577977220392</v>
      </c>
      <c r="Q1992" t="b">
        <f>Table1[[#This Row],[cumPctAllTimeExp]]&lt;0.95</f>
        <v>0</v>
      </c>
    </row>
    <row r="1993" spans="1:17" x14ac:dyDescent="0.25">
      <c r="A1993">
        <v>2407</v>
      </c>
      <c r="C1993" t="s">
        <v>2508</v>
      </c>
      <c r="E1993" t="s">
        <v>2409</v>
      </c>
      <c r="F1993" s="4">
        <v>0</v>
      </c>
      <c r="G1993" s="4">
        <v>0</v>
      </c>
      <c r="H1993" s="4">
        <v>0</v>
      </c>
      <c r="I1993" s="4">
        <v>0</v>
      </c>
      <c r="J1993" s="4">
        <v>0</v>
      </c>
      <c r="K1993" s="4">
        <v>0</v>
      </c>
      <c r="L1993" s="4">
        <v>0</v>
      </c>
      <c r="M1993" s="4">
        <v>300</v>
      </c>
      <c r="N1993" s="4">
        <f>SUM(Table1[[#This Row],[2025]:[2018]])</f>
        <v>300</v>
      </c>
      <c r="O1993" s="2">
        <f>Table1[[#This Row],[ttl]]/SUM(Table1[ttl])</f>
        <v>6.0492869480874402E-7</v>
      </c>
      <c r="P1993" s="3">
        <f>SUM($O$2:Table1[[#This Row],[pctAllTimeExp]])</f>
        <v>0.99986638470089872</v>
      </c>
      <c r="Q1993" t="b">
        <f>Table1[[#This Row],[cumPctAllTimeExp]]&lt;0.95</f>
        <v>0</v>
      </c>
    </row>
    <row r="1994" spans="1:17" x14ac:dyDescent="0.25">
      <c r="A1994">
        <v>2408</v>
      </c>
      <c r="C1994" t="s">
        <v>2508</v>
      </c>
      <c r="E1994" t="s">
        <v>2410</v>
      </c>
      <c r="F1994" s="4">
        <v>0</v>
      </c>
      <c r="G1994" s="4">
        <v>0</v>
      </c>
      <c r="H1994" s="4">
        <v>0</v>
      </c>
      <c r="I1994" s="4">
        <v>0</v>
      </c>
      <c r="J1994" s="4">
        <v>0</v>
      </c>
      <c r="K1994" s="4">
        <v>0</v>
      </c>
      <c r="L1994" s="4">
        <v>0</v>
      </c>
      <c r="M1994" s="4">
        <v>300</v>
      </c>
      <c r="N1994" s="4">
        <f>SUM(Table1[[#This Row],[2025]:[2018]])</f>
        <v>300</v>
      </c>
      <c r="O1994" s="2">
        <f>Table1[[#This Row],[ttl]]/SUM(Table1[ttl])</f>
        <v>6.0492869480874402E-7</v>
      </c>
      <c r="P1994" s="3">
        <f>SUM($O$2:Table1[[#This Row],[pctAllTimeExp]])</f>
        <v>0.99986698962959353</v>
      </c>
      <c r="Q1994" t="b">
        <f>Table1[[#This Row],[cumPctAllTimeExp]]&lt;0.95</f>
        <v>0</v>
      </c>
    </row>
    <row r="1995" spans="1:17" x14ac:dyDescent="0.25">
      <c r="A1995">
        <v>2409</v>
      </c>
      <c r="C1995" t="s">
        <v>2508</v>
      </c>
      <c r="E1995" t="s">
        <v>2411</v>
      </c>
      <c r="F1995" s="4">
        <v>0</v>
      </c>
      <c r="G1995" s="4">
        <v>0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299.88</v>
      </c>
      <c r="N1995" s="4">
        <f>SUM(Table1[[#This Row],[2025]:[2018]])</f>
        <v>299.88</v>
      </c>
      <c r="O1995" s="2">
        <f>Table1[[#This Row],[ttl]]/SUM(Table1[ttl])</f>
        <v>6.0468672333082049E-7</v>
      </c>
      <c r="P1995" s="3">
        <f>SUM($O$2:Table1[[#This Row],[pctAllTimeExp]])</f>
        <v>0.99986759431631689</v>
      </c>
      <c r="Q1995" t="b">
        <f>Table1[[#This Row],[cumPctAllTimeExp]]&lt;0.95</f>
        <v>0</v>
      </c>
    </row>
    <row r="1996" spans="1:17" x14ac:dyDescent="0.25">
      <c r="A1996">
        <v>2153</v>
      </c>
      <c r="C1996" t="s">
        <v>2508</v>
      </c>
      <c r="E1996" t="s">
        <v>2155</v>
      </c>
      <c r="F1996" s="4">
        <v>0</v>
      </c>
      <c r="G1996" s="4">
        <v>0</v>
      </c>
      <c r="H1996" s="4">
        <v>0</v>
      </c>
      <c r="I1996" s="4">
        <v>0</v>
      </c>
      <c r="J1996" s="4">
        <v>0</v>
      </c>
      <c r="K1996" s="4">
        <v>0</v>
      </c>
      <c r="L1996" s="4">
        <v>299.77999999999997</v>
      </c>
      <c r="M1996" s="4">
        <v>0</v>
      </c>
      <c r="N1996" s="4">
        <f>SUM(Table1[[#This Row],[2025]:[2018]])</f>
        <v>299.77999999999997</v>
      </c>
      <c r="O1996" s="2">
        <f>Table1[[#This Row],[ttl]]/SUM(Table1[ttl])</f>
        <v>6.044850804325509E-7</v>
      </c>
      <c r="P1996" s="3">
        <f>SUM($O$2:Table1[[#This Row],[pctAllTimeExp]])</f>
        <v>0.99986819880139732</v>
      </c>
      <c r="Q1996" t="b">
        <f>Table1[[#This Row],[cumPctAllTimeExp]]&lt;0.95</f>
        <v>0</v>
      </c>
    </row>
    <row r="1997" spans="1:17" x14ac:dyDescent="0.25">
      <c r="A1997">
        <v>2154</v>
      </c>
      <c r="C1997" t="s">
        <v>2508</v>
      </c>
      <c r="E1997" t="s">
        <v>2156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4">
        <v>298</v>
      </c>
      <c r="M1997" s="4">
        <v>0</v>
      </c>
      <c r="N1997" s="4">
        <f>SUM(Table1[[#This Row],[2025]:[2018]])</f>
        <v>298</v>
      </c>
      <c r="O1997" s="2">
        <f>Table1[[#This Row],[ttl]]/SUM(Table1[ttl])</f>
        <v>6.0089583684335245E-7</v>
      </c>
      <c r="P1997" s="3">
        <f>SUM($O$2:Table1[[#This Row],[pctAllTimeExp]])</f>
        <v>0.99986879969723419</v>
      </c>
      <c r="Q1997" t="b">
        <f>Table1[[#This Row],[cumPctAllTimeExp]]&lt;0.95</f>
        <v>0</v>
      </c>
    </row>
    <row r="1998" spans="1:17" x14ac:dyDescent="0.25">
      <c r="A1998">
        <v>1841</v>
      </c>
      <c r="C1998" t="s">
        <v>2508</v>
      </c>
      <c r="E1998" t="s">
        <v>1843</v>
      </c>
      <c r="F1998" s="4">
        <v>0</v>
      </c>
      <c r="G1998" s="4">
        <v>0</v>
      </c>
      <c r="H1998" s="4">
        <v>0</v>
      </c>
      <c r="I1998" s="4">
        <v>0</v>
      </c>
      <c r="J1998" s="4">
        <v>0</v>
      </c>
      <c r="K1998" s="4">
        <v>295</v>
      </c>
      <c r="L1998" s="4">
        <v>0</v>
      </c>
      <c r="M1998" s="4">
        <v>0</v>
      </c>
      <c r="N1998" s="4">
        <f>SUM(Table1[[#This Row],[2025]:[2018]])</f>
        <v>295</v>
      </c>
      <c r="O1998" s="2">
        <f>Table1[[#This Row],[ttl]]/SUM(Table1[ttl])</f>
        <v>5.94846549895265E-7</v>
      </c>
      <c r="P1998" s="3">
        <f>SUM($O$2:Table1[[#This Row],[pctAllTimeExp]])</f>
        <v>0.9998693945437841</v>
      </c>
      <c r="Q1998" t="b">
        <f>Table1[[#This Row],[cumPctAllTimeExp]]&lt;0.95</f>
        <v>0</v>
      </c>
    </row>
    <row r="1999" spans="1:17" x14ac:dyDescent="0.25">
      <c r="A1999">
        <v>1144</v>
      </c>
      <c r="C1999" t="s">
        <v>2508</v>
      </c>
      <c r="E1999" t="s">
        <v>1146</v>
      </c>
      <c r="F1999" s="4">
        <v>0</v>
      </c>
      <c r="G1999" s="4">
        <v>0</v>
      </c>
      <c r="H1999" s="4">
        <v>294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f>SUM(Table1[[#This Row],[2025]:[2018]])</f>
        <v>294</v>
      </c>
      <c r="O1999" s="2">
        <f>Table1[[#This Row],[ttl]]/SUM(Table1[ttl])</f>
        <v>5.9283012091256922E-7</v>
      </c>
      <c r="P1999" s="3">
        <f>SUM($O$2:Table1[[#This Row],[pctAllTimeExp]])</f>
        <v>0.99986998737390498</v>
      </c>
      <c r="Q1999" t="b">
        <f>Table1[[#This Row],[cumPctAllTimeExp]]&lt;0.95</f>
        <v>0</v>
      </c>
    </row>
    <row r="2000" spans="1:17" x14ac:dyDescent="0.25">
      <c r="A2000">
        <v>1339</v>
      </c>
      <c r="C2000" t="s">
        <v>2508</v>
      </c>
      <c r="E2000" t="s">
        <v>1341</v>
      </c>
      <c r="F2000" s="4">
        <v>0</v>
      </c>
      <c r="G2000" s="4">
        <v>0</v>
      </c>
      <c r="H2000" s="4">
        <v>0</v>
      </c>
      <c r="I2000" s="4">
        <v>290</v>
      </c>
      <c r="J2000" s="4">
        <v>0</v>
      </c>
      <c r="K2000" s="4">
        <v>0</v>
      </c>
      <c r="L2000" s="4">
        <v>0</v>
      </c>
      <c r="M2000" s="4">
        <v>0</v>
      </c>
      <c r="N2000" s="4">
        <f>SUM(Table1[[#This Row],[2025]:[2018]])</f>
        <v>290</v>
      </c>
      <c r="O2000" s="2">
        <f>Table1[[#This Row],[ttl]]/SUM(Table1[ttl])</f>
        <v>5.8476440498178587E-7</v>
      </c>
      <c r="P2000" s="3">
        <f>SUM($O$2:Table1[[#This Row],[pctAllTimeExp]])</f>
        <v>0.99987057213830999</v>
      </c>
      <c r="Q2000" t="b">
        <f>Table1[[#This Row],[cumPctAllTimeExp]]&lt;0.95</f>
        <v>0</v>
      </c>
    </row>
    <row r="2001" spans="1:17" x14ac:dyDescent="0.25">
      <c r="A2001">
        <v>1340</v>
      </c>
      <c r="C2001" t="s">
        <v>2508</v>
      </c>
      <c r="E2001" t="s">
        <v>1342</v>
      </c>
      <c r="F2001" s="4">
        <v>0</v>
      </c>
      <c r="G2001" s="4">
        <v>0</v>
      </c>
      <c r="H2001" s="4">
        <v>0</v>
      </c>
      <c r="I2001" s="4">
        <v>290</v>
      </c>
      <c r="J2001" s="4">
        <v>0</v>
      </c>
      <c r="K2001" s="4">
        <v>0</v>
      </c>
      <c r="L2001" s="4">
        <v>0</v>
      </c>
      <c r="M2001" s="4">
        <v>0</v>
      </c>
      <c r="N2001" s="4">
        <f>SUM(Table1[[#This Row],[2025]:[2018]])</f>
        <v>290</v>
      </c>
      <c r="O2001" s="2">
        <f>Table1[[#This Row],[ttl]]/SUM(Table1[ttl])</f>
        <v>5.8476440498178587E-7</v>
      </c>
      <c r="P2001" s="3">
        <f>SUM($O$2:Table1[[#This Row],[pctAllTimeExp]])</f>
        <v>0.999871156902715</v>
      </c>
      <c r="Q2001" t="b">
        <f>Table1[[#This Row],[cumPctAllTimeExp]]&lt;0.95</f>
        <v>0</v>
      </c>
    </row>
    <row r="2002" spans="1:17" x14ac:dyDescent="0.25">
      <c r="A2002">
        <v>2155</v>
      </c>
      <c r="C2002" t="s">
        <v>2508</v>
      </c>
      <c r="E2002" t="s">
        <v>2157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  <c r="L2002" s="4">
        <v>288</v>
      </c>
      <c r="M2002" s="4">
        <v>0</v>
      </c>
      <c r="N2002" s="4">
        <f>SUM(Table1[[#This Row],[2025]:[2018]])</f>
        <v>288</v>
      </c>
      <c r="O2002" s="2">
        <f>Table1[[#This Row],[ttl]]/SUM(Table1[ttl])</f>
        <v>5.8073154701639431E-7</v>
      </c>
      <c r="P2002" s="3">
        <f>SUM($O$2:Table1[[#This Row],[pctAllTimeExp]])</f>
        <v>0.99987173763426196</v>
      </c>
      <c r="Q2002" t="b">
        <f>Table1[[#This Row],[cumPctAllTimeExp]]&lt;0.95</f>
        <v>0</v>
      </c>
    </row>
    <row r="2003" spans="1:17" x14ac:dyDescent="0.25">
      <c r="A2003">
        <v>1341</v>
      </c>
      <c r="C2003" t="s">
        <v>2508</v>
      </c>
      <c r="E2003" t="s">
        <v>1343</v>
      </c>
      <c r="F2003" s="4">
        <v>0</v>
      </c>
      <c r="G2003" s="4">
        <v>0</v>
      </c>
      <c r="H2003" s="4">
        <v>0</v>
      </c>
      <c r="I2003" s="4">
        <v>287.5</v>
      </c>
      <c r="J2003" s="4">
        <v>0</v>
      </c>
      <c r="K2003" s="4">
        <v>0</v>
      </c>
      <c r="L2003" s="4">
        <v>0</v>
      </c>
      <c r="M2003" s="4">
        <v>0</v>
      </c>
      <c r="N2003" s="4">
        <f>SUM(Table1[[#This Row],[2025]:[2018]])</f>
        <v>287.5</v>
      </c>
      <c r="O2003" s="2">
        <f>Table1[[#This Row],[ttl]]/SUM(Table1[ttl])</f>
        <v>5.7972333252504636E-7</v>
      </c>
      <c r="P2003" s="3">
        <f>SUM($O$2:Table1[[#This Row],[pctAllTimeExp]])</f>
        <v>0.99987231735759452</v>
      </c>
      <c r="Q2003" t="b">
        <f>Table1[[#This Row],[cumPctAllTimeExp]]&lt;0.95</f>
        <v>0</v>
      </c>
    </row>
    <row r="2004" spans="1:17" x14ac:dyDescent="0.25">
      <c r="A2004">
        <v>1842</v>
      </c>
      <c r="C2004" t="s">
        <v>2508</v>
      </c>
      <c r="E2004" t="s">
        <v>1844</v>
      </c>
      <c r="F2004" s="4">
        <v>0</v>
      </c>
      <c r="G2004" s="4">
        <v>0</v>
      </c>
      <c r="H2004" s="4">
        <v>0</v>
      </c>
      <c r="I2004" s="4">
        <v>0</v>
      </c>
      <c r="J2004" s="4">
        <v>0</v>
      </c>
      <c r="K2004" s="4">
        <v>285</v>
      </c>
      <c r="L2004" s="4">
        <v>0</v>
      </c>
      <c r="M2004" s="4">
        <v>0</v>
      </c>
      <c r="N2004" s="4">
        <f>SUM(Table1[[#This Row],[2025]:[2018]])</f>
        <v>285</v>
      </c>
      <c r="O2004" s="2">
        <f>Table1[[#This Row],[ttl]]/SUM(Table1[ttl])</f>
        <v>5.7468226006830686E-7</v>
      </c>
      <c r="P2004" s="3">
        <f>SUM($O$2:Table1[[#This Row],[pctAllTimeExp]])</f>
        <v>0.99987289203985463</v>
      </c>
      <c r="Q2004" t="b">
        <f>Table1[[#This Row],[cumPctAllTimeExp]]&lt;0.95</f>
        <v>0</v>
      </c>
    </row>
    <row r="2005" spans="1:17" x14ac:dyDescent="0.25">
      <c r="A2005">
        <v>1843</v>
      </c>
      <c r="C2005" t="s">
        <v>2508</v>
      </c>
      <c r="E2005" t="s">
        <v>1845</v>
      </c>
      <c r="F2005" s="4">
        <v>0</v>
      </c>
      <c r="G2005" s="4">
        <v>0</v>
      </c>
      <c r="H2005" s="4">
        <v>0</v>
      </c>
      <c r="I2005" s="4">
        <v>0</v>
      </c>
      <c r="J2005" s="4">
        <v>0</v>
      </c>
      <c r="K2005" s="4">
        <v>285</v>
      </c>
      <c r="L2005" s="4">
        <v>0</v>
      </c>
      <c r="M2005" s="4">
        <v>0</v>
      </c>
      <c r="N2005" s="4">
        <f>SUM(Table1[[#This Row],[2025]:[2018]])</f>
        <v>285</v>
      </c>
      <c r="O2005" s="2">
        <f>Table1[[#This Row],[ttl]]/SUM(Table1[ttl])</f>
        <v>5.7468226006830686E-7</v>
      </c>
      <c r="P2005" s="3">
        <f>SUM($O$2:Table1[[#This Row],[pctAllTimeExp]])</f>
        <v>0.99987346672211475</v>
      </c>
      <c r="Q2005" t="b">
        <f>Table1[[#This Row],[cumPctAllTimeExp]]&lt;0.95</f>
        <v>0</v>
      </c>
    </row>
    <row r="2006" spans="1:17" x14ac:dyDescent="0.25">
      <c r="A2006">
        <v>2410</v>
      </c>
      <c r="C2006" t="s">
        <v>2508</v>
      </c>
      <c r="E2006" t="s">
        <v>2412</v>
      </c>
      <c r="F2006" s="4">
        <v>0</v>
      </c>
      <c r="G2006" s="4">
        <v>0</v>
      </c>
      <c r="H2006" s="4">
        <v>0</v>
      </c>
      <c r="I2006" s="4">
        <v>0</v>
      </c>
      <c r="J2006" s="4">
        <v>0</v>
      </c>
      <c r="K2006" s="4">
        <v>0</v>
      </c>
      <c r="L2006" s="4">
        <v>0</v>
      </c>
      <c r="M2006" s="4">
        <v>285</v>
      </c>
      <c r="N2006" s="4">
        <f>SUM(Table1[[#This Row],[2025]:[2018]])</f>
        <v>285</v>
      </c>
      <c r="O2006" s="2">
        <f>Table1[[#This Row],[ttl]]/SUM(Table1[ttl])</f>
        <v>5.7468226006830686E-7</v>
      </c>
      <c r="P2006" s="3">
        <f>SUM($O$2:Table1[[#This Row],[pctAllTimeExp]])</f>
        <v>0.99987404140437486</v>
      </c>
      <c r="Q2006" t="b">
        <f>Table1[[#This Row],[cumPctAllTimeExp]]&lt;0.95</f>
        <v>0</v>
      </c>
    </row>
    <row r="2007" spans="1:17" x14ac:dyDescent="0.25">
      <c r="A2007">
        <v>1343</v>
      </c>
      <c r="C2007" t="s">
        <v>2508</v>
      </c>
      <c r="E2007" t="s">
        <v>1345</v>
      </c>
      <c r="F2007" s="4">
        <v>0</v>
      </c>
      <c r="G2007" s="4">
        <v>0</v>
      </c>
      <c r="H2007" s="4">
        <v>0</v>
      </c>
      <c r="I2007" s="4">
        <v>280</v>
      </c>
      <c r="J2007" s="4">
        <v>0</v>
      </c>
      <c r="K2007" s="4">
        <v>0</v>
      </c>
      <c r="L2007" s="4">
        <v>0</v>
      </c>
      <c r="M2007" s="4">
        <v>0</v>
      </c>
      <c r="N2007" s="4">
        <f>SUM(Table1[[#This Row],[2025]:[2018]])</f>
        <v>280</v>
      </c>
      <c r="O2007" s="2">
        <f>Table1[[#This Row],[ttl]]/SUM(Table1[ttl])</f>
        <v>5.6460011515482773E-7</v>
      </c>
      <c r="P2007" s="3">
        <f>SUM($O$2:Table1[[#This Row],[pctAllTimeExp]])</f>
        <v>0.99987460600448996</v>
      </c>
      <c r="Q2007" t="b">
        <f>Table1[[#This Row],[cumPctAllTimeExp]]&lt;0.95</f>
        <v>0</v>
      </c>
    </row>
    <row r="2008" spans="1:17" x14ac:dyDescent="0.25">
      <c r="A2008">
        <v>1375</v>
      </c>
      <c r="C2008" t="s">
        <v>2508</v>
      </c>
      <c r="E2008" t="s">
        <v>1377</v>
      </c>
      <c r="F2008" s="4">
        <v>0</v>
      </c>
      <c r="G2008" s="4">
        <v>0</v>
      </c>
      <c r="H2008" s="4">
        <v>0</v>
      </c>
      <c r="I2008" s="4">
        <v>120</v>
      </c>
      <c r="J2008" s="4">
        <v>0</v>
      </c>
      <c r="K2008" s="4">
        <v>0</v>
      </c>
      <c r="L2008" s="4">
        <v>0</v>
      </c>
      <c r="M2008" s="4">
        <v>160</v>
      </c>
      <c r="N2008" s="4">
        <f>SUM(Table1[[#This Row],[2025]:[2018]])</f>
        <v>280</v>
      </c>
      <c r="O2008" s="2">
        <f>Table1[[#This Row],[ttl]]/SUM(Table1[ttl])</f>
        <v>5.6460011515482773E-7</v>
      </c>
      <c r="P2008" s="3">
        <f>SUM($O$2:Table1[[#This Row],[pctAllTimeExp]])</f>
        <v>0.99987517060460507</v>
      </c>
      <c r="Q2008" t="b">
        <f>Table1[[#This Row],[cumPctAllTimeExp]]&lt;0.95</f>
        <v>0</v>
      </c>
    </row>
    <row r="2009" spans="1:17" x14ac:dyDescent="0.25">
      <c r="A2009">
        <v>2411</v>
      </c>
      <c r="C2009" t="s">
        <v>2508</v>
      </c>
      <c r="E2009" t="s">
        <v>2413</v>
      </c>
      <c r="F2009" s="4">
        <v>0</v>
      </c>
      <c r="G2009" s="4">
        <v>0</v>
      </c>
      <c r="H2009" s="4">
        <v>0</v>
      </c>
      <c r="I2009" s="4">
        <v>0</v>
      </c>
      <c r="J2009" s="4">
        <v>0</v>
      </c>
      <c r="K2009" s="4">
        <v>0</v>
      </c>
      <c r="L2009" s="4">
        <v>0</v>
      </c>
      <c r="M2009" s="4">
        <v>280</v>
      </c>
      <c r="N2009" s="4">
        <f>SUM(Table1[[#This Row],[2025]:[2018]])</f>
        <v>280</v>
      </c>
      <c r="O2009" s="2">
        <f>Table1[[#This Row],[ttl]]/SUM(Table1[ttl])</f>
        <v>5.6460011515482773E-7</v>
      </c>
      <c r="P2009" s="3">
        <f>SUM($O$2:Table1[[#This Row],[pctAllTimeExp]])</f>
        <v>0.99987573520472017</v>
      </c>
      <c r="Q2009" t="b">
        <f>Table1[[#This Row],[cumPctAllTimeExp]]&lt;0.95</f>
        <v>0</v>
      </c>
    </row>
    <row r="2010" spans="1:17" x14ac:dyDescent="0.25">
      <c r="A2010">
        <v>657</v>
      </c>
      <c r="C2010" t="s">
        <v>2508</v>
      </c>
      <c r="E2010" t="s">
        <v>659</v>
      </c>
      <c r="F2010" s="4">
        <v>125</v>
      </c>
      <c r="G2010" s="4">
        <v>150</v>
      </c>
      <c r="H2010" s="4">
        <v>0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  <c r="N2010" s="4">
        <f>SUM(Table1[[#This Row],[2025]:[2018]])</f>
        <v>275</v>
      </c>
      <c r="O2010" s="2">
        <f>Table1[[#This Row],[ttl]]/SUM(Table1[ttl])</f>
        <v>5.5451797024134871E-7</v>
      </c>
      <c r="P2010" s="3">
        <f>SUM($O$2:Table1[[#This Row],[pctAllTimeExp]])</f>
        <v>0.99987628972269038</v>
      </c>
      <c r="Q2010" t="b">
        <f>Table1[[#This Row],[cumPctAllTimeExp]]&lt;0.95</f>
        <v>0</v>
      </c>
    </row>
    <row r="2011" spans="1:17" x14ac:dyDescent="0.25">
      <c r="A2011">
        <v>1551</v>
      </c>
      <c r="C2011" t="s">
        <v>2508</v>
      </c>
      <c r="E2011" t="s">
        <v>1553</v>
      </c>
      <c r="F2011" s="4">
        <v>0</v>
      </c>
      <c r="G2011" s="4">
        <v>0</v>
      </c>
      <c r="H2011" s="4">
        <v>0</v>
      </c>
      <c r="I2011" s="4">
        <v>0</v>
      </c>
      <c r="J2011" s="4">
        <v>275</v>
      </c>
      <c r="K2011" s="4">
        <v>0</v>
      </c>
      <c r="L2011" s="4">
        <v>0</v>
      </c>
      <c r="M2011" s="4">
        <v>0</v>
      </c>
      <c r="N2011" s="4">
        <f>SUM(Table1[[#This Row],[2025]:[2018]])</f>
        <v>275</v>
      </c>
      <c r="O2011" s="2">
        <f>Table1[[#This Row],[ttl]]/SUM(Table1[ttl])</f>
        <v>5.5451797024134871E-7</v>
      </c>
      <c r="P2011" s="3">
        <f>SUM($O$2:Table1[[#This Row],[pctAllTimeExp]])</f>
        <v>0.99987684424066059</v>
      </c>
      <c r="Q2011" t="b">
        <f>Table1[[#This Row],[cumPctAllTimeExp]]&lt;0.95</f>
        <v>0</v>
      </c>
    </row>
    <row r="2012" spans="1:17" x14ac:dyDescent="0.25">
      <c r="A2012">
        <v>1846</v>
      </c>
      <c r="C2012" t="s">
        <v>2508</v>
      </c>
      <c r="E2012" t="s">
        <v>1848</v>
      </c>
      <c r="F2012" s="4">
        <v>0</v>
      </c>
      <c r="G2012" s="4">
        <v>0</v>
      </c>
      <c r="H2012" s="4">
        <v>0</v>
      </c>
      <c r="I2012" s="4">
        <v>0</v>
      </c>
      <c r="J2012" s="4">
        <v>0</v>
      </c>
      <c r="K2012" s="4">
        <v>275</v>
      </c>
      <c r="L2012" s="4">
        <v>0</v>
      </c>
      <c r="M2012" s="4">
        <v>0</v>
      </c>
      <c r="N2012" s="4">
        <f>SUM(Table1[[#This Row],[2025]:[2018]])</f>
        <v>275</v>
      </c>
      <c r="O2012" s="2">
        <f>Table1[[#This Row],[ttl]]/SUM(Table1[ttl])</f>
        <v>5.5451797024134871E-7</v>
      </c>
      <c r="P2012" s="3">
        <f>SUM($O$2:Table1[[#This Row],[pctAllTimeExp]])</f>
        <v>0.9998773987586308</v>
      </c>
      <c r="Q2012" t="b">
        <f>Table1[[#This Row],[cumPctAllTimeExp]]&lt;0.95</f>
        <v>0</v>
      </c>
    </row>
    <row r="2013" spans="1:17" x14ac:dyDescent="0.25">
      <c r="A2013">
        <v>1847</v>
      </c>
      <c r="C2013" t="s">
        <v>2508</v>
      </c>
      <c r="E2013" t="s">
        <v>1849</v>
      </c>
      <c r="F2013" s="4">
        <v>0</v>
      </c>
      <c r="G2013" s="4">
        <v>0</v>
      </c>
      <c r="H2013" s="4">
        <v>0</v>
      </c>
      <c r="I2013" s="4">
        <v>0</v>
      </c>
      <c r="J2013" s="4">
        <v>0</v>
      </c>
      <c r="K2013" s="4">
        <v>275</v>
      </c>
      <c r="L2013" s="4">
        <v>0</v>
      </c>
      <c r="M2013" s="4">
        <v>0</v>
      </c>
      <c r="N2013" s="4">
        <f>SUM(Table1[[#This Row],[2025]:[2018]])</f>
        <v>275</v>
      </c>
      <c r="O2013" s="2">
        <f>Table1[[#This Row],[ttl]]/SUM(Table1[ttl])</f>
        <v>5.5451797024134871E-7</v>
      </c>
      <c r="P2013" s="3">
        <f>SUM($O$2:Table1[[#This Row],[pctAllTimeExp]])</f>
        <v>0.99987795327660101</v>
      </c>
      <c r="Q2013" t="b">
        <f>Table1[[#This Row],[cumPctAllTimeExp]]&lt;0.95</f>
        <v>0</v>
      </c>
    </row>
    <row r="2014" spans="1:17" x14ac:dyDescent="0.25">
      <c r="A2014">
        <v>2412</v>
      </c>
      <c r="C2014" t="s">
        <v>2508</v>
      </c>
      <c r="E2014" t="s">
        <v>2414</v>
      </c>
      <c r="F2014" s="4">
        <v>0</v>
      </c>
      <c r="G2014" s="4">
        <v>0</v>
      </c>
      <c r="H2014" s="4">
        <v>0</v>
      </c>
      <c r="I2014" s="4">
        <v>0</v>
      </c>
      <c r="J2014" s="4">
        <v>0</v>
      </c>
      <c r="K2014" s="4">
        <v>0</v>
      </c>
      <c r="L2014" s="4">
        <v>0</v>
      </c>
      <c r="M2014" s="4">
        <v>275</v>
      </c>
      <c r="N2014" s="4">
        <f>SUM(Table1[[#This Row],[2025]:[2018]])</f>
        <v>275</v>
      </c>
      <c r="O2014" s="2">
        <f>Table1[[#This Row],[ttl]]/SUM(Table1[ttl])</f>
        <v>5.5451797024134871E-7</v>
      </c>
      <c r="P2014" s="3">
        <f>SUM($O$2:Table1[[#This Row],[pctAllTimeExp]])</f>
        <v>0.99987850779457121</v>
      </c>
      <c r="Q2014" t="b">
        <f>Table1[[#This Row],[cumPctAllTimeExp]]&lt;0.95</f>
        <v>0</v>
      </c>
    </row>
    <row r="2015" spans="1:17" x14ac:dyDescent="0.25">
      <c r="A2015">
        <v>1344</v>
      </c>
      <c r="C2015" t="s">
        <v>2508</v>
      </c>
      <c r="E2015" t="s">
        <v>1346</v>
      </c>
      <c r="F2015" s="4">
        <v>0</v>
      </c>
      <c r="G2015" s="4">
        <v>0</v>
      </c>
      <c r="H2015" s="4">
        <v>0</v>
      </c>
      <c r="I2015" s="4">
        <v>272</v>
      </c>
      <c r="J2015" s="4">
        <v>0</v>
      </c>
      <c r="K2015" s="4">
        <v>0</v>
      </c>
      <c r="L2015" s="4">
        <v>0</v>
      </c>
      <c r="M2015" s="4">
        <v>0</v>
      </c>
      <c r="N2015" s="4">
        <f>SUM(Table1[[#This Row],[2025]:[2018]])</f>
        <v>272</v>
      </c>
      <c r="O2015" s="2">
        <f>Table1[[#This Row],[ttl]]/SUM(Table1[ttl])</f>
        <v>5.4846868329326126E-7</v>
      </c>
      <c r="P2015" s="3">
        <f>SUM($O$2:Table1[[#This Row],[pctAllTimeExp]])</f>
        <v>0.99987905626325446</v>
      </c>
      <c r="Q2015" t="b">
        <f>Table1[[#This Row],[cumPctAllTimeExp]]&lt;0.95</f>
        <v>0</v>
      </c>
    </row>
    <row r="2016" spans="1:17" x14ac:dyDescent="0.25">
      <c r="A2016">
        <v>2158</v>
      </c>
      <c r="C2016" t="s">
        <v>2508</v>
      </c>
      <c r="E2016" t="s">
        <v>2160</v>
      </c>
      <c r="F2016" s="4">
        <v>0</v>
      </c>
      <c r="G2016" s="4">
        <v>0</v>
      </c>
      <c r="H2016" s="4">
        <v>0</v>
      </c>
      <c r="I2016" s="4">
        <v>0</v>
      </c>
      <c r="J2016" s="4">
        <v>0</v>
      </c>
      <c r="K2016" s="4">
        <v>0</v>
      </c>
      <c r="L2016" s="4">
        <v>270.27</v>
      </c>
      <c r="M2016" s="4">
        <v>0</v>
      </c>
      <c r="N2016" s="4">
        <f>SUM(Table1[[#This Row],[2025]:[2018]])</f>
        <v>270.27</v>
      </c>
      <c r="O2016" s="2">
        <f>Table1[[#This Row],[ttl]]/SUM(Table1[ttl])</f>
        <v>5.449802611531975E-7</v>
      </c>
      <c r="P2016" s="3">
        <f>SUM($O$2:Table1[[#This Row],[pctAllTimeExp]])</f>
        <v>0.9998796012435156</v>
      </c>
      <c r="Q2016" t="b">
        <f>Table1[[#This Row],[cumPctAllTimeExp]]&lt;0.95</f>
        <v>0</v>
      </c>
    </row>
    <row r="2017" spans="1:17" x14ac:dyDescent="0.25">
      <c r="A2017">
        <v>906</v>
      </c>
      <c r="C2017" t="s">
        <v>2508</v>
      </c>
      <c r="E2017" t="s">
        <v>908</v>
      </c>
      <c r="F2017" s="4">
        <v>0</v>
      </c>
      <c r="G2017" s="4">
        <v>270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f>SUM(Table1[[#This Row],[2025]:[2018]])</f>
        <v>270</v>
      </c>
      <c r="O2017" s="2">
        <f>Table1[[#This Row],[ttl]]/SUM(Table1[ttl])</f>
        <v>5.4443582532786969E-7</v>
      </c>
      <c r="P2017" s="3">
        <f>SUM($O$2:Table1[[#This Row],[pctAllTimeExp]])</f>
        <v>0.99988014567934091</v>
      </c>
      <c r="Q2017" t="b">
        <f>Table1[[#This Row],[cumPctAllTimeExp]]&lt;0.95</f>
        <v>0</v>
      </c>
    </row>
    <row r="2018" spans="1:17" x14ac:dyDescent="0.25">
      <c r="A2018">
        <v>1552</v>
      </c>
      <c r="C2018" t="s">
        <v>2508</v>
      </c>
      <c r="E2018" t="s">
        <v>1554</v>
      </c>
      <c r="F2018" s="4">
        <v>0</v>
      </c>
      <c r="G2018" s="4">
        <v>0</v>
      </c>
      <c r="H2018" s="4">
        <v>0</v>
      </c>
      <c r="I2018" s="4">
        <v>0</v>
      </c>
      <c r="J2018" s="4">
        <v>270</v>
      </c>
      <c r="K2018" s="4">
        <v>0</v>
      </c>
      <c r="L2018" s="4">
        <v>0</v>
      </c>
      <c r="M2018" s="4">
        <v>0</v>
      </c>
      <c r="N2018" s="4">
        <f>SUM(Table1[[#This Row],[2025]:[2018]])</f>
        <v>270</v>
      </c>
      <c r="O2018" s="2">
        <f>Table1[[#This Row],[ttl]]/SUM(Table1[ttl])</f>
        <v>5.4443582532786969E-7</v>
      </c>
      <c r="P2018" s="3">
        <f>SUM($O$2:Table1[[#This Row],[pctAllTimeExp]])</f>
        <v>0.99988069011516623</v>
      </c>
      <c r="Q2018" t="b">
        <f>Table1[[#This Row],[cumPctAllTimeExp]]&lt;0.95</f>
        <v>0</v>
      </c>
    </row>
    <row r="2019" spans="1:17" x14ac:dyDescent="0.25">
      <c r="A2019">
        <v>2413</v>
      </c>
      <c r="C2019" t="s">
        <v>2508</v>
      </c>
      <c r="E2019" t="s">
        <v>2415</v>
      </c>
      <c r="F2019" s="4">
        <v>0</v>
      </c>
      <c r="G2019" s="4">
        <v>0</v>
      </c>
      <c r="H2019" s="4">
        <v>0</v>
      </c>
      <c r="I2019" s="4">
        <v>0</v>
      </c>
      <c r="J2019" s="4">
        <v>0</v>
      </c>
      <c r="K2019" s="4">
        <v>0</v>
      </c>
      <c r="L2019" s="4">
        <v>0</v>
      </c>
      <c r="M2019" s="4">
        <v>270</v>
      </c>
      <c r="N2019" s="4">
        <f>SUM(Table1[[#This Row],[2025]:[2018]])</f>
        <v>270</v>
      </c>
      <c r="O2019" s="2">
        <f>Table1[[#This Row],[ttl]]/SUM(Table1[ttl])</f>
        <v>5.4443582532786969E-7</v>
      </c>
      <c r="P2019" s="3">
        <f>SUM($O$2:Table1[[#This Row],[pctAllTimeExp]])</f>
        <v>0.99988123455099154</v>
      </c>
      <c r="Q2019" t="b">
        <f>Table1[[#This Row],[cumPctAllTimeExp]]&lt;0.95</f>
        <v>0</v>
      </c>
    </row>
    <row r="2020" spans="1:17" x14ac:dyDescent="0.25">
      <c r="A2020">
        <v>907</v>
      </c>
      <c r="C2020" t="s">
        <v>2508</v>
      </c>
      <c r="E2020" t="s">
        <v>909</v>
      </c>
      <c r="F2020" s="4">
        <v>0</v>
      </c>
      <c r="G2020" s="4">
        <v>266.5</v>
      </c>
      <c r="H2020" s="4">
        <v>0</v>
      </c>
      <c r="I2020" s="4">
        <v>0</v>
      </c>
      <c r="J2020" s="4">
        <v>0</v>
      </c>
      <c r="K2020" s="4">
        <v>0</v>
      </c>
      <c r="L2020" s="4">
        <v>0</v>
      </c>
      <c r="M2020" s="4">
        <v>0</v>
      </c>
      <c r="N2020" s="4">
        <f>SUM(Table1[[#This Row],[2025]:[2018]])</f>
        <v>266.5</v>
      </c>
      <c r="O2020" s="2">
        <f>Table1[[#This Row],[ttl]]/SUM(Table1[ttl])</f>
        <v>5.3737832388843429E-7</v>
      </c>
      <c r="P2020" s="3">
        <f>SUM($O$2:Table1[[#This Row],[pctAllTimeExp]])</f>
        <v>0.99988177192931538</v>
      </c>
      <c r="Q2020" t="b">
        <f>Table1[[#This Row],[cumPctAllTimeExp]]&lt;0.95</f>
        <v>0</v>
      </c>
    </row>
    <row r="2021" spans="1:17" x14ac:dyDescent="0.25">
      <c r="A2021">
        <v>2159</v>
      </c>
      <c r="C2021" t="s">
        <v>2508</v>
      </c>
      <c r="E2021" t="s">
        <v>2161</v>
      </c>
      <c r="F2021" s="4">
        <v>0</v>
      </c>
      <c r="G2021" s="4">
        <v>0</v>
      </c>
      <c r="H2021" s="4">
        <v>0</v>
      </c>
      <c r="I2021" s="4">
        <v>0</v>
      </c>
      <c r="J2021" s="4">
        <v>0</v>
      </c>
      <c r="K2021" s="4">
        <v>0</v>
      </c>
      <c r="L2021" s="4">
        <v>264.2</v>
      </c>
      <c r="M2021" s="4">
        <v>0</v>
      </c>
      <c r="N2021" s="4">
        <f>SUM(Table1[[#This Row],[2025]:[2018]])</f>
        <v>264.2</v>
      </c>
      <c r="O2021" s="2">
        <f>Table1[[#This Row],[ttl]]/SUM(Table1[ttl])</f>
        <v>5.3274053722823386E-7</v>
      </c>
      <c r="P2021" s="3">
        <f>SUM($O$2:Table1[[#This Row],[pctAllTimeExp]])</f>
        <v>0.99988230466985262</v>
      </c>
      <c r="Q2021" t="b">
        <f>Table1[[#This Row],[cumPctAllTimeExp]]&lt;0.95</f>
        <v>0</v>
      </c>
    </row>
    <row r="2022" spans="1:17" x14ac:dyDescent="0.25">
      <c r="A2022">
        <v>2414</v>
      </c>
      <c r="C2022" t="s">
        <v>2508</v>
      </c>
      <c r="E2022" t="s">
        <v>2416</v>
      </c>
      <c r="F2022" s="4">
        <v>0</v>
      </c>
      <c r="G2022" s="4">
        <v>0</v>
      </c>
      <c r="H2022" s="4">
        <v>0</v>
      </c>
      <c r="I2022" s="4">
        <v>0</v>
      </c>
      <c r="J2022" s="4">
        <v>0</v>
      </c>
      <c r="K2022" s="4">
        <v>0</v>
      </c>
      <c r="L2022" s="4">
        <v>0</v>
      </c>
      <c r="M2022" s="4">
        <v>262.52</v>
      </c>
      <c r="N2022" s="4">
        <f>SUM(Table1[[#This Row],[2025]:[2018]])</f>
        <v>262.52</v>
      </c>
      <c r="O2022" s="2">
        <f>Table1[[#This Row],[ttl]]/SUM(Table1[ttl])</f>
        <v>5.2935293653730489E-7</v>
      </c>
      <c r="P2022" s="3">
        <f>SUM($O$2:Table1[[#This Row],[pctAllTimeExp]])</f>
        <v>0.9998828340227891</v>
      </c>
      <c r="Q2022" t="b">
        <f>Table1[[#This Row],[cumPctAllTimeExp]]&lt;0.95</f>
        <v>0</v>
      </c>
    </row>
    <row r="2023" spans="1:17" x14ac:dyDescent="0.25">
      <c r="A2023">
        <v>908</v>
      </c>
      <c r="C2023" t="s">
        <v>2508</v>
      </c>
      <c r="E2023" t="s">
        <v>910</v>
      </c>
      <c r="F2023" s="4">
        <v>0</v>
      </c>
      <c r="G2023" s="4">
        <v>262.26</v>
      </c>
      <c r="H2023" s="4">
        <v>0</v>
      </c>
      <c r="I2023" s="4">
        <v>0</v>
      </c>
      <c r="J2023" s="4">
        <v>0</v>
      </c>
      <c r="K2023" s="4">
        <v>0</v>
      </c>
      <c r="L2023" s="4">
        <v>0</v>
      </c>
      <c r="M2023" s="4">
        <v>0</v>
      </c>
      <c r="N2023" s="4">
        <f>SUM(Table1[[#This Row],[2025]:[2018]])</f>
        <v>262.26</v>
      </c>
      <c r="O2023" s="2">
        <f>Table1[[#This Row],[ttl]]/SUM(Table1[ttl])</f>
        <v>5.28828665001804E-7</v>
      </c>
      <c r="P2023" s="3">
        <f>SUM($O$2:Table1[[#This Row],[pctAllTimeExp]])</f>
        <v>0.99988336285145407</v>
      </c>
      <c r="Q2023" t="b">
        <f>Table1[[#This Row],[cumPctAllTimeExp]]&lt;0.95</f>
        <v>0</v>
      </c>
    </row>
    <row r="2024" spans="1:17" x14ac:dyDescent="0.25">
      <c r="A2024">
        <v>2415</v>
      </c>
      <c r="C2024" t="s">
        <v>2508</v>
      </c>
      <c r="E2024" t="s">
        <v>2417</v>
      </c>
      <c r="F2024" s="4">
        <v>0</v>
      </c>
      <c r="G2024" s="4">
        <v>0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4">
        <v>260</v>
      </c>
      <c r="N2024" s="4">
        <f>SUM(Table1[[#This Row],[2025]:[2018]])</f>
        <v>260</v>
      </c>
      <c r="O2024" s="2">
        <f>Table1[[#This Row],[ttl]]/SUM(Table1[ttl])</f>
        <v>5.2427153550091155E-7</v>
      </c>
      <c r="P2024" s="3">
        <f>SUM($O$2:Table1[[#This Row],[pctAllTimeExp]])</f>
        <v>0.99988388712298959</v>
      </c>
      <c r="Q2024" t="b">
        <f>Table1[[#This Row],[cumPctAllTimeExp]]&lt;0.95</f>
        <v>0</v>
      </c>
    </row>
    <row r="2025" spans="1:17" x14ac:dyDescent="0.25">
      <c r="A2025">
        <v>2416</v>
      </c>
      <c r="C2025" t="s">
        <v>2508</v>
      </c>
      <c r="E2025" t="s">
        <v>2418</v>
      </c>
      <c r="F2025" s="4">
        <v>0</v>
      </c>
      <c r="G2025" s="4">
        <v>0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260</v>
      </c>
      <c r="N2025" s="4">
        <f>SUM(Table1[[#This Row],[2025]:[2018]])</f>
        <v>260</v>
      </c>
      <c r="O2025" s="2">
        <f>Table1[[#This Row],[ttl]]/SUM(Table1[ttl])</f>
        <v>5.2427153550091155E-7</v>
      </c>
      <c r="P2025" s="3">
        <f>SUM($O$2:Table1[[#This Row],[pctAllTimeExp]])</f>
        <v>0.99988441139452511</v>
      </c>
      <c r="Q2025" t="b">
        <f>Table1[[#This Row],[cumPctAllTimeExp]]&lt;0.95</f>
        <v>0</v>
      </c>
    </row>
    <row r="2026" spans="1:17" x14ac:dyDescent="0.25">
      <c r="A2026">
        <v>2161</v>
      </c>
      <c r="C2026" t="s">
        <v>2508</v>
      </c>
      <c r="E2026" t="s">
        <v>2163</v>
      </c>
      <c r="F2026" s="4">
        <v>0</v>
      </c>
      <c r="G2026" s="4">
        <v>0</v>
      </c>
      <c r="H2026" s="4">
        <v>0</v>
      </c>
      <c r="I2026" s="4">
        <v>0</v>
      </c>
      <c r="J2026" s="4">
        <v>0</v>
      </c>
      <c r="K2026" s="4">
        <v>0</v>
      </c>
      <c r="L2026" s="4">
        <v>256.43</v>
      </c>
      <c r="M2026" s="4">
        <v>0</v>
      </c>
      <c r="N2026" s="4">
        <f>SUM(Table1[[#This Row],[2025]:[2018]])</f>
        <v>256.43</v>
      </c>
      <c r="O2026" s="2">
        <f>Table1[[#This Row],[ttl]]/SUM(Table1[ttl])</f>
        <v>5.1707288403268742E-7</v>
      </c>
      <c r="P2026" s="3">
        <f>SUM($O$2:Table1[[#This Row],[pctAllTimeExp]])</f>
        <v>0.99988492846740917</v>
      </c>
      <c r="Q2026" t="b">
        <f>Table1[[#This Row],[cumPctAllTimeExp]]&lt;0.95</f>
        <v>0</v>
      </c>
    </row>
    <row r="2027" spans="1:17" x14ac:dyDescent="0.25">
      <c r="A2027">
        <v>620</v>
      </c>
      <c r="C2027" t="s">
        <v>2508</v>
      </c>
      <c r="E2027" t="s">
        <v>622</v>
      </c>
      <c r="F2027" s="4">
        <v>250</v>
      </c>
      <c r="G2027" s="4">
        <v>0</v>
      </c>
      <c r="H2027" s="4">
        <v>0</v>
      </c>
      <c r="I2027" s="4">
        <v>0</v>
      </c>
      <c r="J2027" s="4">
        <v>0</v>
      </c>
      <c r="K2027" s="4">
        <v>0</v>
      </c>
      <c r="L2027" s="4">
        <v>0</v>
      </c>
      <c r="M2027" s="4">
        <v>0</v>
      </c>
      <c r="N2027" s="4">
        <f>SUM(Table1[[#This Row],[2025]:[2018]])</f>
        <v>250</v>
      </c>
      <c r="O2027" s="2">
        <f>Table1[[#This Row],[ttl]]/SUM(Table1[ttl])</f>
        <v>5.041072456739534E-7</v>
      </c>
      <c r="P2027" s="3">
        <f>SUM($O$2:Table1[[#This Row],[pctAllTimeExp]])</f>
        <v>0.9998854325746549</v>
      </c>
      <c r="Q2027" t="b">
        <f>Table1[[#This Row],[cumPctAllTimeExp]]&lt;0.95</f>
        <v>0</v>
      </c>
    </row>
    <row r="2028" spans="1:17" x14ac:dyDescent="0.25">
      <c r="A2028">
        <v>1147</v>
      </c>
      <c r="C2028" t="s">
        <v>2508</v>
      </c>
      <c r="E2028" t="s">
        <v>1149</v>
      </c>
      <c r="F2028" s="4">
        <v>0</v>
      </c>
      <c r="G2028" s="4">
        <v>0</v>
      </c>
      <c r="H2028" s="4">
        <v>250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  <c r="N2028" s="4">
        <f>SUM(Table1[[#This Row],[2025]:[2018]])</f>
        <v>250</v>
      </c>
      <c r="O2028" s="2">
        <f>Table1[[#This Row],[ttl]]/SUM(Table1[ttl])</f>
        <v>5.041072456739534E-7</v>
      </c>
      <c r="P2028" s="3">
        <f>SUM($O$2:Table1[[#This Row],[pctAllTimeExp]])</f>
        <v>0.99988593668190062</v>
      </c>
      <c r="Q2028" t="b">
        <f>Table1[[#This Row],[cumPctAllTimeExp]]&lt;0.95</f>
        <v>0</v>
      </c>
    </row>
    <row r="2029" spans="1:17" x14ac:dyDescent="0.25">
      <c r="A2029">
        <v>1148</v>
      </c>
      <c r="C2029" t="s">
        <v>2508</v>
      </c>
      <c r="E2029" t="s">
        <v>1150</v>
      </c>
      <c r="F2029" s="4">
        <v>0</v>
      </c>
      <c r="G2029" s="4">
        <v>0</v>
      </c>
      <c r="H2029" s="4">
        <v>250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f>SUM(Table1[[#This Row],[2025]:[2018]])</f>
        <v>250</v>
      </c>
      <c r="O2029" s="2">
        <f>Table1[[#This Row],[ttl]]/SUM(Table1[ttl])</f>
        <v>5.041072456739534E-7</v>
      </c>
      <c r="P2029" s="3">
        <f>SUM($O$2:Table1[[#This Row],[pctAllTimeExp]])</f>
        <v>0.99988644078914635</v>
      </c>
      <c r="Q2029" t="b">
        <f>Table1[[#This Row],[cumPctAllTimeExp]]&lt;0.95</f>
        <v>0</v>
      </c>
    </row>
    <row r="2030" spans="1:17" x14ac:dyDescent="0.25">
      <c r="A2030">
        <v>1149</v>
      </c>
      <c r="C2030" t="s">
        <v>2508</v>
      </c>
      <c r="E2030" t="s">
        <v>1151</v>
      </c>
      <c r="F2030" s="4">
        <v>0</v>
      </c>
      <c r="G2030" s="4">
        <v>0</v>
      </c>
      <c r="H2030" s="4">
        <v>250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4">
        <f>SUM(Table1[[#This Row],[2025]:[2018]])</f>
        <v>250</v>
      </c>
      <c r="O2030" s="2">
        <f>Table1[[#This Row],[ttl]]/SUM(Table1[ttl])</f>
        <v>5.041072456739534E-7</v>
      </c>
      <c r="P2030" s="3">
        <f>SUM($O$2:Table1[[#This Row],[pctAllTimeExp]])</f>
        <v>0.99988694489639207</v>
      </c>
      <c r="Q2030" t="b">
        <f>Table1[[#This Row],[cumPctAllTimeExp]]&lt;0.95</f>
        <v>0</v>
      </c>
    </row>
    <row r="2031" spans="1:17" x14ac:dyDescent="0.25">
      <c r="A2031">
        <v>1151</v>
      </c>
      <c r="C2031" t="s">
        <v>2508</v>
      </c>
      <c r="E2031" t="s">
        <v>1153</v>
      </c>
      <c r="F2031" s="4">
        <v>0</v>
      </c>
      <c r="G2031" s="4">
        <v>0</v>
      </c>
      <c r="H2031" s="4">
        <v>250</v>
      </c>
      <c r="I2031" s="4">
        <v>0</v>
      </c>
      <c r="J2031" s="4">
        <v>0</v>
      </c>
      <c r="K2031" s="4">
        <v>0</v>
      </c>
      <c r="L2031" s="4">
        <v>0</v>
      </c>
      <c r="M2031" s="4">
        <v>0</v>
      </c>
      <c r="N2031" s="4">
        <f>SUM(Table1[[#This Row],[2025]:[2018]])</f>
        <v>250</v>
      </c>
      <c r="O2031" s="2">
        <f>Table1[[#This Row],[ttl]]/SUM(Table1[ttl])</f>
        <v>5.041072456739534E-7</v>
      </c>
      <c r="P2031" s="3">
        <f>SUM($O$2:Table1[[#This Row],[pctAllTimeExp]])</f>
        <v>0.9998874490036378</v>
      </c>
      <c r="Q2031" t="b">
        <f>Table1[[#This Row],[cumPctAllTimeExp]]&lt;0.95</f>
        <v>0</v>
      </c>
    </row>
    <row r="2032" spans="1:17" x14ac:dyDescent="0.25">
      <c r="A2032">
        <v>1346</v>
      </c>
      <c r="C2032" t="s">
        <v>2508</v>
      </c>
      <c r="E2032" t="s">
        <v>1348</v>
      </c>
      <c r="F2032" s="4">
        <v>0</v>
      </c>
      <c r="G2032" s="4">
        <v>0</v>
      </c>
      <c r="H2032" s="4">
        <v>0</v>
      </c>
      <c r="I2032" s="4">
        <v>250</v>
      </c>
      <c r="J2032" s="4">
        <v>0</v>
      </c>
      <c r="K2032" s="4">
        <v>0</v>
      </c>
      <c r="L2032" s="4">
        <v>0</v>
      </c>
      <c r="M2032" s="4">
        <v>0</v>
      </c>
      <c r="N2032" s="4">
        <f>SUM(Table1[[#This Row],[2025]:[2018]])</f>
        <v>250</v>
      </c>
      <c r="O2032" s="2">
        <f>Table1[[#This Row],[ttl]]/SUM(Table1[ttl])</f>
        <v>5.041072456739534E-7</v>
      </c>
      <c r="P2032" s="3">
        <f>SUM($O$2:Table1[[#This Row],[pctAllTimeExp]])</f>
        <v>0.99988795311088352</v>
      </c>
      <c r="Q2032" t="b">
        <f>Table1[[#This Row],[cumPctAllTimeExp]]&lt;0.95</f>
        <v>0</v>
      </c>
    </row>
    <row r="2033" spans="1:17" x14ac:dyDescent="0.25">
      <c r="A2033">
        <v>1553</v>
      </c>
      <c r="C2033" t="s">
        <v>2508</v>
      </c>
      <c r="E2033" t="s">
        <v>1555</v>
      </c>
      <c r="F2033" s="4">
        <v>0</v>
      </c>
      <c r="G2033" s="4">
        <v>0</v>
      </c>
      <c r="H2033" s="4">
        <v>0</v>
      </c>
      <c r="I2033" s="4">
        <v>0</v>
      </c>
      <c r="J2033" s="4">
        <v>250</v>
      </c>
      <c r="K2033" s="4">
        <v>0</v>
      </c>
      <c r="L2033" s="4">
        <v>0</v>
      </c>
      <c r="M2033" s="4">
        <v>0</v>
      </c>
      <c r="N2033" s="4">
        <f>SUM(Table1[[#This Row],[2025]:[2018]])</f>
        <v>250</v>
      </c>
      <c r="O2033" s="2">
        <f>Table1[[#This Row],[ttl]]/SUM(Table1[ttl])</f>
        <v>5.041072456739534E-7</v>
      </c>
      <c r="P2033" s="3">
        <f>SUM($O$2:Table1[[#This Row],[pctAllTimeExp]])</f>
        <v>0.99988845721812925</v>
      </c>
      <c r="Q2033" t="b">
        <f>Table1[[#This Row],[cumPctAllTimeExp]]&lt;0.95</f>
        <v>0</v>
      </c>
    </row>
    <row r="2034" spans="1:17" x14ac:dyDescent="0.25">
      <c r="A2034">
        <v>1555</v>
      </c>
      <c r="C2034" t="s">
        <v>2508</v>
      </c>
      <c r="E2034" t="s">
        <v>1557</v>
      </c>
      <c r="F2034" s="4">
        <v>0</v>
      </c>
      <c r="G2034" s="4">
        <v>0</v>
      </c>
      <c r="H2034" s="4">
        <v>0</v>
      </c>
      <c r="I2034" s="4">
        <v>0</v>
      </c>
      <c r="J2034" s="4">
        <v>250</v>
      </c>
      <c r="K2034" s="4">
        <v>0</v>
      </c>
      <c r="L2034" s="4">
        <v>0</v>
      </c>
      <c r="M2034" s="4">
        <v>0</v>
      </c>
      <c r="N2034" s="4">
        <f>SUM(Table1[[#This Row],[2025]:[2018]])</f>
        <v>250</v>
      </c>
      <c r="O2034" s="2">
        <f>Table1[[#This Row],[ttl]]/SUM(Table1[ttl])</f>
        <v>5.041072456739534E-7</v>
      </c>
      <c r="P2034" s="3">
        <f>SUM($O$2:Table1[[#This Row],[pctAllTimeExp]])</f>
        <v>0.99988896132537497</v>
      </c>
      <c r="Q2034" t="b">
        <f>Table1[[#This Row],[cumPctAllTimeExp]]&lt;0.95</f>
        <v>0</v>
      </c>
    </row>
    <row r="2035" spans="1:17" x14ac:dyDescent="0.25">
      <c r="A2035">
        <v>1556</v>
      </c>
      <c r="C2035" t="s">
        <v>2508</v>
      </c>
      <c r="E2035" t="s">
        <v>1558</v>
      </c>
      <c r="F2035" s="4">
        <v>0</v>
      </c>
      <c r="G2035" s="4">
        <v>0</v>
      </c>
      <c r="H2035" s="4">
        <v>0</v>
      </c>
      <c r="I2035" s="4">
        <v>0</v>
      </c>
      <c r="J2035" s="4">
        <v>250</v>
      </c>
      <c r="K2035" s="4">
        <v>0</v>
      </c>
      <c r="L2035" s="4">
        <v>0</v>
      </c>
      <c r="M2035" s="4">
        <v>0</v>
      </c>
      <c r="N2035" s="4">
        <f>SUM(Table1[[#This Row],[2025]:[2018]])</f>
        <v>250</v>
      </c>
      <c r="O2035" s="2">
        <f>Table1[[#This Row],[ttl]]/SUM(Table1[ttl])</f>
        <v>5.041072456739534E-7</v>
      </c>
      <c r="P2035" s="3">
        <f>SUM($O$2:Table1[[#This Row],[pctAllTimeExp]])</f>
        <v>0.99988946543262069</v>
      </c>
      <c r="Q2035" t="b">
        <f>Table1[[#This Row],[cumPctAllTimeExp]]&lt;0.95</f>
        <v>0</v>
      </c>
    </row>
    <row r="2036" spans="1:17" x14ac:dyDescent="0.25">
      <c r="A2036">
        <v>1557</v>
      </c>
      <c r="C2036" t="s">
        <v>2508</v>
      </c>
      <c r="E2036" t="s">
        <v>1559</v>
      </c>
      <c r="F2036" s="4">
        <v>0</v>
      </c>
      <c r="G2036" s="4">
        <v>0</v>
      </c>
      <c r="H2036" s="4">
        <v>0</v>
      </c>
      <c r="I2036" s="4">
        <v>0</v>
      </c>
      <c r="J2036" s="4">
        <v>250</v>
      </c>
      <c r="K2036" s="4">
        <v>0</v>
      </c>
      <c r="L2036" s="4">
        <v>0</v>
      </c>
      <c r="M2036" s="4">
        <v>0</v>
      </c>
      <c r="N2036" s="4">
        <f>SUM(Table1[[#This Row],[2025]:[2018]])</f>
        <v>250</v>
      </c>
      <c r="O2036" s="2">
        <f>Table1[[#This Row],[ttl]]/SUM(Table1[ttl])</f>
        <v>5.041072456739534E-7</v>
      </c>
      <c r="P2036" s="3">
        <f>SUM($O$2:Table1[[#This Row],[pctAllTimeExp]])</f>
        <v>0.99988996953986642</v>
      </c>
      <c r="Q2036" t="b">
        <f>Table1[[#This Row],[cumPctAllTimeExp]]&lt;0.95</f>
        <v>0</v>
      </c>
    </row>
    <row r="2037" spans="1:17" x14ac:dyDescent="0.25">
      <c r="A2037">
        <v>1849</v>
      </c>
      <c r="C2037" t="s">
        <v>2508</v>
      </c>
      <c r="E2037" t="s">
        <v>1851</v>
      </c>
      <c r="F2037" s="4">
        <v>0</v>
      </c>
      <c r="G2037" s="4">
        <v>0</v>
      </c>
      <c r="H2037" s="4">
        <v>0</v>
      </c>
      <c r="I2037" s="4">
        <v>0</v>
      </c>
      <c r="J2037" s="4">
        <v>0</v>
      </c>
      <c r="K2037" s="4">
        <v>250</v>
      </c>
      <c r="L2037" s="4">
        <v>0</v>
      </c>
      <c r="M2037" s="4">
        <v>0</v>
      </c>
      <c r="N2037" s="4">
        <f>SUM(Table1[[#This Row],[2025]:[2018]])</f>
        <v>250</v>
      </c>
      <c r="O2037" s="2">
        <f>Table1[[#This Row],[ttl]]/SUM(Table1[ttl])</f>
        <v>5.041072456739534E-7</v>
      </c>
      <c r="P2037" s="3">
        <f>SUM($O$2:Table1[[#This Row],[pctAllTimeExp]])</f>
        <v>0.99989047364711214</v>
      </c>
      <c r="Q2037" t="b">
        <f>Table1[[#This Row],[cumPctAllTimeExp]]&lt;0.95</f>
        <v>0</v>
      </c>
    </row>
    <row r="2038" spans="1:17" x14ac:dyDescent="0.25">
      <c r="A2038">
        <v>1850</v>
      </c>
      <c r="C2038" t="s">
        <v>2508</v>
      </c>
      <c r="E2038" t="s">
        <v>1852</v>
      </c>
      <c r="F2038" s="4">
        <v>0</v>
      </c>
      <c r="G2038" s="4">
        <v>0</v>
      </c>
      <c r="H2038" s="4">
        <v>0</v>
      </c>
      <c r="I2038" s="4">
        <v>0</v>
      </c>
      <c r="J2038" s="4">
        <v>0</v>
      </c>
      <c r="K2038" s="4">
        <v>250</v>
      </c>
      <c r="L2038" s="4">
        <v>0</v>
      </c>
      <c r="M2038" s="4">
        <v>0</v>
      </c>
      <c r="N2038" s="4">
        <f>SUM(Table1[[#This Row],[2025]:[2018]])</f>
        <v>250</v>
      </c>
      <c r="O2038" s="2">
        <f>Table1[[#This Row],[ttl]]/SUM(Table1[ttl])</f>
        <v>5.041072456739534E-7</v>
      </c>
      <c r="P2038" s="3">
        <f>SUM($O$2:Table1[[#This Row],[pctAllTimeExp]])</f>
        <v>0.99989097775435787</v>
      </c>
      <c r="Q2038" t="b">
        <f>Table1[[#This Row],[cumPctAllTimeExp]]&lt;0.95</f>
        <v>0</v>
      </c>
    </row>
    <row r="2039" spans="1:17" x14ac:dyDescent="0.25">
      <c r="A2039">
        <v>1852</v>
      </c>
      <c r="C2039" t="s">
        <v>2508</v>
      </c>
      <c r="E2039" t="s">
        <v>1854</v>
      </c>
      <c r="F2039" s="4">
        <v>0</v>
      </c>
      <c r="G2039" s="4">
        <v>0</v>
      </c>
      <c r="H2039" s="4">
        <v>0</v>
      </c>
      <c r="I2039" s="4">
        <v>0</v>
      </c>
      <c r="J2039" s="4">
        <v>0</v>
      </c>
      <c r="K2039" s="4">
        <v>250</v>
      </c>
      <c r="L2039" s="4">
        <v>0</v>
      </c>
      <c r="M2039" s="4">
        <v>0</v>
      </c>
      <c r="N2039" s="4">
        <f>SUM(Table1[[#This Row],[2025]:[2018]])</f>
        <v>250</v>
      </c>
      <c r="O2039" s="2">
        <f>Table1[[#This Row],[ttl]]/SUM(Table1[ttl])</f>
        <v>5.041072456739534E-7</v>
      </c>
      <c r="P2039" s="3">
        <f>SUM($O$2:Table1[[#This Row],[pctAllTimeExp]])</f>
        <v>0.99989148186160359</v>
      </c>
      <c r="Q2039" t="b">
        <f>Table1[[#This Row],[cumPctAllTimeExp]]&lt;0.95</f>
        <v>0</v>
      </c>
    </row>
    <row r="2040" spans="1:17" x14ac:dyDescent="0.25">
      <c r="A2040">
        <v>1853</v>
      </c>
      <c r="C2040" t="s">
        <v>2508</v>
      </c>
      <c r="E2040" t="s">
        <v>1855</v>
      </c>
      <c r="F2040" s="4">
        <v>0</v>
      </c>
      <c r="G2040" s="4">
        <v>0</v>
      </c>
      <c r="H2040" s="4">
        <v>0</v>
      </c>
      <c r="I2040" s="4">
        <v>0</v>
      </c>
      <c r="J2040" s="4">
        <v>0</v>
      </c>
      <c r="K2040" s="4">
        <v>250</v>
      </c>
      <c r="L2040" s="4">
        <v>0</v>
      </c>
      <c r="M2040" s="4">
        <v>0</v>
      </c>
      <c r="N2040" s="4">
        <f>SUM(Table1[[#This Row],[2025]:[2018]])</f>
        <v>250</v>
      </c>
      <c r="O2040" s="2">
        <f>Table1[[#This Row],[ttl]]/SUM(Table1[ttl])</f>
        <v>5.041072456739534E-7</v>
      </c>
      <c r="P2040" s="3">
        <f>SUM($O$2:Table1[[#This Row],[pctAllTimeExp]])</f>
        <v>0.99989198596884932</v>
      </c>
      <c r="Q2040" t="b">
        <f>Table1[[#This Row],[cumPctAllTimeExp]]&lt;0.95</f>
        <v>0</v>
      </c>
    </row>
    <row r="2041" spans="1:17" x14ac:dyDescent="0.25">
      <c r="A2041">
        <v>2417</v>
      </c>
      <c r="C2041" t="s">
        <v>2508</v>
      </c>
      <c r="E2041" t="s">
        <v>2419</v>
      </c>
      <c r="F2041" s="4">
        <v>0</v>
      </c>
      <c r="G2041" s="4">
        <v>0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250</v>
      </c>
      <c r="N2041" s="4">
        <f>SUM(Table1[[#This Row],[2025]:[2018]])</f>
        <v>250</v>
      </c>
      <c r="O2041" s="2">
        <f>Table1[[#This Row],[ttl]]/SUM(Table1[ttl])</f>
        <v>5.041072456739534E-7</v>
      </c>
      <c r="P2041" s="3">
        <f>SUM($O$2:Table1[[#This Row],[pctAllTimeExp]])</f>
        <v>0.99989249007609504</v>
      </c>
      <c r="Q2041" t="b">
        <f>Table1[[#This Row],[cumPctAllTimeExp]]&lt;0.95</f>
        <v>0</v>
      </c>
    </row>
    <row r="2042" spans="1:17" x14ac:dyDescent="0.25">
      <c r="A2042">
        <v>2418</v>
      </c>
      <c r="C2042" t="s">
        <v>2508</v>
      </c>
      <c r="E2042" t="s">
        <v>2420</v>
      </c>
      <c r="F2042" s="4">
        <v>0</v>
      </c>
      <c r="G2042" s="4">
        <v>0</v>
      </c>
      <c r="H2042" s="4">
        <v>0</v>
      </c>
      <c r="I2042" s="4">
        <v>0</v>
      </c>
      <c r="J2042" s="4">
        <v>0</v>
      </c>
      <c r="K2042" s="4">
        <v>0</v>
      </c>
      <c r="L2042" s="4">
        <v>0</v>
      </c>
      <c r="M2042" s="4">
        <v>250</v>
      </c>
      <c r="N2042" s="4">
        <f>SUM(Table1[[#This Row],[2025]:[2018]])</f>
        <v>250</v>
      </c>
      <c r="O2042" s="2">
        <f>Table1[[#This Row],[ttl]]/SUM(Table1[ttl])</f>
        <v>5.041072456739534E-7</v>
      </c>
      <c r="P2042" s="3">
        <f>SUM($O$2:Table1[[#This Row],[pctAllTimeExp]])</f>
        <v>0.99989299418334077</v>
      </c>
      <c r="Q2042" t="b">
        <f>Table1[[#This Row],[cumPctAllTimeExp]]&lt;0.95</f>
        <v>0</v>
      </c>
    </row>
    <row r="2043" spans="1:17" x14ac:dyDescent="0.25">
      <c r="A2043">
        <v>1917</v>
      </c>
      <c r="C2043" t="s">
        <v>2508</v>
      </c>
      <c r="E2043" t="s">
        <v>1919</v>
      </c>
      <c r="F2043" s="4">
        <v>0</v>
      </c>
      <c r="G2043" s="4">
        <v>0</v>
      </c>
      <c r="H2043" s="4">
        <v>0</v>
      </c>
      <c r="I2043" s="4">
        <v>0</v>
      </c>
      <c r="J2043" s="4">
        <v>0</v>
      </c>
      <c r="K2043" s="4">
        <v>99.62</v>
      </c>
      <c r="L2043" s="4">
        <v>0</v>
      </c>
      <c r="M2043" s="4">
        <v>148.88999999999999</v>
      </c>
      <c r="N2043" s="4">
        <f>SUM(Table1[[#This Row],[2025]:[2018]])</f>
        <v>248.51</v>
      </c>
      <c r="O2043" s="2">
        <f>Table1[[#This Row],[ttl]]/SUM(Table1[ttl])</f>
        <v>5.0110276648973659E-7</v>
      </c>
      <c r="P2043" s="3">
        <f>SUM($O$2:Table1[[#This Row],[pctAllTimeExp]])</f>
        <v>0.99989349528610727</v>
      </c>
      <c r="Q2043" t="b">
        <f>Table1[[#This Row],[cumPctAllTimeExp]]&lt;0.95</f>
        <v>0</v>
      </c>
    </row>
    <row r="2044" spans="1:17" x14ac:dyDescent="0.25">
      <c r="A2044">
        <v>1854</v>
      </c>
      <c r="C2044" t="s">
        <v>2508</v>
      </c>
      <c r="E2044" t="s">
        <v>1856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4">
        <v>248</v>
      </c>
      <c r="L2044" s="4">
        <v>0</v>
      </c>
      <c r="M2044" s="4">
        <v>0</v>
      </c>
      <c r="N2044" s="4">
        <f>SUM(Table1[[#This Row],[2025]:[2018]])</f>
        <v>248</v>
      </c>
      <c r="O2044" s="2">
        <f>Table1[[#This Row],[ttl]]/SUM(Table1[ttl])</f>
        <v>5.0007438770856173E-7</v>
      </c>
      <c r="P2044" s="3">
        <f>SUM($O$2:Table1[[#This Row],[pctAllTimeExp]])</f>
        <v>0.99989399536049495</v>
      </c>
      <c r="Q2044" t="b">
        <f>Table1[[#This Row],[cumPctAllTimeExp]]&lt;0.95</f>
        <v>0</v>
      </c>
    </row>
    <row r="2045" spans="1:17" x14ac:dyDescent="0.25">
      <c r="A2045">
        <v>2162</v>
      </c>
      <c r="C2045" t="s">
        <v>2508</v>
      </c>
      <c r="E2045" t="s">
        <v>2164</v>
      </c>
      <c r="F2045" s="4">
        <v>0</v>
      </c>
      <c r="G2045" s="4">
        <v>0</v>
      </c>
      <c r="H2045" s="4">
        <v>0</v>
      </c>
      <c r="I2045" s="4">
        <v>0</v>
      </c>
      <c r="J2045" s="4">
        <v>0</v>
      </c>
      <c r="K2045" s="4">
        <v>0</v>
      </c>
      <c r="L2045" s="4">
        <v>248</v>
      </c>
      <c r="M2045" s="4">
        <v>0</v>
      </c>
      <c r="N2045" s="4">
        <f>SUM(Table1[[#This Row],[2025]:[2018]])</f>
        <v>248</v>
      </c>
      <c r="O2045" s="2">
        <f>Table1[[#This Row],[ttl]]/SUM(Table1[ttl])</f>
        <v>5.0007438770856173E-7</v>
      </c>
      <c r="P2045" s="3">
        <f>SUM($O$2:Table1[[#This Row],[pctAllTimeExp]])</f>
        <v>0.99989449543488262</v>
      </c>
      <c r="Q2045" t="b">
        <f>Table1[[#This Row],[cumPctAllTimeExp]]&lt;0.95</f>
        <v>0</v>
      </c>
    </row>
    <row r="2046" spans="1:17" x14ac:dyDescent="0.25">
      <c r="A2046">
        <v>2163</v>
      </c>
      <c r="C2046" t="s">
        <v>2508</v>
      </c>
      <c r="E2046" t="s">
        <v>2165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4">
        <v>0</v>
      </c>
      <c r="L2046" s="4">
        <v>245</v>
      </c>
      <c r="M2046" s="4">
        <v>0</v>
      </c>
      <c r="N2046" s="4">
        <f>SUM(Table1[[#This Row],[2025]:[2018]])</f>
        <v>245</v>
      </c>
      <c r="O2046" s="2">
        <f>Table1[[#This Row],[ttl]]/SUM(Table1[ttl])</f>
        <v>4.9402510076047428E-7</v>
      </c>
      <c r="P2046" s="3">
        <f>SUM($O$2:Table1[[#This Row],[pctAllTimeExp]])</f>
        <v>0.99989498945998334</v>
      </c>
      <c r="Q2046" t="b">
        <f>Table1[[#This Row],[cumPctAllTimeExp]]&lt;0.95</f>
        <v>0</v>
      </c>
    </row>
    <row r="2047" spans="1:17" x14ac:dyDescent="0.25">
      <c r="A2047">
        <v>1855</v>
      </c>
      <c r="C2047" t="s">
        <v>2508</v>
      </c>
      <c r="E2047" t="s">
        <v>1857</v>
      </c>
      <c r="F2047" s="4">
        <v>0</v>
      </c>
      <c r="G2047" s="4">
        <v>0</v>
      </c>
      <c r="H2047" s="4">
        <v>0</v>
      </c>
      <c r="I2047" s="4">
        <v>0</v>
      </c>
      <c r="J2047" s="4">
        <v>0</v>
      </c>
      <c r="K2047" s="4">
        <v>244.41</v>
      </c>
      <c r="L2047" s="4">
        <v>0</v>
      </c>
      <c r="M2047" s="4">
        <v>0</v>
      </c>
      <c r="N2047" s="4">
        <f>SUM(Table1[[#This Row],[2025]:[2018]])</f>
        <v>244.41</v>
      </c>
      <c r="O2047" s="2">
        <f>Table1[[#This Row],[ttl]]/SUM(Table1[ttl])</f>
        <v>4.9283540766068377E-7</v>
      </c>
      <c r="P2047" s="3">
        <f>SUM($O$2:Table1[[#This Row],[pctAllTimeExp]])</f>
        <v>0.99989548229539105</v>
      </c>
      <c r="Q2047" t="b">
        <f>Table1[[#This Row],[cumPctAllTimeExp]]&lt;0.95</f>
        <v>0</v>
      </c>
    </row>
    <row r="2048" spans="1:17" x14ac:dyDescent="0.25">
      <c r="A2048">
        <v>927</v>
      </c>
      <c r="C2048" t="s">
        <v>2508</v>
      </c>
      <c r="E2048" t="s">
        <v>929</v>
      </c>
      <c r="F2048" s="4">
        <v>0</v>
      </c>
      <c r="G2048" s="4">
        <v>129</v>
      </c>
      <c r="H2048" s="4">
        <v>0</v>
      </c>
      <c r="I2048" s="4">
        <v>0</v>
      </c>
      <c r="J2048" s="4">
        <v>0</v>
      </c>
      <c r="K2048" s="4">
        <v>115</v>
      </c>
      <c r="L2048" s="4">
        <v>0</v>
      </c>
      <c r="M2048" s="4">
        <v>0</v>
      </c>
      <c r="N2048" s="4">
        <f>SUM(Table1[[#This Row],[2025]:[2018]])</f>
        <v>244</v>
      </c>
      <c r="O2048" s="2">
        <f>Table1[[#This Row],[ttl]]/SUM(Table1[ttl])</f>
        <v>4.9200867177777849E-7</v>
      </c>
      <c r="P2048" s="3">
        <f>SUM($O$2:Table1[[#This Row],[pctAllTimeExp]])</f>
        <v>0.99989597430406285</v>
      </c>
      <c r="Q2048" t="b">
        <f>Table1[[#This Row],[cumPctAllTimeExp]]&lt;0.95</f>
        <v>0</v>
      </c>
    </row>
    <row r="2049" spans="1:17" x14ac:dyDescent="0.25">
      <c r="A2049">
        <v>1396</v>
      </c>
      <c r="C2049" t="s">
        <v>2508</v>
      </c>
      <c r="E2049" t="s">
        <v>1398</v>
      </c>
      <c r="F2049" s="4">
        <v>0</v>
      </c>
      <c r="G2049" s="4">
        <v>0</v>
      </c>
      <c r="H2049" s="4">
        <v>0</v>
      </c>
      <c r="I2049" s="4">
        <v>24.95</v>
      </c>
      <c r="J2049" s="4">
        <v>0</v>
      </c>
      <c r="K2049" s="4">
        <v>0</v>
      </c>
      <c r="L2049" s="4">
        <v>216.37</v>
      </c>
      <c r="M2049" s="4">
        <v>0</v>
      </c>
      <c r="N2049" s="4">
        <f>SUM(Table1[[#This Row],[2025]:[2018]])</f>
        <v>241.32</v>
      </c>
      <c r="O2049" s="2">
        <f>Table1[[#This Row],[ttl]]/SUM(Table1[ttl])</f>
        <v>4.8660464210415375E-7</v>
      </c>
      <c r="P2049" s="3">
        <f>SUM($O$2:Table1[[#This Row],[pctAllTimeExp]])</f>
        <v>0.99989646090870499</v>
      </c>
      <c r="Q2049" t="b">
        <f>Table1[[#This Row],[cumPctAllTimeExp]]&lt;0.95</f>
        <v>0</v>
      </c>
    </row>
    <row r="2050" spans="1:17" x14ac:dyDescent="0.25">
      <c r="A2050">
        <v>1602</v>
      </c>
      <c r="C2050" t="s">
        <v>2508</v>
      </c>
      <c r="E2050" t="s">
        <v>1604</v>
      </c>
      <c r="F2050" s="4">
        <v>0</v>
      </c>
      <c r="G2050" s="4">
        <v>0</v>
      </c>
      <c r="H2050" s="4">
        <v>0</v>
      </c>
      <c r="I2050" s="4">
        <v>0</v>
      </c>
      <c r="J2050" s="4">
        <v>120</v>
      </c>
      <c r="K2050" s="4">
        <v>120</v>
      </c>
      <c r="L2050" s="4">
        <v>0</v>
      </c>
      <c r="M2050" s="4">
        <v>0</v>
      </c>
      <c r="N2050" s="4">
        <f>SUM(Table1[[#This Row],[2025]:[2018]])</f>
        <v>240</v>
      </c>
      <c r="O2050" s="2">
        <f>Table1[[#This Row],[ttl]]/SUM(Table1[ttl])</f>
        <v>4.8394295584699526E-7</v>
      </c>
      <c r="P2050" s="3">
        <f>SUM($O$2:Table1[[#This Row],[pctAllTimeExp]])</f>
        <v>0.99989694485166081</v>
      </c>
      <c r="Q2050" t="b">
        <f>Table1[[#This Row],[cumPctAllTimeExp]]&lt;0.95</f>
        <v>0</v>
      </c>
    </row>
    <row r="2051" spans="1:17" x14ac:dyDescent="0.25">
      <c r="A2051">
        <v>1856</v>
      </c>
      <c r="C2051" t="s">
        <v>2508</v>
      </c>
      <c r="E2051" t="s">
        <v>1858</v>
      </c>
      <c r="F2051" s="4">
        <v>0</v>
      </c>
      <c r="G2051" s="4">
        <v>0</v>
      </c>
      <c r="H2051" s="4">
        <v>0</v>
      </c>
      <c r="I2051" s="4">
        <v>0</v>
      </c>
      <c r="J2051" s="4">
        <v>0</v>
      </c>
      <c r="K2051" s="4">
        <v>240</v>
      </c>
      <c r="L2051" s="4">
        <v>0</v>
      </c>
      <c r="M2051" s="4">
        <v>0</v>
      </c>
      <c r="N2051" s="4">
        <f>SUM(Table1[[#This Row],[2025]:[2018]])</f>
        <v>240</v>
      </c>
      <c r="O2051" s="2">
        <f>Table1[[#This Row],[ttl]]/SUM(Table1[ttl])</f>
        <v>4.8394295584699526E-7</v>
      </c>
      <c r="P2051" s="3">
        <f>SUM($O$2:Table1[[#This Row],[pctAllTimeExp]])</f>
        <v>0.99989742879461663</v>
      </c>
      <c r="Q2051" t="b">
        <f>Table1[[#This Row],[cumPctAllTimeExp]]&lt;0.95</f>
        <v>0</v>
      </c>
    </row>
    <row r="2052" spans="1:17" x14ac:dyDescent="0.25">
      <c r="A2052">
        <v>2166</v>
      </c>
      <c r="C2052" t="s">
        <v>2508</v>
      </c>
      <c r="E2052" t="s">
        <v>2168</v>
      </c>
      <c r="F2052" s="4">
        <v>0</v>
      </c>
      <c r="G2052" s="4">
        <v>0</v>
      </c>
      <c r="H2052" s="4">
        <v>0</v>
      </c>
      <c r="I2052" s="4">
        <v>0</v>
      </c>
      <c r="J2052" s="4">
        <v>0</v>
      </c>
      <c r="K2052" s="4">
        <v>0</v>
      </c>
      <c r="L2052" s="4">
        <v>240</v>
      </c>
      <c r="M2052" s="4">
        <v>0</v>
      </c>
      <c r="N2052" s="4">
        <f>SUM(Table1[[#This Row],[2025]:[2018]])</f>
        <v>240</v>
      </c>
      <c r="O2052" s="2">
        <f>Table1[[#This Row],[ttl]]/SUM(Table1[ttl])</f>
        <v>4.8394295584699526E-7</v>
      </c>
      <c r="P2052" s="3">
        <f>SUM($O$2:Table1[[#This Row],[pctAllTimeExp]])</f>
        <v>0.99989791273757245</v>
      </c>
      <c r="Q2052" t="b">
        <f>Table1[[#This Row],[cumPctAllTimeExp]]&lt;0.95</f>
        <v>0</v>
      </c>
    </row>
    <row r="2053" spans="1:17" x14ac:dyDescent="0.25">
      <c r="A2053">
        <v>2419</v>
      </c>
      <c r="C2053" t="s">
        <v>2508</v>
      </c>
      <c r="E2053" t="s">
        <v>2421</v>
      </c>
      <c r="F2053" s="4">
        <v>0</v>
      </c>
      <c r="G2053" s="4">
        <v>0</v>
      </c>
      <c r="H2053" s="4">
        <v>0</v>
      </c>
      <c r="I2053" s="4">
        <v>0</v>
      </c>
      <c r="J2053" s="4">
        <v>0</v>
      </c>
      <c r="K2053" s="4">
        <v>0</v>
      </c>
      <c r="L2053" s="4">
        <v>0</v>
      </c>
      <c r="M2053" s="4">
        <v>240</v>
      </c>
      <c r="N2053" s="4">
        <f>SUM(Table1[[#This Row],[2025]:[2018]])</f>
        <v>240</v>
      </c>
      <c r="O2053" s="2">
        <f>Table1[[#This Row],[ttl]]/SUM(Table1[ttl])</f>
        <v>4.8394295584699526E-7</v>
      </c>
      <c r="P2053" s="3">
        <f>SUM($O$2:Table1[[#This Row],[pctAllTimeExp]])</f>
        <v>0.99989839668052827</v>
      </c>
      <c r="Q2053" t="b">
        <f>Table1[[#This Row],[cumPctAllTimeExp]]&lt;0.95</f>
        <v>0</v>
      </c>
    </row>
    <row r="2054" spans="1:17" x14ac:dyDescent="0.25">
      <c r="A2054">
        <v>1348</v>
      </c>
      <c r="C2054" t="s">
        <v>2508</v>
      </c>
      <c r="E2054" t="s">
        <v>1350</v>
      </c>
      <c r="F2054" s="4">
        <v>0</v>
      </c>
      <c r="G2054" s="4">
        <v>0</v>
      </c>
      <c r="H2054" s="4">
        <v>0</v>
      </c>
      <c r="I2054" s="4">
        <v>239.95</v>
      </c>
      <c r="J2054" s="4">
        <v>0</v>
      </c>
      <c r="K2054" s="4">
        <v>0</v>
      </c>
      <c r="L2054" s="4">
        <v>0</v>
      </c>
      <c r="M2054" s="4">
        <v>0</v>
      </c>
      <c r="N2054" s="4">
        <f>SUM(Table1[[#This Row],[2025]:[2018]])</f>
        <v>239.95</v>
      </c>
      <c r="O2054" s="2">
        <f>Table1[[#This Row],[ttl]]/SUM(Table1[ttl])</f>
        <v>4.8384213439786046E-7</v>
      </c>
      <c r="P2054" s="3">
        <f>SUM($O$2:Table1[[#This Row],[pctAllTimeExp]])</f>
        <v>0.99989888052266263</v>
      </c>
      <c r="Q2054" t="b">
        <f>Table1[[#This Row],[cumPctAllTimeExp]]&lt;0.95</f>
        <v>0</v>
      </c>
    </row>
    <row r="2055" spans="1:17" x14ac:dyDescent="0.25">
      <c r="A2055">
        <v>1561</v>
      </c>
      <c r="C2055" t="s">
        <v>2508</v>
      </c>
      <c r="E2055" t="s">
        <v>1563</v>
      </c>
      <c r="F2055" s="4">
        <v>0</v>
      </c>
      <c r="G2055" s="4">
        <v>0</v>
      </c>
      <c r="H2055" s="4">
        <v>0</v>
      </c>
      <c r="I2055" s="4">
        <v>0</v>
      </c>
      <c r="J2055" s="4">
        <v>238</v>
      </c>
      <c r="K2055" s="4">
        <v>0</v>
      </c>
      <c r="L2055" s="4">
        <v>0</v>
      </c>
      <c r="M2055" s="4">
        <v>0</v>
      </c>
      <c r="N2055" s="4">
        <f>SUM(Table1[[#This Row],[2025]:[2018]])</f>
        <v>238</v>
      </c>
      <c r="O2055" s="2">
        <f>Table1[[#This Row],[ttl]]/SUM(Table1[ttl])</f>
        <v>4.7991009788160359E-7</v>
      </c>
      <c r="P2055" s="3">
        <f>SUM($O$2:Table1[[#This Row],[pctAllTimeExp]])</f>
        <v>0.99989936043276051</v>
      </c>
      <c r="Q2055" t="b">
        <f>Table1[[#This Row],[cumPctAllTimeExp]]&lt;0.95</f>
        <v>0</v>
      </c>
    </row>
    <row r="2056" spans="1:17" x14ac:dyDescent="0.25">
      <c r="A2056">
        <v>2420</v>
      </c>
      <c r="C2056" t="s">
        <v>2508</v>
      </c>
      <c r="E2056" t="s">
        <v>2422</v>
      </c>
      <c r="F2056" s="4">
        <v>0</v>
      </c>
      <c r="G2056" s="4">
        <v>0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4">
        <v>235.92</v>
      </c>
      <c r="N2056" s="4">
        <f>SUM(Table1[[#This Row],[2025]:[2018]])</f>
        <v>235.92</v>
      </c>
      <c r="O2056" s="2">
        <f>Table1[[#This Row],[ttl]]/SUM(Table1[ttl])</f>
        <v>4.7571592559759632E-7</v>
      </c>
      <c r="P2056" s="3">
        <f>SUM($O$2:Table1[[#This Row],[pctAllTimeExp]])</f>
        <v>0.99989983614868616</v>
      </c>
      <c r="Q2056" t="b">
        <f>Table1[[#This Row],[cumPctAllTimeExp]]&lt;0.95</f>
        <v>0</v>
      </c>
    </row>
    <row r="2057" spans="1:17" x14ac:dyDescent="0.25">
      <c r="A2057">
        <v>1562</v>
      </c>
      <c r="C2057" t="s">
        <v>2508</v>
      </c>
      <c r="E2057" t="s">
        <v>1564</v>
      </c>
      <c r="F2057" s="4">
        <v>0</v>
      </c>
      <c r="G2057" s="4">
        <v>0</v>
      </c>
      <c r="H2057" s="4">
        <v>0</v>
      </c>
      <c r="I2057" s="4">
        <v>0</v>
      </c>
      <c r="J2057" s="4">
        <v>235</v>
      </c>
      <c r="K2057" s="4">
        <v>0</v>
      </c>
      <c r="L2057" s="4">
        <v>0</v>
      </c>
      <c r="M2057" s="4">
        <v>0</v>
      </c>
      <c r="N2057" s="4">
        <f>SUM(Table1[[#This Row],[2025]:[2018]])</f>
        <v>235</v>
      </c>
      <c r="O2057" s="2">
        <f>Table1[[#This Row],[ttl]]/SUM(Table1[ttl])</f>
        <v>4.7386081093351619E-7</v>
      </c>
      <c r="P2057" s="3">
        <f>SUM($O$2:Table1[[#This Row],[pctAllTimeExp]])</f>
        <v>0.99990031000949708</v>
      </c>
      <c r="Q2057" t="b">
        <f>Table1[[#This Row],[cumPctAllTimeExp]]&lt;0.95</f>
        <v>0</v>
      </c>
    </row>
    <row r="2058" spans="1:17" x14ac:dyDescent="0.25">
      <c r="A2058">
        <v>1563</v>
      </c>
      <c r="C2058" t="s">
        <v>2508</v>
      </c>
      <c r="E2058" t="s">
        <v>1565</v>
      </c>
      <c r="F2058" s="4">
        <v>0</v>
      </c>
      <c r="G2058" s="4">
        <v>0</v>
      </c>
      <c r="H2058" s="4">
        <v>0</v>
      </c>
      <c r="I2058" s="4">
        <v>0</v>
      </c>
      <c r="J2058" s="4">
        <v>235</v>
      </c>
      <c r="K2058" s="4">
        <v>0</v>
      </c>
      <c r="L2058" s="4">
        <v>0</v>
      </c>
      <c r="M2058" s="4">
        <v>0</v>
      </c>
      <c r="N2058" s="4">
        <f>SUM(Table1[[#This Row],[2025]:[2018]])</f>
        <v>235</v>
      </c>
      <c r="O2058" s="2">
        <f>Table1[[#This Row],[ttl]]/SUM(Table1[ttl])</f>
        <v>4.7386081093351619E-7</v>
      </c>
      <c r="P2058" s="3">
        <f>SUM($O$2:Table1[[#This Row],[pctAllTimeExp]])</f>
        <v>0.99990078387030801</v>
      </c>
      <c r="Q2058" t="b">
        <f>Table1[[#This Row],[cumPctAllTimeExp]]&lt;0.95</f>
        <v>0</v>
      </c>
    </row>
    <row r="2059" spans="1:17" x14ac:dyDescent="0.25">
      <c r="A2059">
        <v>1154</v>
      </c>
      <c r="C2059" t="s">
        <v>2508</v>
      </c>
      <c r="E2059" t="s">
        <v>1156</v>
      </c>
      <c r="F2059" s="4">
        <v>0</v>
      </c>
      <c r="G2059" s="4">
        <v>0</v>
      </c>
      <c r="H2059" s="4">
        <v>232.46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f>SUM(Table1[[#This Row],[2025]:[2018]])</f>
        <v>232.46</v>
      </c>
      <c r="O2059" s="2">
        <f>Table1[[#This Row],[ttl]]/SUM(Table1[ttl])</f>
        <v>4.687390813174688E-7</v>
      </c>
      <c r="P2059" s="3">
        <f>SUM($O$2:Table1[[#This Row],[pctAllTimeExp]])</f>
        <v>0.99990125260938933</v>
      </c>
      <c r="Q2059" t="b">
        <f>Table1[[#This Row],[cumPctAllTimeExp]]&lt;0.95</f>
        <v>0</v>
      </c>
    </row>
    <row r="2060" spans="1:17" x14ac:dyDescent="0.25">
      <c r="A2060">
        <v>2167</v>
      </c>
      <c r="C2060" t="s">
        <v>2508</v>
      </c>
      <c r="E2060" t="s">
        <v>2169</v>
      </c>
      <c r="F2060" s="4">
        <v>0</v>
      </c>
      <c r="G2060" s="4">
        <v>0</v>
      </c>
      <c r="H2060" s="4">
        <v>0</v>
      </c>
      <c r="I2060" s="4">
        <v>0</v>
      </c>
      <c r="J2060" s="4">
        <v>0</v>
      </c>
      <c r="K2060" s="4">
        <v>0</v>
      </c>
      <c r="L2060" s="4">
        <v>232</v>
      </c>
      <c r="M2060" s="4">
        <v>0</v>
      </c>
      <c r="N2060" s="4">
        <f>SUM(Table1[[#This Row],[2025]:[2018]])</f>
        <v>232</v>
      </c>
      <c r="O2060" s="2">
        <f>Table1[[#This Row],[ttl]]/SUM(Table1[ttl])</f>
        <v>4.6781152398542873E-7</v>
      </c>
      <c r="P2060" s="3">
        <f>SUM($O$2:Table1[[#This Row],[pctAllTimeExp]])</f>
        <v>0.9999017204209133</v>
      </c>
      <c r="Q2060" t="b">
        <f>Table1[[#This Row],[cumPctAllTimeExp]]&lt;0.95</f>
        <v>0</v>
      </c>
    </row>
    <row r="2061" spans="1:17" x14ac:dyDescent="0.25">
      <c r="A2061">
        <v>2168</v>
      </c>
      <c r="C2061" t="s">
        <v>2508</v>
      </c>
      <c r="E2061" t="s">
        <v>2170</v>
      </c>
      <c r="F2061" s="4">
        <v>0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  <c r="L2061" s="4">
        <v>231.78</v>
      </c>
      <c r="M2061" s="4">
        <v>0</v>
      </c>
      <c r="N2061" s="4">
        <f>SUM(Table1[[#This Row],[2025]:[2018]])</f>
        <v>231.78</v>
      </c>
      <c r="O2061" s="2">
        <f>Table1[[#This Row],[ttl]]/SUM(Table1[ttl])</f>
        <v>4.6736790960923567E-7</v>
      </c>
      <c r="P2061" s="3">
        <f>SUM($O$2:Table1[[#This Row],[pctAllTimeExp]])</f>
        <v>0.99990218778882289</v>
      </c>
      <c r="Q2061" t="b">
        <f>Table1[[#This Row],[cumPctAllTimeExp]]&lt;0.95</f>
        <v>0</v>
      </c>
    </row>
    <row r="2062" spans="1:17" x14ac:dyDescent="0.25">
      <c r="A2062">
        <v>1605</v>
      </c>
      <c r="C2062" t="s">
        <v>2508</v>
      </c>
      <c r="E2062" t="s">
        <v>1607</v>
      </c>
      <c r="F2062" s="4">
        <v>0</v>
      </c>
      <c r="G2062" s="4">
        <v>0</v>
      </c>
      <c r="H2062" s="4">
        <v>0</v>
      </c>
      <c r="I2062" s="4">
        <v>0</v>
      </c>
      <c r="J2062" s="4">
        <v>115</v>
      </c>
      <c r="K2062" s="4">
        <v>115</v>
      </c>
      <c r="L2062" s="4">
        <v>0</v>
      </c>
      <c r="M2062" s="4">
        <v>0</v>
      </c>
      <c r="N2062" s="4">
        <f>SUM(Table1[[#This Row],[2025]:[2018]])</f>
        <v>230</v>
      </c>
      <c r="O2062" s="2">
        <f>Table1[[#This Row],[ttl]]/SUM(Table1[ttl])</f>
        <v>4.6377866602003711E-7</v>
      </c>
      <c r="P2062" s="3">
        <f>SUM($O$2:Table1[[#This Row],[pctAllTimeExp]])</f>
        <v>0.99990265156748892</v>
      </c>
      <c r="Q2062" t="b">
        <f>Table1[[#This Row],[cumPctAllTimeExp]]&lt;0.95</f>
        <v>0</v>
      </c>
    </row>
    <row r="2063" spans="1:17" x14ac:dyDescent="0.25">
      <c r="A2063">
        <v>2169</v>
      </c>
      <c r="C2063" t="s">
        <v>2508</v>
      </c>
      <c r="E2063" t="s">
        <v>2171</v>
      </c>
      <c r="F2063" s="4">
        <v>0</v>
      </c>
      <c r="G2063" s="4">
        <v>0</v>
      </c>
      <c r="H2063" s="4">
        <v>0</v>
      </c>
      <c r="I2063" s="4">
        <v>0</v>
      </c>
      <c r="J2063" s="4">
        <v>0</v>
      </c>
      <c r="K2063" s="4">
        <v>0</v>
      </c>
      <c r="L2063" s="4">
        <v>230</v>
      </c>
      <c r="M2063" s="4">
        <v>0</v>
      </c>
      <c r="N2063" s="4">
        <f>SUM(Table1[[#This Row],[2025]:[2018]])</f>
        <v>230</v>
      </c>
      <c r="O2063" s="2">
        <f>Table1[[#This Row],[ttl]]/SUM(Table1[ttl])</f>
        <v>4.6377866602003711E-7</v>
      </c>
      <c r="P2063" s="3">
        <f>SUM($O$2:Table1[[#This Row],[pctAllTimeExp]])</f>
        <v>0.99990311534615495</v>
      </c>
      <c r="Q2063" t="b">
        <f>Table1[[#This Row],[cumPctAllTimeExp]]&lt;0.95</f>
        <v>0</v>
      </c>
    </row>
    <row r="2064" spans="1:17" x14ac:dyDescent="0.25">
      <c r="A2064">
        <v>2421</v>
      </c>
      <c r="C2064" t="s">
        <v>2508</v>
      </c>
      <c r="E2064" t="s">
        <v>2423</v>
      </c>
      <c r="F2064" s="4">
        <v>0</v>
      </c>
      <c r="G2064" s="4">
        <v>0</v>
      </c>
      <c r="H2064" s="4">
        <v>0</v>
      </c>
      <c r="I2064" s="4">
        <v>0</v>
      </c>
      <c r="J2064" s="4">
        <v>0</v>
      </c>
      <c r="K2064" s="4">
        <v>0</v>
      </c>
      <c r="L2064" s="4">
        <v>0</v>
      </c>
      <c r="M2064" s="4">
        <v>230</v>
      </c>
      <c r="N2064" s="4">
        <f>SUM(Table1[[#This Row],[2025]:[2018]])</f>
        <v>230</v>
      </c>
      <c r="O2064" s="2">
        <f>Table1[[#This Row],[ttl]]/SUM(Table1[ttl])</f>
        <v>4.6377866602003711E-7</v>
      </c>
      <c r="P2064" s="3">
        <f>SUM($O$2:Table1[[#This Row],[pctAllTimeExp]])</f>
        <v>0.99990357912482097</v>
      </c>
      <c r="Q2064" t="b">
        <f>Table1[[#This Row],[cumPctAllTimeExp]]&lt;0.95</f>
        <v>0</v>
      </c>
    </row>
    <row r="2065" spans="1:17" x14ac:dyDescent="0.25">
      <c r="A2065">
        <v>1912</v>
      </c>
      <c r="C2065" t="s">
        <v>2508</v>
      </c>
      <c r="E2065" t="s">
        <v>1914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113.76</v>
      </c>
      <c r="L2065" s="4">
        <v>0</v>
      </c>
      <c r="M2065" s="4">
        <v>116.16</v>
      </c>
      <c r="N2065" s="4">
        <f>SUM(Table1[[#This Row],[2025]:[2018]])</f>
        <v>229.92000000000002</v>
      </c>
      <c r="O2065" s="2">
        <f>Table1[[#This Row],[ttl]]/SUM(Table1[ttl])</f>
        <v>4.6361735170142146E-7</v>
      </c>
      <c r="P2065" s="3">
        <f>SUM($O$2:Table1[[#This Row],[pctAllTimeExp]])</f>
        <v>0.99990404274217271</v>
      </c>
      <c r="Q2065" t="b">
        <f>Table1[[#This Row],[cumPctAllTimeExp]]&lt;0.95</f>
        <v>0</v>
      </c>
    </row>
    <row r="2066" spans="1:17" x14ac:dyDescent="0.25">
      <c r="A2066">
        <v>1349</v>
      </c>
      <c r="C2066" t="s">
        <v>2508</v>
      </c>
      <c r="E2066" t="s">
        <v>1351</v>
      </c>
      <c r="F2066" s="4">
        <v>0</v>
      </c>
      <c r="G2066" s="4">
        <v>0</v>
      </c>
      <c r="H2066" s="4">
        <v>0</v>
      </c>
      <c r="I2066" s="4">
        <v>229.48</v>
      </c>
      <c r="J2066" s="4">
        <v>0</v>
      </c>
      <c r="K2066" s="4">
        <v>0</v>
      </c>
      <c r="L2066" s="4">
        <v>0</v>
      </c>
      <c r="M2066" s="4">
        <v>0</v>
      </c>
      <c r="N2066" s="4">
        <f>SUM(Table1[[#This Row],[2025]:[2018]])</f>
        <v>229.48</v>
      </c>
      <c r="O2066" s="2">
        <f>Table1[[#This Row],[ttl]]/SUM(Table1[ttl])</f>
        <v>4.6273012294903528E-7</v>
      </c>
      <c r="P2066" s="3">
        <f>SUM($O$2:Table1[[#This Row],[pctAllTimeExp]])</f>
        <v>0.9999045054722957</v>
      </c>
      <c r="Q2066" t="b">
        <f>Table1[[#This Row],[cumPctAllTimeExp]]&lt;0.95</f>
        <v>0</v>
      </c>
    </row>
    <row r="2067" spans="1:17" x14ac:dyDescent="0.25">
      <c r="A2067">
        <v>1565</v>
      </c>
      <c r="C2067" t="s">
        <v>2508</v>
      </c>
      <c r="E2067" t="s">
        <v>1567</v>
      </c>
      <c r="F2067" s="4">
        <v>0</v>
      </c>
      <c r="G2067" s="4">
        <v>0</v>
      </c>
      <c r="H2067" s="4">
        <v>0</v>
      </c>
      <c r="I2067" s="4">
        <v>0</v>
      </c>
      <c r="J2067" s="4">
        <v>228.5</v>
      </c>
      <c r="K2067" s="4">
        <v>0</v>
      </c>
      <c r="L2067" s="4">
        <v>0</v>
      </c>
      <c r="M2067" s="4">
        <v>0</v>
      </c>
      <c r="N2067" s="4">
        <f>SUM(Table1[[#This Row],[2025]:[2018]])</f>
        <v>228.5</v>
      </c>
      <c r="O2067" s="2">
        <f>Table1[[#This Row],[ttl]]/SUM(Table1[ttl])</f>
        <v>4.6075402254599339E-7</v>
      </c>
      <c r="P2067" s="3">
        <f>SUM($O$2:Table1[[#This Row],[pctAllTimeExp]])</f>
        <v>0.99990496622631819</v>
      </c>
      <c r="Q2067" t="b">
        <f>Table1[[#This Row],[cumPctAllTimeExp]]&lt;0.95</f>
        <v>0</v>
      </c>
    </row>
    <row r="2068" spans="1:17" x14ac:dyDescent="0.25">
      <c r="A2068">
        <v>1925</v>
      </c>
      <c r="C2068" t="s">
        <v>2508</v>
      </c>
      <c r="E2068" t="s">
        <v>1927</v>
      </c>
      <c r="F2068" s="4">
        <v>0</v>
      </c>
      <c r="G2068" s="4">
        <v>0</v>
      </c>
      <c r="H2068" s="4">
        <v>0</v>
      </c>
      <c r="I2068" s="4">
        <v>0</v>
      </c>
      <c r="J2068" s="4">
        <v>0</v>
      </c>
      <c r="K2068" s="4">
        <v>67.5</v>
      </c>
      <c r="L2068" s="4">
        <v>160</v>
      </c>
      <c r="M2068" s="4">
        <v>0</v>
      </c>
      <c r="N2068" s="4">
        <f>SUM(Table1[[#This Row],[2025]:[2018]])</f>
        <v>227.5</v>
      </c>
      <c r="O2068" s="2">
        <f>Table1[[#This Row],[ttl]]/SUM(Table1[ttl])</f>
        <v>4.5873759356329755E-7</v>
      </c>
      <c r="P2068" s="3">
        <f>SUM($O$2:Table1[[#This Row],[pctAllTimeExp]])</f>
        <v>0.99990542496391177</v>
      </c>
      <c r="Q2068" t="b">
        <f>Table1[[#This Row],[cumPctAllTimeExp]]&lt;0.95</f>
        <v>0</v>
      </c>
    </row>
    <row r="2069" spans="1:17" x14ac:dyDescent="0.25">
      <c r="A2069">
        <v>2422</v>
      </c>
      <c r="C2069" t="s">
        <v>2508</v>
      </c>
      <c r="E2069" t="s">
        <v>2424</v>
      </c>
      <c r="F2069" s="4">
        <v>0</v>
      </c>
      <c r="G2069" s="4">
        <v>0</v>
      </c>
      <c r="H2069" s="4">
        <v>0</v>
      </c>
      <c r="I2069" s="4">
        <v>0</v>
      </c>
      <c r="J2069" s="4">
        <v>0</v>
      </c>
      <c r="K2069" s="4">
        <v>0</v>
      </c>
      <c r="L2069" s="4">
        <v>0</v>
      </c>
      <c r="M2069" s="4">
        <v>226.23</v>
      </c>
      <c r="N2069" s="4">
        <f>SUM(Table1[[#This Row],[2025]:[2018]])</f>
        <v>226.23</v>
      </c>
      <c r="O2069" s="2">
        <f>Table1[[#This Row],[ttl]]/SUM(Table1[ttl])</f>
        <v>4.5617672875527386E-7</v>
      </c>
      <c r="P2069" s="3">
        <f>SUM($O$2:Table1[[#This Row],[pctAllTimeExp]])</f>
        <v>0.9999058811406405</v>
      </c>
      <c r="Q2069" t="b">
        <f>Table1[[#This Row],[cumPctAllTimeExp]]&lt;0.95</f>
        <v>0</v>
      </c>
    </row>
    <row r="2070" spans="1:17" x14ac:dyDescent="0.25">
      <c r="A2070">
        <v>2423</v>
      </c>
      <c r="C2070" t="s">
        <v>2508</v>
      </c>
      <c r="E2070" t="s">
        <v>2425</v>
      </c>
      <c r="F2070" s="4">
        <v>0</v>
      </c>
      <c r="G2070" s="4">
        <v>0</v>
      </c>
      <c r="H2070" s="4">
        <v>0</v>
      </c>
      <c r="I2070" s="4">
        <v>0</v>
      </c>
      <c r="J2070" s="4">
        <v>0</v>
      </c>
      <c r="K2070" s="4">
        <v>0</v>
      </c>
      <c r="L2070" s="4">
        <v>0</v>
      </c>
      <c r="M2070" s="4">
        <v>226</v>
      </c>
      <c r="N2070" s="4">
        <f>SUM(Table1[[#This Row],[2025]:[2018]])</f>
        <v>226</v>
      </c>
      <c r="O2070" s="2">
        <f>Table1[[#This Row],[ttl]]/SUM(Table1[ttl])</f>
        <v>4.5571295008925382E-7</v>
      </c>
      <c r="P2070" s="3">
        <f>SUM($O$2:Table1[[#This Row],[pctAllTimeExp]])</f>
        <v>0.99990633685359054</v>
      </c>
      <c r="Q2070" t="b">
        <f>Table1[[#This Row],[cumPctAllTimeExp]]&lt;0.95</f>
        <v>0</v>
      </c>
    </row>
    <row r="2071" spans="1:17" x14ac:dyDescent="0.25">
      <c r="A2071">
        <v>1568</v>
      </c>
      <c r="C2071" t="s">
        <v>2508</v>
      </c>
      <c r="E2071" t="s">
        <v>1570</v>
      </c>
      <c r="F2071" s="4">
        <v>0</v>
      </c>
      <c r="G2071" s="4">
        <v>0</v>
      </c>
      <c r="H2071" s="4">
        <v>0</v>
      </c>
      <c r="I2071" s="4">
        <v>0</v>
      </c>
      <c r="J2071" s="4">
        <v>225</v>
      </c>
      <c r="K2071" s="4">
        <v>0</v>
      </c>
      <c r="L2071" s="4">
        <v>0</v>
      </c>
      <c r="M2071" s="4">
        <v>0</v>
      </c>
      <c r="N2071" s="4">
        <f>SUM(Table1[[#This Row],[2025]:[2018]])</f>
        <v>225</v>
      </c>
      <c r="O2071" s="2">
        <f>Table1[[#This Row],[ttl]]/SUM(Table1[ttl])</f>
        <v>4.5369652110655804E-7</v>
      </c>
      <c r="P2071" s="3">
        <f>SUM($O$2:Table1[[#This Row],[pctAllTimeExp]])</f>
        <v>0.99990679055011167</v>
      </c>
      <c r="Q2071" t="b">
        <f>Table1[[#This Row],[cumPctAllTimeExp]]&lt;0.95</f>
        <v>0</v>
      </c>
    </row>
    <row r="2072" spans="1:17" x14ac:dyDescent="0.25">
      <c r="A2072">
        <v>1859</v>
      </c>
      <c r="C2072" t="s">
        <v>2508</v>
      </c>
      <c r="E2072" t="s">
        <v>1861</v>
      </c>
      <c r="F2072" s="4">
        <v>0</v>
      </c>
      <c r="G2072" s="4">
        <v>0</v>
      </c>
      <c r="H2072" s="4">
        <v>0</v>
      </c>
      <c r="I2072" s="4">
        <v>0</v>
      </c>
      <c r="J2072" s="4">
        <v>0</v>
      </c>
      <c r="K2072" s="4">
        <v>225</v>
      </c>
      <c r="L2072" s="4">
        <v>0</v>
      </c>
      <c r="M2072" s="4">
        <v>0</v>
      </c>
      <c r="N2072" s="4">
        <f>SUM(Table1[[#This Row],[2025]:[2018]])</f>
        <v>225</v>
      </c>
      <c r="O2072" s="2">
        <f>Table1[[#This Row],[ttl]]/SUM(Table1[ttl])</f>
        <v>4.5369652110655804E-7</v>
      </c>
      <c r="P2072" s="3">
        <f>SUM($O$2:Table1[[#This Row],[pctAllTimeExp]])</f>
        <v>0.9999072442466328</v>
      </c>
      <c r="Q2072" t="b">
        <f>Table1[[#This Row],[cumPctAllTimeExp]]&lt;0.95</f>
        <v>0</v>
      </c>
    </row>
    <row r="2073" spans="1:17" x14ac:dyDescent="0.25">
      <c r="A2073">
        <v>1569</v>
      </c>
      <c r="C2073" t="s">
        <v>2508</v>
      </c>
      <c r="E2073" t="s">
        <v>1571</v>
      </c>
      <c r="F2073" s="4">
        <v>0</v>
      </c>
      <c r="G2073" s="4">
        <v>0</v>
      </c>
      <c r="H2073" s="4">
        <v>0</v>
      </c>
      <c r="I2073" s="4">
        <v>0</v>
      </c>
      <c r="J2073" s="4">
        <v>224</v>
      </c>
      <c r="K2073" s="4">
        <v>0</v>
      </c>
      <c r="L2073" s="4">
        <v>0</v>
      </c>
      <c r="M2073" s="4">
        <v>0</v>
      </c>
      <c r="N2073" s="4">
        <f>SUM(Table1[[#This Row],[2025]:[2018]])</f>
        <v>224</v>
      </c>
      <c r="O2073" s="2">
        <f>Table1[[#This Row],[ttl]]/SUM(Table1[ttl])</f>
        <v>4.5168009212386221E-7</v>
      </c>
      <c r="P2073" s="3">
        <f>SUM($O$2:Table1[[#This Row],[pctAllTimeExp]])</f>
        <v>0.9999076959267249</v>
      </c>
      <c r="Q2073" t="b">
        <f>Table1[[#This Row],[cumPctAllTimeExp]]&lt;0.95</f>
        <v>0</v>
      </c>
    </row>
    <row r="2074" spans="1:17" x14ac:dyDescent="0.25">
      <c r="A2074">
        <v>910</v>
      </c>
      <c r="C2074" t="s">
        <v>2508</v>
      </c>
      <c r="E2074" t="s">
        <v>912</v>
      </c>
      <c r="F2074" s="4">
        <v>0</v>
      </c>
      <c r="G2074" s="4">
        <v>220</v>
      </c>
      <c r="H2074" s="4">
        <v>0</v>
      </c>
      <c r="I2074" s="4">
        <v>0</v>
      </c>
      <c r="J2074" s="4">
        <v>0</v>
      </c>
      <c r="K2074" s="4">
        <v>0</v>
      </c>
      <c r="L2074" s="4">
        <v>0</v>
      </c>
      <c r="M2074" s="4">
        <v>0</v>
      </c>
      <c r="N2074" s="4">
        <f>SUM(Table1[[#This Row],[2025]:[2018]])</f>
        <v>220</v>
      </c>
      <c r="O2074" s="2">
        <f>Table1[[#This Row],[ttl]]/SUM(Table1[ttl])</f>
        <v>4.4361437619307897E-7</v>
      </c>
      <c r="P2074" s="3">
        <f>SUM($O$2:Table1[[#This Row],[pctAllTimeExp]])</f>
        <v>0.99990813954110114</v>
      </c>
      <c r="Q2074" t="b">
        <f>Table1[[#This Row],[cumPctAllTimeExp]]&lt;0.95</f>
        <v>0</v>
      </c>
    </row>
    <row r="2075" spans="1:17" x14ac:dyDescent="0.25">
      <c r="A2075">
        <v>1860</v>
      </c>
      <c r="C2075" t="s">
        <v>2508</v>
      </c>
      <c r="E2075" t="s">
        <v>1862</v>
      </c>
      <c r="F2075" s="4">
        <v>0</v>
      </c>
      <c r="G2075" s="4">
        <v>0</v>
      </c>
      <c r="H2075" s="4">
        <v>0</v>
      </c>
      <c r="I2075" s="4">
        <v>0</v>
      </c>
      <c r="J2075" s="4">
        <v>0</v>
      </c>
      <c r="K2075" s="4">
        <v>220</v>
      </c>
      <c r="L2075" s="4">
        <v>0</v>
      </c>
      <c r="M2075" s="4">
        <v>0</v>
      </c>
      <c r="N2075" s="4">
        <f>SUM(Table1[[#This Row],[2025]:[2018]])</f>
        <v>220</v>
      </c>
      <c r="O2075" s="2">
        <f>Table1[[#This Row],[ttl]]/SUM(Table1[ttl])</f>
        <v>4.4361437619307897E-7</v>
      </c>
      <c r="P2075" s="3">
        <f>SUM($O$2:Table1[[#This Row],[pctAllTimeExp]])</f>
        <v>0.99990858315547737</v>
      </c>
      <c r="Q2075" t="b">
        <f>Table1[[#This Row],[cumPctAllTimeExp]]&lt;0.95</f>
        <v>0</v>
      </c>
    </row>
    <row r="2076" spans="1:17" x14ac:dyDescent="0.25">
      <c r="A2076">
        <v>1861</v>
      </c>
      <c r="C2076" t="s">
        <v>2508</v>
      </c>
      <c r="E2076" t="s">
        <v>1863</v>
      </c>
      <c r="F2076" s="4">
        <v>0</v>
      </c>
      <c r="G2076" s="4">
        <v>0</v>
      </c>
      <c r="H2076" s="4">
        <v>0</v>
      </c>
      <c r="I2076" s="4">
        <v>0</v>
      </c>
      <c r="J2076" s="4">
        <v>0</v>
      </c>
      <c r="K2076" s="4">
        <v>220</v>
      </c>
      <c r="L2076" s="4">
        <v>0</v>
      </c>
      <c r="M2076" s="4">
        <v>0</v>
      </c>
      <c r="N2076" s="4">
        <f>SUM(Table1[[#This Row],[2025]:[2018]])</f>
        <v>220</v>
      </c>
      <c r="O2076" s="2">
        <f>Table1[[#This Row],[ttl]]/SUM(Table1[ttl])</f>
        <v>4.4361437619307897E-7</v>
      </c>
      <c r="P2076" s="3">
        <f>SUM($O$2:Table1[[#This Row],[pctAllTimeExp]])</f>
        <v>0.9999090267698536</v>
      </c>
      <c r="Q2076" t="b">
        <f>Table1[[#This Row],[cumPctAllTimeExp]]&lt;0.95</f>
        <v>0</v>
      </c>
    </row>
    <row r="2077" spans="1:17" x14ac:dyDescent="0.25">
      <c r="A2077">
        <v>1906</v>
      </c>
      <c r="C2077" t="s">
        <v>2508</v>
      </c>
      <c r="E2077" t="s">
        <v>1908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120</v>
      </c>
      <c r="L2077" s="4">
        <v>0</v>
      </c>
      <c r="M2077" s="4">
        <v>100</v>
      </c>
      <c r="N2077" s="4">
        <f>SUM(Table1[[#This Row],[2025]:[2018]])</f>
        <v>220</v>
      </c>
      <c r="O2077" s="2">
        <f>Table1[[#This Row],[ttl]]/SUM(Table1[ttl])</f>
        <v>4.4361437619307897E-7</v>
      </c>
      <c r="P2077" s="3">
        <f>SUM($O$2:Table1[[#This Row],[pctAllTimeExp]])</f>
        <v>0.99990947038422984</v>
      </c>
      <c r="Q2077" t="b">
        <f>Table1[[#This Row],[cumPctAllTimeExp]]&lt;0.95</f>
        <v>0</v>
      </c>
    </row>
    <row r="2078" spans="1:17" x14ac:dyDescent="0.25">
      <c r="A2078">
        <v>2170</v>
      </c>
      <c r="C2078" t="s">
        <v>2508</v>
      </c>
      <c r="E2078" t="s">
        <v>2172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  <c r="L2078" s="4">
        <v>220</v>
      </c>
      <c r="M2078" s="4">
        <v>0</v>
      </c>
      <c r="N2078" s="4">
        <f>SUM(Table1[[#This Row],[2025]:[2018]])</f>
        <v>220</v>
      </c>
      <c r="O2078" s="2">
        <f>Table1[[#This Row],[ttl]]/SUM(Table1[ttl])</f>
        <v>4.4361437619307897E-7</v>
      </c>
      <c r="P2078" s="3">
        <f>SUM($O$2:Table1[[#This Row],[pctAllTimeExp]])</f>
        <v>0.99990991399860607</v>
      </c>
      <c r="Q2078" t="b">
        <f>Table1[[#This Row],[cumPctAllTimeExp]]&lt;0.95</f>
        <v>0</v>
      </c>
    </row>
    <row r="2079" spans="1:17" x14ac:dyDescent="0.25">
      <c r="A2079">
        <v>1155</v>
      </c>
      <c r="C2079" t="s">
        <v>2508</v>
      </c>
      <c r="E2079" t="s">
        <v>1157</v>
      </c>
      <c r="F2079" s="4">
        <v>0</v>
      </c>
      <c r="G2079" s="4">
        <v>0</v>
      </c>
      <c r="H2079" s="4">
        <v>217</v>
      </c>
      <c r="I2079" s="4">
        <v>0</v>
      </c>
      <c r="J2079" s="4">
        <v>0</v>
      </c>
      <c r="K2079" s="4">
        <v>0</v>
      </c>
      <c r="L2079" s="4">
        <v>0</v>
      </c>
      <c r="M2079" s="4">
        <v>0</v>
      </c>
      <c r="N2079" s="4">
        <f>SUM(Table1[[#This Row],[2025]:[2018]])</f>
        <v>217</v>
      </c>
      <c r="O2079" s="2">
        <f>Table1[[#This Row],[ttl]]/SUM(Table1[ttl])</f>
        <v>4.3756508924499151E-7</v>
      </c>
      <c r="P2079" s="3">
        <f>SUM($O$2:Table1[[#This Row],[pctAllTimeExp]])</f>
        <v>0.99991035156369534</v>
      </c>
      <c r="Q2079" t="b">
        <f>Table1[[#This Row],[cumPctAllTimeExp]]&lt;0.95</f>
        <v>0</v>
      </c>
    </row>
    <row r="2080" spans="1:17" x14ac:dyDescent="0.25">
      <c r="A2080">
        <v>1570</v>
      </c>
      <c r="C2080" t="s">
        <v>2508</v>
      </c>
      <c r="E2080" t="s">
        <v>1572</v>
      </c>
      <c r="F2080" s="4">
        <v>0</v>
      </c>
      <c r="G2080" s="4">
        <v>0</v>
      </c>
      <c r="H2080" s="4">
        <v>0</v>
      </c>
      <c r="I2080" s="4">
        <v>0</v>
      </c>
      <c r="J2080" s="4">
        <v>216</v>
      </c>
      <c r="K2080" s="4">
        <v>0</v>
      </c>
      <c r="L2080" s="4">
        <v>0</v>
      </c>
      <c r="M2080" s="4">
        <v>0</v>
      </c>
      <c r="N2080" s="4">
        <f>SUM(Table1[[#This Row],[2025]:[2018]])</f>
        <v>216</v>
      </c>
      <c r="O2080" s="2">
        <f>Table1[[#This Row],[ttl]]/SUM(Table1[ttl])</f>
        <v>4.3554866026229573E-7</v>
      </c>
      <c r="P2080" s="3">
        <f>SUM($O$2:Table1[[#This Row],[pctAllTimeExp]])</f>
        <v>0.99991078711235559</v>
      </c>
      <c r="Q2080" t="b">
        <f>Table1[[#This Row],[cumPctAllTimeExp]]&lt;0.95</f>
        <v>0</v>
      </c>
    </row>
    <row r="2081" spans="1:17" x14ac:dyDescent="0.25">
      <c r="A2081">
        <v>1571</v>
      </c>
      <c r="C2081" t="s">
        <v>2508</v>
      </c>
      <c r="E2081" t="s">
        <v>1573</v>
      </c>
      <c r="F2081" s="4">
        <v>0</v>
      </c>
      <c r="G2081" s="4">
        <v>0</v>
      </c>
      <c r="H2081" s="4">
        <v>0</v>
      </c>
      <c r="I2081" s="4">
        <v>0</v>
      </c>
      <c r="J2081" s="4">
        <v>216</v>
      </c>
      <c r="K2081" s="4">
        <v>0</v>
      </c>
      <c r="L2081" s="4">
        <v>0</v>
      </c>
      <c r="M2081" s="4">
        <v>0</v>
      </c>
      <c r="N2081" s="4">
        <f>SUM(Table1[[#This Row],[2025]:[2018]])</f>
        <v>216</v>
      </c>
      <c r="O2081" s="2">
        <f>Table1[[#This Row],[ttl]]/SUM(Table1[ttl])</f>
        <v>4.3554866026229573E-7</v>
      </c>
      <c r="P2081" s="3">
        <f>SUM($O$2:Table1[[#This Row],[pctAllTimeExp]])</f>
        <v>0.99991122266101584</v>
      </c>
      <c r="Q2081" t="b">
        <f>Table1[[#This Row],[cumPctAllTimeExp]]&lt;0.95</f>
        <v>0</v>
      </c>
    </row>
    <row r="2082" spans="1:17" x14ac:dyDescent="0.25">
      <c r="A2082">
        <v>1572</v>
      </c>
      <c r="C2082" t="s">
        <v>2508</v>
      </c>
      <c r="E2082" t="s">
        <v>1574</v>
      </c>
      <c r="F2082" s="4">
        <v>0</v>
      </c>
      <c r="G2082" s="4">
        <v>0</v>
      </c>
      <c r="H2082" s="4">
        <v>0</v>
      </c>
      <c r="I2082" s="4">
        <v>0</v>
      </c>
      <c r="J2082" s="4">
        <v>216</v>
      </c>
      <c r="K2082" s="4">
        <v>0</v>
      </c>
      <c r="L2082" s="4">
        <v>0</v>
      </c>
      <c r="M2082" s="4">
        <v>0</v>
      </c>
      <c r="N2082" s="4">
        <f>SUM(Table1[[#This Row],[2025]:[2018]])</f>
        <v>216</v>
      </c>
      <c r="O2082" s="2">
        <f>Table1[[#This Row],[ttl]]/SUM(Table1[ttl])</f>
        <v>4.3554866026229573E-7</v>
      </c>
      <c r="P2082" s="3">
        <f>SUM($O$2:Table1[[#This Row],[pctAllTimeExp]])</f>
        <v>0.99991165820967609</v>
      </c>
      <c r="Q2082" t="b">
        <f>Table1[[#This Row],[cumPctAllTimeExp]]&lt;0.95</f>
        <v>0</v>
      </c>
    </row>
    <row r="2083" spans="1:17" x14ac:dyDescent="0.25">
      <c r="A2083">
        <v>1862</v>
      </c>
      <c r="C2083" t="s">
        <v>2508</v>
      </c>
      <c r="E2083" t="s">
        <v>1864</v>
      </c>
      <c r="F2083" s="4">
        <v>0</v>
      </c>
      <c r="G2083" s="4">
        <v>0</v>
      </c>
      <c r="H2083" s="4">
        <v>0</v>
      </c>
      <c r="I2083" s="4">
        <v>0</v>
      </c>
      <c r="J2083" s="4">
        <v>0</v>
      </c>
      <c r="K2083" s="4">
        <v>215</v>
      </c>
      <c r="L2083" s="4">
        <v>0</v>
      </c>
      <c r="M2083" s="4">
        <v>0</v>
      </c>
      <c r="N2083" s="4">
        <f>SUM(Table1[[#This Row],[2025]:[2018]])</f>
        <v>215</v>
      </c>
      <c r="O2083" s="2">
        <f>Table1[[#This Row],[ttl]]/SUM(Table1[ttl])</f>
        <v>4.335322312795999E-7</v>
      </c>
      <c r="P2083" s="3">
        <f>SUM($O$2:Table1[[#This Row],[pctAllTimeExp]])</f>
        <v>0.99991209174190732</v>
      </c>
      <c r="Q2083" t="b">
        <f>Table1[[#This Row],[cumPctAllTimeExp]]&lt;0.95</f>
        <v>0</v>
      </c>
    </row>
    <row r="2084" spans="1:17" x14ac:dyDescent="0.25">
      <c r="A2084">
        <v>2172</v>
      </c>
      <c r="C2084" t="s">
        <v>2508</v>
      </c>
      <c r="E2084" t="s">
        <v>2174</v>
      </c>
      <c r="F2084" s="4">
        <v>0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215</v>
      </c>
      <c r="M2084" s="4">
        <v>0</v>
      </c>
      <c r="N2084" s="4">
        <f>SUM(Table1[[#This Row],[2025]:[2018]])</f>
        <v>215</v>
      </c>
      <c r="O2084" s="2">
        <f>Table1[[#This Row],[ttl]]/SUM(Table1[ttl])</f>
        <v>4.335322312795999E-7</v>
      </c>
      <c r="P2084" s="3">
        <f>SUM($O$2:Table1[[#This Row],[pctAllTimeExp]])</f>
        <v>0.99991252527413854</v>
      </c>
      <c r="Q2084" t="b">
        <f>Table1[[#This Row],[cumPctAllTimeExp]]&lt;0.95</f>
        <v>0</v>
      </c>
    </row>
    <row r="2085" spans="1:17" x14ac:dyDescent="0.25">
      <c r="A2085">
        <v>2173</v>
      </c>
      <c r="C2085" t="s">
        <v>2508</v>
      </c>
      <c r="E2085" t="s">
        <v>2175</v>
      </c>
      <c r="F2085" s="4">
        <v>0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  <c r="L2085" s="4">
        <v>215</v>
      </c>
      <c r="M2085" s="4">
        <v>0</v>
      </c>
      <c r="N2085" s="4">
        <f>SUM(Table1[[#This Row],[2025]:[2018]])</f>
        <v>215</v>
      </c>
      <c r="O2085" s="2">
        <f>Table1[[#This Row],[ttl]]/SUM(Table1[ttl])</f>
        <v>4.335322312795999E-7</v>
      </c>
      <c r="P2085" s="3">
        <f>SUM($O$2:Table1[[#This Row],[pctAllTimeExp]])</f>
        <v>0.99991295880636977</v>
      </c>
      <c r="Q2085" t="b">
        <f>Table1[[#This Row],[cumPctAllTimeExp]]&lt;0.95</f>
        <v>0</v>
      </c>
    </row>
    <row r="2086" spans="1:17" x14ac:dyDescent="0.25">
      <c r="A2086">
        <v>1863</v>
      </c>
      <c r="C2086" t="s">
        <v>2508</v>
      </c>
      <c r="E2086" t="s">
        <v>1865</v>
      </c>
      <c r="F2086" s="4">
        <v>0</v>
      </c>
      <c r="G2086" s="4">
        <v>0</v>
      </c>
      <c r="H2086" s="4">
        <v>0</v>
      </c>
      <c r="I2086" s="4">
        <v>0</v>
      </c>
      <c r="J2086" s="4">
        <v>0</v>
      </c>
      <c r="K2086" s="4">
        <v>214</v>
      </c>
      <c r="L2086" s="4">
        <v>0</v>
      </c>
      <c r="M2086" s="4">
        <v>0</v>
      </c>
      <c r="N2086" s="4">
        <f>SUM(Table1[[#This Row],[2025]:[2018]])</f>
        <v>214</v>
      </c>
      <c r="O2086" s="2">
        <f>Table1[[#This Row],[ttl]]/SUM(Table1[ttl])</f>
        <v>4.3151580229690406E-7</v>
      </c>
      <c r="P2086" s="3">
        <f>SUM($O$2:Table1[[#This Row],[pctAllTimeExp]])</f>
        <v>0.99991339032217208</v>
      </c>
      <c r="Q2086" t="b">
        <f>Table1[[#This Row],[cumPctAllTimeExp]]&lt;0.95</f>
        <v>0</v>
      </c>
    </row>
    <row r="2087" spans="1:17" x14ac:dyDescent="0.25">
      <c r="A2087">
        <v>2174</v>
      </c>
      <c r="C2087" t="s">
        <v>2508</v>
      </c>
      <c r="E2087" t="s">
        <v>2176</v>
      </c>
      <c r="F2087" s="4">
        <v>0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213.07</v>
      </c>
      <c r="M2087" s="4">
        <v>0</v>
      </c>
      <c r="N2087" s="4">
        <f>SUM(Table1[[#This Row],[2025]:[2018]])</f>
        <v>213.07</v>
      </c>
      <c r="O2087" s="2">
        <f>Table1[[#This Row],[ttl]]/SUM(Table1[ttl])</f>
        <v>4.2964052334299696E-7</v>
      </c>
      <c r="P2087" s="3">
        <f>SUM($O$2:Table1[[#This Row],[pctAllTimeExp]])</f>
        <v>0.99991381996269546</v>
      </c>
      <c r="Q2087" t="b">
        <f>Table1[[#This Row],[cumPctAllTimeExp]]&lt;0.95</f>
        <v>0</v>
      </c>
    </row>
    <row r="2088" spans="1:17" x14ac:dyDescent="0.25">
      <c r="A2088">
        <v>624</v>
      </c>
      <c r="C2088" t="s">
        <v>2508</v>
      </c>
      <c r="E2088" t="s">
        <v>626</v>
      </c>
      <c r="F2088" s="4">
        <v>212.58</v>
      </c>
      <c r="G2088" s="4">
        <v>0</v>
      </c>
      <c r="H2088" s="4">
        <v>0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f>SUM(Table1[[#This Row],[2025]:[2018]])</f>
        <v>212.58</v>
      </c>
      <c r="O2088" s="2">
        <f>Table1[[#This Row],[ttl]]/SUM(Table1[ttl])</f>
        <v>4.2865247314147604E-7</v>
      </c>
      <c r="P2088" s="3">
        <f>SUM($O$2:Table1[[#This Row],[pctAllTimeExp]])</f>
        <v>0.99991424861516864</v>
      </c>
      <c r="Q2088" t="b">
        <f>Table1[[#This Row],[cumPctAllTimeExp]]&lt;0.95</f>
        <v>0</v>
      </c>
    </row>
    <row r="2089" spans="1:17" x14ac:dyDescent="0.25">
      <c r="A2089">
        <v>1573</v>
      </c>
      <c r="C2089" t="s">
        <v>2508</v>
      </c>
      <c r="E2089" t="s">
        <v>1575</v>
      </c>
      <c r="F2089" s="4">
        <v>0</v>
      </c>
      <c r="G2089" s="4">
        <v>0</v>
      </c>
      <c r="H2089" s="4">
        <v>0</v>
      </c>
      <c r="I2089" s="4">
        <v>0</v>
      </c>
      <c r="J2089" s="4">
        <v>212</v>
      </c>
      <c r="K2089" s="4">
        <v>0</v>
      </c>
      <c r="L2089" s="4">
        <v>0</v>
      </c>
      <c r="M2089" s="4">
        <v>0</v>
      </c>
      <c r="N2089" s="4">
        <f>SUM(Table1[[#This Row],[2025]:[2018]])</f>
        <v>212</v>
      </c>
      <c r="O2089" s="2">
        <f>Table1[[#This Row],[ttl]]/SUM(Table1[ttl])</f>
        <v>4.2748294433151244E-7</v>
      </c>
      <c r="P2089" s="3">
        <f>SUM($O$2:Table1[[#This Row],[pctAllTimeExp]])</f>
        <v>0.99991467609811302</v>
      </c>
      <c r="Q2089" t="b">
        <f>Table1[[#This Row],[cumPctAllTimeExp]]&lt;0.95</f>
        <v>0</v>
      </c>
    </row>
    <row r="2090" spans="1:17" x14ac:dyDescent="0.25">
      <c r="A2090">
        <v>1864</v>
      </c>
      <c r="C2090" t="s">
        <v>2508</v>
      </c>
      <c r="E2090" t="s">
        <v>1866</v>
      </c>
      <c r="F2090" s="4">
        <v>0</v>
      </c>
      <c r="G2090" s="4">
        <v>0</v>
      </c>
      <c r="H2090" s="4">
        <v>0</v>
      </c>
      <c r="I2090" s="4">
        <v>0</v>
      </c>
      <c r="J2090" s="4">
        <v>0</v>
      </c>
      <c r="K2090" s="4">
        <v>210.4</v>
      </c>
      <c r="L2090" s="4">
        <v>0</v>
      </c>
      <c r="M2090" s="4">
        <v>0</v>
      </c>
      <c r="N2090" s="4">
        <f>SUM(Table1[[#This Row],[2025]:[2018]])</f>
        <v>210.4</v>
      </c>
      <c r="O2090" s="2">
        <f>Table1[[#This Row],[ttl]]/SUM(Table1[ttl])</f>
        <v>4.2425665795919918E-7</v>
      </c>
      <c r="P2090" s="3">
        <f>SUM($O$2:Table1[[#This Row],[pctAllTimeExp]])</f>
        <v>0.99991510035477094</v>
      </c>
      <c r="Q2090" t="b">
        <f>Table1[[#This Row],[cumPctAllTimeExp]]&lt;0.95</f>
        <v>0</v>
      </c>
    </row>
    <row r="2091" spans="1:17" x14ac:dyDescent="0.25">
      <c r="A2091">
        <v>1574</v>
      </c>
      <c r="C2091" t="s">
        <v>2508</v>
      </c>
      <c r="E2091" t="s">
        <v>1576</v>
      </c>
      <c r="F2091" s="4">
        <v>0</v>
      </c>
      <c r="G2091" s="4">
        <v>0</v>
      </c>
      <c r="H2091" s="4">
        <v>0</v>
      </c>
      <c r="I2091" s="4">
        <v>0</v>
      </c>
      <c r="J2091" s="4">
        <v>210</v>
      </c>
      <c r="K2091" s="4">
        <v>0</v>
      </c>
      <c r="L2091" s="4">
        <v>0</v>
      </c>
      <c r="M2091" s="4">
        <v>0</v>
      </c>
      <c r="N2091" s="4">
        <f>SUM(Table1[[#This Row],[2025]:[2018]])</f>
        <v>210</v>
      </c>
      <c r="O2091" s="2">
        <f>Table1[[#This Row],[ttl]]/SUM(Table1[ttl])</f>
        <v>4.2345008636612082E-7</v>
      </c>
      <c r="P2091" s="3">
        <f>SUM($O$2:Table1[[#This Row],[pctAllTimeExp]])</f>
        <v>0.99991552380485726</v>
      </c>
      <c r="Q2091" t="b">
        <f>Table1[[#This Row],[cumPctAllTimeExp]]&lt;0.95</f>
        <v>0</v>
      </c>
    </row>
    <row r="2092" spans="1:17" x14ac:dyDescent="0.25">
      <c r="A2092">
        <v>1575</v>
      </c>
      <c r="C2092" t="s">
        <v>2508</v>
      </c>
      <c r="E2092" t="s">
        <v>1577</v>
      </c>
      <c r="F2092" s="4">
        <v>0</v>
      </c>
      <c r="G2092" s="4">
        <v>0</v>
      </c>
      <c r="H2092" s="4">
        <v>0</v>
      </c>
      <c r="I2092" s="4">
        <v>0</v>
      </c>
      <c r="J2092" s="4">
        <v>210</v>
      </c>
      <c r="K2092" s="4">
        <v>0</v>
      </c>
      <c r="L2092" s="4">
        <v>0</v>
      </c>
      <c r="M2092" s="4">
        <v>0</v>
      </c>
      <c r="N2092" s="4">
        <f>SUM(Table1[[#This Row],[2025]:[2018]])</f>
        <v>210</v>
      </c>
      <c r="O2092" s="2">
        <f>Table1[[#This Row],[ttl]]/SUM(Table1[ttl])</f>
        <v>4.2345008636612082E-7</v>
      </c>
      <c r="P2092" s="3">
        <f>SUM($O$2:Table1[[#This Row],[pctAllTimeExp]])</f>
        <v>0.99991594725494359</v>
      </c>
      <c r="Q2092" t="b">
        <f>Table1[[#This Row],[cumPctAllTimeExp]]&lt;0.95</f>
        <v>0</v>
      </c>
    </row>
    <row r="2093" spans="1:17" x14ac:dyDescent="0.25">
      <c r="A2093">
        <v>1576</v>
      </c>
      <c r="C2093" t="s">
        <v>2508</v>
      </c>
      <c r="E2093" t="s">
        <v>1578</v>
      </c>
      <c r="F2093" s="4">
        <v>0</v>
      </c>
      <c r="G2093" s="4">
        <v>0</v>
      </c>
      <c r="H2093" s="4">
        <v>0</v>
      </c>
      <c r="I2093" s="4">
        <v>0</v>
      </c>
      <c r="J2093" s="4">
        <v>210</v>
      </c>
      <c r="K2093" s="4">
        <v>0</v>
      </c>
      <c r="L2093" s="4">
        <v>0</v>
      </c>
      <c r="M2093" s="4">
        <v>0</v>
      </c>
      <c r="N2093" s="4">
        <f>SUM(Table1[[#This Row],[2025]:[2018]])</f>
        <v>210</v>
      </c>
      <c r="O2093" s="2">
        <f>Table1[[#This Row],[ttl]]/SUM(Table1[ttl])</f>
        <v>4.2345008636612082E-7</v>
      </c>
      <c r="P2093" s="3">
        <f>SUM($O$2:Table1[[#This Row],[pctAllTimeExp]])</f>
        <v>0.99991637070502992</v>
      </c>
      <c r="Q2093" t="b">
        <f>Table1[[#This Row],[cumPctAllTimeExp]]&lt;0.95</f>
        <v>0</v>
      </c>
    </row>
    <row r="2094" spans="1:17" x14ac:dyDescent="0.25">
      <c r="A2094">
        <v>1577</v>
      </c>
      <c r="C2094" t="s">
        <v>2508</v>
      </c>
      <c r="E2094" t="s">
        <v>1579</v>
      </c>
      <c r="F2094" s="4">
        <v>0</v>
      </c>
      <c r="G2094" s="4">
        <v>0</v>
      </c>
      <c r="H2094" s="4">
        <v>0</v>
      </c>
      <c r="I2094" s="4">
        <v>0</v>
      </c>
      <c r="J2094" s="4">
        <v>210</v>
      </c>
      <c r="K2094" s="4">
        <v>0</v>
      </c>
      <c r="L2094" s="4">
        <v>0</v>
      </c>
      <c r="M2094" s="4">
        <v>0</v>
      </c>
      <c r="N2094" s="4">
        <f>SUM(Table1[[#This Row],[2025]:[2018]])</f>
        <v>210</v>
      </c>
      <c r="O2094" s="2">
        <f>Table1[[#This Row],[ttl]]/SUM(Table1[ttl])</f>
        <v>4.2345008636612082E-7</v>
      </c>
      <c r="P2094" s="3">
        <f>SUM($O$2:Table1[[#This Row],[pctAllTimeExp]])</f>
        <v>0.99991679415511625</v>
      </c>
      <c r="Q2094" t="b">
        <f>Table1[[#This Row],[cumPctAllTimeExp]]&lt;0.95</f>
        <v>0</v>
      </c>
    </row>
    <row r="2095" spans="1:17" x14ac:dyDescent="0.25">
      <c r="A2095">
        <v>2424</v>
      </c>
      <c r="C2095" t="s">
        <v>2508</v>
      </c>
      <c r="E2095" t="s">
        <v>2426</v>
      </c>
      <c r="F2095" s="4">
        <v>0</v>
      </c>
      <c r="G2095" s="4">
        <v>0</v>
      </c>
      <c r="H2095" s="4">
        <v>0</v>
      </c>
      <c r="I2095" s="4">
        <v>0</v>
      </c>
      <c r="J2095" s="4">
        <v>0</v>
      </c>
      <c r="K2095" s="4">
        <v>0</v>
      </c>
      <c r="L2095" s="4">
        <v>0</v>
      </c>
      <c r="M2095" s="4">
        <v>203.8</v>
      </c>
      <c r="N2095" s="4">
        <f>SUM(Table1[[#This Row],[2025]:[2018]])</f>
        <v>203.8</v>
      </c>
      <c r="O2095" s="2">
        <f>Table1[[#This Row],[ttl]]/SUM(Table1[ttl])</f>
        <v>4.1094822667340679E-7</v>
      </c>
      <c r="P2095" s="3">
        <f>SUM($O$2:Table1[[#This Row],[pctAllTimeExp]])</f>
        <v>0.99991720510334292</v>
      </c>
      <c r="Q2095" t="b">
        <f>Table1[[#This Row],[cumPctAllTimeExp]]&lt;0.95</f>
        <v>0</v>
      </c>
    </row>
    <row r="2096" spans="1:17" x14ac:dyDescent="0.25">
      <c r="A2096">
        <v>626</v>
      </c>
      <c r="C2096" t="s">
        <v>2508</v>
      </c>
      <c r="E2096" t="s">
        <v>628</v>
      </c>
      <c r="F2096" s="4">
        <v>200</v>
      </c>
      <c r="G2096" s="4">
        <v>0</v>
      </c>
      <c r="H2096" s="4">
        <v>0</v>
      </c>
      <c r="I2096" s="4">
        <v>0</v>
      </c>
      <c r="J2096" s="4">
        <v>0</v>
      </c>
      <c r="K2096" s="4">
        <v>0</v>
      </c>
      <c r="L2096" s="4">
        <v>0</v>
      </c>
      <c r="M2096" s="4">
        <v>0</v>
      </c>
      <c r="N2096" s="4">
        <f>SUM(Table1[[#This Row],[2025]:[2018]])</f>
        <v>200</v>
      </c>
      <c r="O2096" s="2">
        <f>Table1[[#This Row],[ttl]]/SUM(Table1[ttl])</f>
        <v>4.0328579653916268E-7</v>
      </c>
      <c r="P2096" s="3">
        <f>SUM($O$2:Table1[[#This Row],[pctAllTimeExp]])</f>
        <v>0.99991760838913946</v>
      </c>
      <c r="Q2096" t="b">
        <f>Table1[[#This Row],[cumPctAllTimeExp]]&lt;0.95</f>
        <v>0</v>
      </c>
    </row>
    <row r="2097" spans="1:17" x14ac:dyDescent="0.25">
      <c r="A2097">
        <v>627</v>
      </c>
      <c r="C2097" t="s">
        <v>2508</v>
      </c>
      <c r="E2097" t="s">
        <v>629</v>
      </c>
      <c r="F2097" s="4">
        <v>200</v>
      </c>
      <c r="G2097" s="4">
        <v>0</v>
      </c>
      <c r="H2097" s="4">
        <v>0</v>
      </c>
      <c r="I2097" s="4">
        <v>0</v>
      </c>
      <c r="J2097" s="4">
        <v>0</v>
      </c>
      <c r="K2097" s="4">
        <v>0</v>
      </c>
      <c r="L2097" s="4">
        <v>0</v>
      </c>
      <c r="M2097" s="4">
        <v>0</v>
      </c>
      <c r="N2097" s="4">
        <f>SUM(Table1[[#This Row],[2025]:[2018]])</f>
        <v>200</v>
      </c>
      <c r="O2097" s="2">
        <f>Table1[[#This Row],[ttl]]/SUM(Table1[ttl])</f>
        <v>4.0328579653916268E-7</v>
      </c>
      <c r="P2097" s="3">
        <f>SUM($O$2:Table1[[#This Row],[pctAllTimeExp]])</f>
        <v>0.99991801167493599</v>
      </c>
      <c r="Q2097" t="b">
        <f>Table1[[#This Row],[cumPctAllTimeExp]]&lt;0.95</f>
        <v>0</v>
      </c>
    </row>
    <row r="2098" spans="1:17" x14ac:dyDescent="0.25">
      <c r="A2098">
        <v>628</v>
      </c>
      <c r="C2098" t="s">
        <v>2508</v>
      </c>
      <c r="E2098" t="s">
        <v>630</v>
      </c>
      <c r="F2098" s="4">
        <v>200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f>SUM(Table1[[#This Row],[2025]:[2018]])</f>
        <v>200</v>
      </c>
      <c r="O2098" s="2">
        <f>Table1[[#This Row],[ttl]]/SUM(Table1[ttl])</f>
        <v>4.0328579653916268E-7</v>
      </c>
      <c r="P2098" s="3">
        <f>SUM($O$2:Table1[[#This Row],[pctAllTimeExp]])</f>
        <v>0.99991841496073253</v>
      </c>
      <c r="Q2098" t="b">
        <f>Table1[[#This Row],[cumPctAllTimeExp]]&lt;0.95</f>
        <v>0</v>
      </c>
    </row>
    <row r="2099" spans="1:17" x14ac:dyDescent="0.25">
      <c r="A2099">
        <v>630</v>
      </c>
      <c r="C2099" t="s">
        <v>2508</v>
      </c>
      <c r="E2099" t="s">
        <v>632</v>
      </c>
      <c r="F2099" s="4">
        <v>200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0</v>
      </c>
      <c r="M2099" s="4">
        <v>0</v>
      </c>
      <c r="N2099" s="4">
        <f>SUM(Table1[[#This Row],[2025]:[2018]])</f>
        <v>200</v>
      </c>
      <c r="O2099" s="2">
        <f>Table1[[#This Row],[ttl]]/SUM(Table1[ttl])</f>
        <v>4.0328579653916268E-7</v>
      </c>
      <c r="P2099" s="3">
        <f>SUM($O$2:Table1[[#This Row],[pctAllTimeExp]])</f>
        <v>0.99991881824652906</v>
      </c>
      <c r="Q2099" t="b">
        <f>Table1[[#This Row],[cumPctAllTimeExp]]&lt;0.95</f>
        <v>0</v>
      </c>
    </row>
    <row r="2100" spans="1:17" x14ac:dyDescent="0.25">
      <c r="A2100">
        <v>631</v>
      </c>
      <c r="C2100" t="s">
        <v>2508</v>
      </c>
      <c r="E2100" t="s">
        <v>633</v>
      </c>
      <c r="F2100" s="4">
        <v>200</v>
      </c>
      <c r="G2100" s="4">
        <v>0</v>
      </c>
      <c r="H2100" s="4">
        <v>0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f>SUM(Table1[[#This Row],[2025]:[2018]])</f>
        <v>200</v>
      </c>
      <c r="O2100" s="2">
        <f>Table1[[#This Row],[ttl]]/SUM(Table1[ttl])</f>
        <v>4.0328579653916268E-7</v>
      </c>
      <c r="P2100" s="3">
        <f>SUM($O$2:Table1[[#This Row],[pctAllTimeExp]])</f>
        <v>0.9999192215323256</v>
      </c>
      <c r="Q2100" t="b">
        <f>Table1[[#This Row],[cumPctAllTimeExp]]&lt;0.95</f>
        <v>0</v>
      </c>
    </row>
    <row r="2101" spans="1:17" x14ac:dyDescent="0.25">
      <c r="A2101">
        <v>633</v>
      </c>
      <c r="C2101" t="s">
        <v>2508</v>
      </c>
      <c r="E2101" t="s">
        <v>635</v>
      </c>
      <c r="F2101" s="4">
        <v>200</v>
      </c>
      <c r="G2101" s="4">
        <v>0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f>SUM(Table1[[#This Row],[2025]:[2018]])</f>
        <v>200</v>
      </c>
      <c r="O2101" s="2">
        <f>Table1[[#This Row],[ttl]]/SUM(Table1[ttl])</f>
        <v>4.0328579653916268E-7</v>
      </c>
      <c r="P2101" s="3">
        <f>SUM($O$2:Table1[[#This Row],[pctAllTimeExp]])</f>
        <v>0.99991962481812213</v>
      </c>
      <c r="Q2101" t="b">
        <f>Table1[[#This Row],[cumPctAllTimeExp]]&lt;0.95</f>
        <v>0</v>
      </c>
    </row>
    <row r="2102" spans="1:17" x14ac:dyDescent="0.25">
      <c r="A2102">
        <v>634</v>
      </c>
      <c r="C2102" t="s">
        <v>2508</v>
      </c>
      <c r="E2102" t="s">
        <v>636</v>
      </c>
      <c r="F2102" s="4">
        <v>200</v>
      </c>
      <c r="G2102" s="4">
        <v>0</v>
      </c>
      <c r="H2102" s="4">
        <v>0</v>
      </c>
      <c r="I2102" s="4">
        <v>0</v>
      </c>
      <c r="J2102" s="4">
        <v>0</v>
      </c>
      <c r="K2102" s="4">
        <v>0</v>
      </c>
      <c r="L2102" s="4">
        <v>0</v>
      </c>
      <c r="M2102" s="4">
        <v>0</v>
      </c>
      <c r="N2102" s="4">
        <f>SUM(Table1[[#This Row],[2025]:[2018]])</f>
        <v>200</v>
      </c>
      <c r="O2102" s="2">
        <f>Table1[[#This Row],[ttl]]/SUM(Table1[ttl])</f>
        <v>4.0328579653916268E-7</v>
      </c>
      <c r="P2102" s="3">
        <f>SUM($O$2:Table1[[#This Row],[pctAllTimeExp]])</f>
        <v>0.99992002810391867</v>
      </c>
      <c r="Q2102" t="b">
        <f>Table1[[#This Row],[cumPctAllTimeExp]]&lt;0.95</f>
        <v>0</v>
      </c>
    </row>
    <row r="2103" spans="1:17" x14ac:dyDescent="0.25">
      <c r="A2103">
        <v>911</v>
      </c>
      <c r="C2103" t="s">
        <v>2508</v>
      </c>
      <c r="E2103" t="s">
        <v>913</v>
      </c>
      <c r="F2103" s="4">
        <v>0</v>
      </c>
      <c r="G2103" s="4">
        <v>200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f>SUM(Table1[[#This Row],[2025]:[2018]])</f>
        <v>200</v>
      </c>
      <c r="O2103" s="2">
        <f>Table1[[#This Row],[ttl]]/SUM(Table1[ttl])</f>
        <v>4.0328579653916268E-7</v>
      </c>
      <c r="P2103" s="3">
        <f>SUM($O$2:Table1[[#This Row],[pctAllTimeExp]])</f>
        <v>0.9999204313897152</v>
      </c>
      <c r="Q2103" t="b">
        <f>Table1[[#This Row],[cumPctAllTimeExp]]&lt;0.95</f>
        <v>0</v>
      </c>
    </row>
    <row r="2104" spans="1:17" x14ac:dyDescent="0.25">
      <c r="A2104">
        <v>912</v>
      </c>
      <c r="C2104" t="s">
        <v>2508</v>
      </c>
      <c r="E2104" t="s">
        <v>914</v>
      </c>
      <c r="F2104" s="4">
        <v>0</v>
      </c>
      <c r="G2104" s="4">
        <v>200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f>SUM(Table1[[#This Row],[2025]:[2018]])</f>
        <v>200</v>
      </c>
      <c r="O2104" s="2">
        <f>Table1[[#This Row],[ttl]]/SUM(Table1[ttl])</f>
        <v>4.0328579653916268E-7</v>
      </c>
      <c r="P2104" s="3">
        <f>SUM($O$2:Table1[[#This Row],[pctAllTimeExp]])</f>
        <v>0.99992083467551174</v>
      </c>
      <c r="Q2104" t="b">
        <f>Table1[[#This Row],[cumPctAllTimeExp]]&lt;0.95</f>
        <v>0</v>
      </c>
    </row>
    <row r="2105" spans="1:17" x14ac:dyDescent="0.25">
      <c r="A2105">
        <v>914</v>
      </c>
      <c r="C2105" t="s">
        <v>2508</v>
      </c>
      <c r="E2105" t="s">
        <v>916</v>
      </c>
      <c r="F2105" s="4">
        <v>0</v>
      </c>
      <c r="G2105" s="4">
        <v>200</v>
      </c>
      <c r="H2105" s="4">
        <v>0</v>
      </c>
      <c r="I2105" s="4">
        <v>0</v>
      </c>
      <c r="J2105" s="4">
        <v>0</v>
      </c>
      <c r="K2105" s="4">
        <v>0</v>
      </c>
      <c r="L2105" s="4">
        <v>0</v>
      </c>
      <c r="M2105" s="4">
        <v>0</v>
      </c>
      <c r="N2105" s="4">
        <f>SUM(Table1[[#This Row],[2025]:[2018]])</f>
        <v>200</v>
      </c>
      <c r="O2105" s="2">
        <f>Table1[[#This Row],[ttl]]/SUM(Table1[ttl])</f>
        <v>4.0328579653916268E-7</v>
      </c>
      <c r="P2105" s="3">
        <f>SUM($O$2:Table1[[#This Row],[pctAllTimeExp]])</f>
        <v>0.99992123796130827</v>
      </c>
      <c r="Q2105" t="b">
        <f>Table1[[#This Row],[cumPctAllTimeExp]]&lt;0.95</f>
        <v>0</v>
      </c>
    </row>
    <row r="2106" spans="1:17" x14ac:dyDescent="0.25">
      <c r="A2106">
        <v>915</v>
      </c>
      <c r="C2106" t="s">
        <v>2508</v>
      </c>
      <c r="E2106" t="s">
        <v>917</v>
      </c>
      <c r="F2106" s="4">
        <v>0</v>
      </c>
      <c r="G2106" s="4">
        <v>200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f>SUM(Table1[[#This Row],[2025]:[2018]])</f>
        <v>200</v>
      </c>
      <c r="O2106" s="2">
        <f>Table1[[#This Row],[ttl]]/SUM(Table1[ttl])</f>
        <v>4.0328579653916268E-7</v>
      </c>
      <c r="P2106" s="3">
        <f>SUM($O$2:Table1[[#This Row],[pctAllTimeExp]])</f>
        <v>0.99992164124710481</v>
      </c>
      <c r="Q2106" t="b">
        <f>Table1[[#This Row],[cumPctAllTimeExp]]&lt;0.95</f>
        <v>0</v>
      </c>
    </row>
    <row r="2107" spans="1:17" x14ac:dyDescent="0.25">
      <c r="A2107">
        <v>916</v>
      </c>
      <c r="C2107" t="s">
        <v>2508</v>
      </c>
      <c r="E2107" t="s">
        <v>918</v>
      </c>
      <c r="F2107" s="4">
        <v>0</v>
      </c>
      <c r="G2107" s="4">
        <v>200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f>SUM(Table1[[#This Row],[2025]:[2018]])</f>
        <v>200</v>
      </c>
      <c r="O2107" s="2">
        <f>Table1[[#This Row],[ttl]]/SUM(Table1[ttl])</f>
        <v>4.0328579653916268E-7</v>
      </c>
      <c r="P2107" s="3">
        <f>SUM($O$2:Table1[[#This Row],[pctAllTimeExp]])</f>
        <v>0.99992204453290134</v>
      </c>
      <c r="Q2107" t="b">
        <f>Table1[[#This Row],[cumPctAllTimeExp]]&lt;0.95</f>
        <v>0</v>
      </c>
    </row>
    <row r="2108" spans="1:17" x14ac:dyDescent="0.25">
      <c r="A2108">
        <v>932</v>
      </c>
      <c r="C2108" t="s">
        <v>2508</v>
      </c>
      <c r="E2108" t="s">
        <v>934</v>
      </c>
      <c r="F2108" s="4">
        <v>0</v>
      </c>
      <c r="G2108" s="4">
        <v>100</v>
      </c>
      <c r="H2108" s="4">
        <v>0</v>
      </c>
      <c r="I2108" s="4">
        <v>0</v>
      </c>
      <c r="J2108" s="4">
        <v>0</v>
      </c>
      <c r="K2108" s="4">
        <v>100</v>
      </c>
      <c r="L2108" s="4">
        <v>0</v>
      </c>
      <c r="M2108" s="4">
        <v>0</v>
      </c>
      <c r="N2108" s="4">
        <f>SUM(Table1[[#This Row],[2025]:[2018]])</f>
        <v>200</v>
      </c>
      <c r="O2108" s="2">
        <f>Table1[[#This Row],[ttl]]/SUM(Table1[ttl])</f>
        <v>4.0328579653916268E-7</v>
      </c>
      <c r="P2108" s="3">
        <f>SUM($O$2:Table1[[#This Row],[pctAllTimeExp]])</f>
        <v>0.99992244781869788</v>
      </c>
      <c r="Q2108" t="b">
        <f>Table1[[#This Row],[cumPctAllTimeExp]]&lt;0.95</f>
        <v>0</v>
      </c>
    </row>
    <row r="2109" spans="1:17" x14ac:dyDescent="0.25">
      <c r="A2109">
        <v>934</v>
      </c>
      <c r="C2109" t="s">
        <v>2508</v>
      </c>
      <c r="E2109" t="s">
        <v>936</v>
      </c>
      <c r="F2109" s="4">
        <v>0</v>
      </c>
      <c r="G2109" s="4">
        <v>100</v>
      </c>
      <c r="H2109" s="4">
        <v>50</v>
      </c>
      <c r="I2109" s="4">
        <v>0</v>
      </c>
      <c r="J2109" s="4">
        <v>0</v>
      </c>
      <c r="K2109" s="4">
        <v>50</v>
      </c>
      <c r="L2109" s="4">
        <v>0</v>
      </c>
      <c r="M2109" s="4">
        <v>0</v>
      </c>
      <c r="N2109" s="4">
        <f>SUM(Table1[[#This Row],[2025]:[2018]])</f>
        <v>200</v>
      </c>
      <c r="O2109" s="2">
        <f>Table1[[#This Row],[ttl]]/SUM(Table1[ttl])</f>
        <v>4.0328579653916268E-7</v>
      </c>
      <c r="P2109" s="3">
        <f>SUM($O$2:Table1[[#This Row],[pctAllTimeExp]])</f>
        <v>0.99992285110449441</v>
      </c>
      <c r="Q2109" t="b">
        <f>Table1[[#This Row],[cumPctAllTimeExp]]&lt;0.95</f>
        <v>0</v>
      </c>
    </row>
    <row r="2110" spans="1:17" x14ac:dyDescent="0.25">
      <c r="A2110">
        <v>1156</v>
      </c>
      <c r="C2110" t="s">
        <v>2508</v>
      </c>
      <c r="E2110" t="s">
        <v>1158</v>
      </c>
      <c r="F2110" s="4">
        <v>0</v>
      </c>
      <c r="G2110" s="4">
        <v>0</v>
      </c>
      <c r="H2110" s="4">
        <v>200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f>SUM(Table1[[#This Row],[2025]:[2018]])</f>
        <v>200</v>
      </c>
      <c r="O2110" s="2">
        <f>Table1[[#This Row],[ttl]]/SUM(Table1[ttl])</f>
        <v>4.0328579653916268E-7</v>
      </c>
      <c r="P2110" s="3">
        <f>SUM($O$2:Table1[[#This Row],[pctAllTimeExp]])</f>
        <v>0.99992325439029095</v>
      </c>
      <c r="Q2110" t="b">
        <f>Table1[[#This Row],[cumPctAllTimeExp]]&lt;0.95</f>
        <v>0</v>
      </c>
    </row>
    <row r="2111" spans="1:17" x14ac:dyDescent="0.25">
      <c r="A2111">
        <v>1157</v>
      </c>
      <c r="C2111" t="s">
        <v>2508</v>
      </c>
      <c r="E2111" t="s">
        <v>1159</v>
      </c>
      <c r="F2111" s="4">
        <v>0</v>
      </c>
      <c r="G2111" s="4">
        <v>0</v>
      </c>
      <c r="H2111" s="4">
        <v>200</v>
      </c>
      <c r="I2111" s="4">
        <v>0</v>
      </c>
      <c r="J2111" s="4">
        <v>0</v>
      </c>
      <c r="K2111" s="4">
        <v>0</v>
      </c>
      <c r="L2111" s="4">
        <v>0</v>
      </c>
      <c r="M2111" s="4">
        <v>0</v>
      </c>
      <c r="N2111" s="4">
        <f>SUM(Table1[[#This Row],[2025]:[2018]])</f>
        <v>200</v>
      </c>
      <c r="O2111" s="2">
        <f>Table1[[#This Row],[ttl]]/SUM(Table1[ttl])</f>
        <v>4.0328579653916268E-7</v>
      </c>
      <c r="P2111" s="3">
        <f>SUM($O$2:Table1[[#This Row],[pctAllTimeExp]])</f>
        <v>0.99992365767608749</v>
      </c>
      <c r="Q2111" t="b">
        <f>Table1[[#This Row],[cumPctAllTimeExp]]&lt;0.95</f>
        <v>0</v>
      </c>
    </row>
    <row r="2112" spans="1:17" x14ac:dyDescent="0.25">
      <c r="A2112">
        <v>1158</v>
      </c>
      <c r="C2112" t="s">
        <v>2508</v>
      </c>
      <c r="E2112" t="s">
        <v>1160</v>
      </c>
      <c r="F2112" s="4">
        <v>0</v>
      </c>
      <c r="G2112" s="4">
        <v>0</v>
      </c>
      <c r="H2112" s="4">
        <v>200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f>SUM(Table1[[#This Row],[2025]:[2018]])</f>
        <v>200</v>
      </c>
      <c r="O2112" s="2">
        <f>Table1[[#This Row],[ttl]]/SUM(Table1[ttl])</f>
        <v>4.0328579653916268E-7</v>
      </c>
      <c r="P2112" s="3">
        <f>SUM($O$2:Table1[[#This Row],[pctAllTimeExp]])</f>
        <v>0.99992406096188402</v>
      </c>
      <c r="Q2112" t="b">
        <f>Table1[[#This Row],[cumPctAllTimeExp]]&lt;0.95</f>
        <v>0</v>
      </c>
    </row>
    <row r="2113" spans="1:17" x14ac:dyDescent="0.25">
      <c r="A2113">
        <v>1160</v>
      </c>
      <c r="C2113" t="s">
        <v>2508</v>
      </c>
      <c r="E2113" t="s">
        <v>1162</v>
      </c>
      <c r="F2113" s="4">
        <v>0</v>
      </c>
      <c r="G2113" s="4">
        <v>0</v>
      </c>
      <c r="H2113" s="4">
        <v>200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f>SUM(Table1[[#This Row],[2025]:[2018]])</f>
        <v>200</v>
      </c>
      <c r="O2113" s="2">
        <f>Table1[[#This Row],[ttl]]/SUM(Table1[ttl])</f>
        <v>4.0328579653916268E-7</v>
      </c>
      <c r="P2113" s="3">
        <f>SUM($O$2:Table1[[#This Row],[pctAllTimeExp]])</f>
        <v>0.99992446424768056</v>
      </c>
      <c r="Q2113" t="b">
        <f>Table1[[#This Row],[cumPctAllTimeExp]]&lt;0.95</f>
        <v>0</v>
      </c>
    </row>
    <row r="2114" spans="1:17" x14ac:dyDescent="0.25">
      <c r="A2114">
        <v>1350</v>
      </c>
      <c r="C2114" t="s">
        <v>2508</v>
      </c>
      <c r="E2114" t="s">
        <v>1352</v>
      </c>
      <c r="F2114" s="4">
        <v>0</v>
      </c>
      <c r="G2114" s="4">
        <v>0</v>
      </c>
      <c r="H2114" s="4">
        <v>0</v>
      </c>
      <c r="I2114" s="4">
        <v>200</v>
      </c>
      <c r="J2114" s="4">
        <v>0</v>
      </c>
      <c r="K2114" s="4">
        <v>0</v>
      </c>
      <c r="L2114" s="4">
        <v>0</v>
      </c>
      <c r="M2114" s="4">
        <v>0</v>
      </c>
      <c r="N2114" s="4">
        <f>SUM(Table1[[#This Row],[2025]:[2018]])</f>
        <v>200</v>
      </c>
      <c r="O2114" s="2">
        <f>Table1[[#This Row],[ttl]]/SUM(Table1[ttl])</f>
        <v>4.0328579653916268E-7</v>
      </c>
      <c r="P2114" s="3">
        <f>SUM($O$2:Table1[[#This Row],[pctAllTimeExp]])</f>
        <v>0.99992486753347709</v>
      </c>
      <c r="Q2114" t="b">
        <f>Table1[[#This Row],[cumPctAllTimeExp]]&lt;0.95</f>
        <v>0</v>
      </c>
    </row>
    <row r="2115" spans="1:17" x14ac:dyDescent="0.25">
      <c r="A2115">
        <v>1351</v>
      </c>
      <c r="C2115" t="s">
        <v>2508</v>
      </c>
      <c r="E2115" t="s">
        <v>1353</v>
      </c>
      <c r="F2115" s="4">
        <v>0</v>
      </c>
      <c r="G2115" s="4">
        <v>0</v>
      </c>
      <c r="H2115" s="4">
        <v>0</v>
      </c>
      <c r="I2115" s="4">
        <v>200</v>
      </c>
      <c r="J2115" s="4">
        <v>0</v>
      </c>
      <c r="K2115" s="4">
        <v>0</v>
      </c>
      <c r="L2115" s="4">
        <v>0</v>
      </c>
      <c r="M2115" s="4">
        <v>0</v>
      </c>
      <c r="N2115" s="4">
        <f>SUM(Table1[[#This Row],[2025]:[2018]])</f>
        <v>200</v>
      </c>
      <c r="O2115" s="2">
        <f>Table1[[#This Row],[ttl]]/SUM(Table1[ttl])</f>
        <v>4.0328579653916268E-7</v>
      </c>
      <c r="P2115" s="3">
        <f>SUM($O$2:Table1[[#This Row],[pctAllTimeExp]])</f>
        <v>0.99992527081927363</v>
      </c>
      <c r="Q2115" t="b">
        <f>Table1[[#This Row],[cumPctAllTimeExp]]&lt;0.95</f>
        <v>0</v>
      </c>
    </row>
    <row r="2116" spans="1:17" x14ac:dyDescent="0.25">
      <c r="A2116">
        <v>1352</v>
      </c>
      <c r="C2116" t="s">
        <v>2508</v>
      </c>
      <c r="E2116" t="s">
        <v>1354</v>
      </c>
      <c r="F2116" s="4">
        <v>0</v>
      </c>
      <c r="G2116" s="4">
        <v>0</v>
      </c>
      <c r="H2116" s="4">
        <v>0</v>
      </c>
      <c r="I2116" s="4">
        <v>200</v>
      </c>
      <c r="J2116" s="4">
        <v>0</v>
      </c>
      <c r="K2116" s="4">
        <v>0</v>
      </c>
      <c r="L2116" s="4">
        <v>0</v>
      </c>
      <c r="M2116" s="4">
        <v>0</v>
      </c>
      <c r="N2116" s="4">
        <f>SUM(Table1[[#This Row],[2025]:[2018]])</f>
        <v>200</v>
      </c>
      <c r="O2116" s="2">
        <f>Table1[[#This Row],[ttl]]/SUM(Table1[ttl])</f>
        <v>4.0328579653916268E-7</v>
      </c>
      <c r="P2116" s="3">
        <f>SUM($O$2:Table1[[#This Row],[pctAllTimeExp]])</f>
        <v>0.99992567410507016</v>
      </c>
      <c r="Q2116" t="b">
        <f>Table1[[#This Row],[cumPctAllTimeExp]]&lt;0.95</f>
        <v>0</v>
      </c>
    </row>
    <row r="2117" spans="1:17" x14ac:dyDescent="0.25">
      <c r="A2117">
        <v>1353</v>
      </c>
      <c r="C2117" t="s">
        <v>2508</v>
      </c>
      <c r="E2117" t="s">
        <v>1355</v>
      </c>
      <c r="F2117" s="4">
        <v>0</v>
      </c>
      <c r="G2117" s="4">
        <v>0</v>
      </c>
      <c r="H2117" s="4">
        <v>0</v>
      </c>
      <c r="I2117" s="4">
        <v>200</v>
      </c>
      <c r="J2117" s="4">
        <v>0</v>
      </c>
      <c r="K2117" s="4">
        <v>0</v>
      </c>
      <c r="L2117" s="4">
        <v>0</v>
      </c>
      <c r="M2117" s="4">
        <v>0</v>
      </c>
      <c r="N2117" s="4">
        <f>SUM(Table1[[#This Row],[2025]:[2018]])</f>
        <v>200</v>
      </c>
      <c r="O2117" s="2">
        <f>Table1[[#This Row],[ttl]]/SUM(Table1[ttl])</f>
        <v>4.0328579653916268E-7</v>
      </c>
      <c r="P2117" s="3">
        <f>SUM($O$2:Table1[[#This Row],[pctAllTimeExp]])</f>
        <v>0.9999260773908667</v>
      </c>
      <c r="Q2117" t="b">
        <f>Table1[[#This Row],[cumPctAllTimeExp]]&lt;0.95</f>
        <v>0</v>
      </c>
    </row>
    <row r="2118" spans="1:17" x14ac:dyDescent="0.25">
      <c r="A2118">
        <v>1354</v>
      </c>
      <c r="C2118" t="s">
        <v>2508</v>
      </c>
      <c r="E2118" t="s">
        <v>1356</v>
      </c>
      <c r="F2118" s="4">
        <v>0</v>
      </c>
      <c r="G2118" s="4">
        <v>0</v>
      </c>
      <c r="H2118" s="4">
        <v>0</v>
      </c>
      <c r="I2118" s="4">
        <v>200</v>
      </c>
      <c r="J2118" s="4">
        <v>0</v>
      </c>
      <c r="K2118" s="4">
        <v>0</v>
      </c>
      <c r="L2118" s="4">
        <v>0</v>
      </c>
      <c r="M2118" s="4">
        <v>0</v>
      </c>
      <c r="N2118" s="4">
        <f>SUM(Table1[[#This Row],[2025]:[2018]])</f>
        <v>200</v>
      </c>
      <c r="O2118" s="2">
        <f>Table1[[#This Row],[ttl]]/SUM(Table1[ttl])</f>
        <v>4.0328579653916268E-7</v>
      </c>
      <c r="P2118" s="3">
        <f>SUM($O$2:Table1[[#This Row],[pctAllTimeExp]])</f>
        <v>0.99992648067666323</v>
      </c>
      <c r="Q2118" t="b">
        <f>Table1[[#This Row],[cumPctAllTimeExp]]&lt;0.95</f>
        <v>0</v>
      </c>
    </row>
    <row r="2119" spans="1:17" x14ac:dyDescent="0.25">
      <c r="A2119">
        <v>1357</v>
      </c>
      <c r="C2119" t="s">
        <v>2508</v>
      </c>
      <c r="E2119" t="s">
        <v>1359</v>
      </c>
      <c r="F2119" s="4">
        <v>0</v>
      </c>
      <c r="G2119" s="4">
        <v>0</v>
      </c>
      <c r="H2119" s="4">
        <v>0</v>
      </c>
      <c r="I2119" s="4">
        <v>200</v>
      </c>
      <c r="J2119" s="4">
        <v>0</v>
      </c>
      <c r="K2119" s="4">
        <v>0</v>
      </c>
      <c r="L2119" s="4">
        <v>0</v>
      </c>
      <c r="M2119" s="4">
        <v>0</v>
      </c>
      <c r="N2119" s="4">
        <f>SUM(Table1[[#This Row],[2025]:[2018]])</f>
        <v>200</v>
      </c>
      <c r="O2119" s="2">
        <f>Table1[[#This Row],[ttl]]/SUM(Table1[ttl])</f>
        <v>4.0328579653916268E-7</v>
      </c>
      <c r="P2119" s="3">
        <f>SUM($O$2:Table1[[#This Row],[pctAllTimeExp]])</f>
        <v>0.99992688396245977</v>
      </c>
      <c r="Q2119" t="b">
        <f>Table1[[#This Row],[cumPctAllTimeExp]]&lt;0.95</f>
        <v>0</v>
      </c>
    </row>
    <row r="2120" spans="1:17" x14ac:dyDescent="0.25">
      <c r="A2120">
        <v>1358</v>
      </c>
      <c r="C2120" t="s">
        <v>2508</v>
      </c>
      <c r="E2120" t="s">
        <v>1360</v>
      </c>
      <c r="F2120" s="4">
        <v>0</v>
      </c>
      <c r="G2120" s="4">
        <v>0</v>
      </c>
      <c r="H2120" s="4">
        <v>0</v>
      </c>
      <c r="I2120" s="4">
        <v>200</v>
      </c>
      <c r="J2120" s="4">
        <v>0</v>
      </c>
      <c r="K2120" s="4">
        <v>0</v>
      </c>
      <c r="L2120" s="4">
        <v>0</v>
      </c>
      <c r="M2120" s="4">
        <v>0</v>
      </c>
      <c r="N2120" s="4">
        <f>SUM(Table1[[#This Row],[2025]:[2018]])</f>
        <v>200</v>
      </c>
      <c r="O2120" s="2">
        <f>Table1[[#This Row],[ttl]]/SUM(Table1[ttl])</f>
        <v>4.0328579653916268E-7</v>
      </c>
      <c r="P2120" s="3">
        <f>SUM($O$2:Table1[[#This Row],[pctAllTimeExp]])</f>
        <v>0.9999272872482563</v>
      </c>
      <c r="Q2120" t="b">
        <f>Table1[[#This Row],[cumPctAllTimeExp]]&lt;0.95</f>
        <v>0</v>
      </c>
    </row>
    <row r="2121" spans="1:17" x14ac:dyDescent="0.25">
      <c r="A2121">
        <v>1359</v>
      </c>
      <c r="C2121" t="s">
        <v>2508</v>
      </c>
      <c r="E2121" t="s">
        <v>1361</v>
      </c>
      <c r="F2121" s="4">
        <v>0</v>
      </c>
      <c r="G2121" s="4">
        <v>0</v>
      </c>
      <c r="H2121" s="4">
        <v>0</v>
      </c>
      <c r="I2121" s="4">
        <v>200</v>
      </c>
      <c r="J2121" s="4">
        <v>0</v>
      </c>
      <c r="K2121" s="4">
        <v>0</v>
      </c>
      <c r="L2121" s="4">
        <v>0</v>
      </c>
      <c r="M2121" s="4">
        <v>0</v>
      </c>
      <c r="N2121" s="4">
        <f>SUM(Table1[[#This Row],[2025]:[2018]])</f>
        <v>200</v>
      </c>
      <c r="O2121" s="2">
        <f>Table1[[#This Row],[ttl]]/SUM(Table1[ttl])</f>
        <v>4.0328579653916268E-7</v>
      </c>
      <c r="P2121" s="3">
        <f>SUM($O$2:Table1[[#This Row],[pctAllTimeExp]])</f>
        <v>0.99992769053405284</v>
      </c>
      <c r="Q2121" t="b">
        <f>Table1[[#This Row],[cumPctAllTimeExp]]&lt;0.95</f>
        <v>0</v>
      </c>
    </row>
    <row r="2122" spans="1:17" x14ac:dyDescent="0.25">
      <c r="A2122">
        <v>1380</v>
      </c>
      <c r="C2122" t="s">
        <v>2508</v>
      </c>
      <c r="E2122" t="s">
        <v>1382</v>
      </c>
      <c r="F2122" s="4">
        <v>0</v>
      </c>
      <c r="G2122" s="4">
        <v>0</v>
      </c>
      <c r="H2122" s="4">
        <v>0</v>
      </c>
      <c r="I2122" s="4">
        <v>100</v>
      </c>
      <c r="J2122" s="4">
        <v>0</v>
      </c>
      <c r="K2122" s="4">
        <v>0</v>
      </c>
      <c r="L2122" s="4">
        <v>0</v>
      </c>
      <c r="M2122" s="4">
        <v>100</v>
      </c>
      <c r="N2122" s="4">
        <f>SUM(Table1[[#This Row],[2025]:[2018]])</f>
        <v>200</v>
      </c>
      <c r="O2122" s="2">
        <f>Table1[[#This Row],[ttl]]/SUM(Table1[ttl])</f>
        <v>4.0328579653916268E-7</v>
      </c>
      <c r="P2122" s="3">
        <f>SUM($O$2:Table1[[#This Row],[pctAllTimeExp]])</f>
        <v>0.99992809381984937</v>
      </c>
      <c r="Q2122" t="b">
        <f>Table1[[#This Row],[cumPctAllTimeExp]]&lt;0.95</f>
        <v>0</v>
      </c>
    </row>
    <row r="2123" spans="1:17" x14ac:dyDescent="0.25">
      <c r="A2123">
        <v>1578</v>
      </c>
      <c r="C2123" t="s">
        <v>2508</v>
      </c>
      <c r="E2123" t="s">
        <v>1580</v>
      </c>
      <c r="F2123" s="4">
        <v>0</v>
      </c>
      <c r="G2123" s="4">
        <v>0</v>
      </c>
      <c r="H2123" s="4">
        <v>0</v>
      </c>
      <c r="I2123" s="4">
        <v>0</v>
      </c>
      <c r="J2123" s="4">
        <v>200</v>
      </c>
      <c r="K2123" s="4">
        <v>0</v>
      </c>
      <c r="L2123" s="4">
        <v>0</v>
      </c>
      <c r="M2123" s="4">
        <v>0</v>
      </c>
      <c r="N2123" s="4">
        <f>SUM(Table1[[#This Row],[2025]:[2018]])</f>
        <v>200</v>
      </c>
      <c r="O2123" s="2">
        <f>Table1[[#This Row],[ttl]]/SUM(Table1[ttl])</f>
        <v>4.0328579653916268E-7</v>
      </c>
      <c r="P2123" s="3">
        <f>SUM($O$2:Table1[[#This Row],[pctAllTimeExp]])</f>
        <v>0.99992849710564591</v>
      </c>
      <c r="Q2123" t="b">
        <f>Table1[[#This Row],[cumPctAllTimeExp]]&lt;0.95</f>
        <v>0</v>
      </c>
    </row>
    <row r="2124" spans="1:17" x14ac:dyDescent="0.25">
      <c r="A2124">
        <v>1579</v>
      </c>
      <c r="C2124" t="s">
        <v>2508</v>
      </c>
      <c r="E2124" t="s">
        <v>1581</v>
      </c>
      <c r="F2124" s="4">
        <v>0</v>
      </c>
      <c r="G2124" s="4">
        <v>0</v>
      </c>
      <c r="H2124" s="4">
        <v>0</v>
      </c>
      <c r="I2124" s="4">
        <v>0</v>
      </c>
      <c r="J2124" s="4">
        <v>200</v>
      </c>
      <c r="K2124" s="4">
        <v>0</v>
      </c>
      <c r="L2124" s="4">
        <v>0</v>
      </c>
      <c r="M2124" s="4">
        <v>0</v>
      </c>
      <c r="N2124" s="4">
        <f>SUM(Table1[[#This Row],[2025]:[2018]])</f>
        <v>200</v>
      </c>
      <c r="O2124" s="2">
        <f>Table1[[#This Row],[ttl]]/SUM(Table1[ttl])</f>
        <v>4.0328579653916268E-7</v>
      </c>
      <c r="P2124" s="3">
        <f>SUM($O$2:Table1[[#This Row],[pctAllTimeExp]])</f>
        <v>0.99992890039144244</v>
      </c>
      <c r="Q2124" t="b">
        <f>Table1[[#This Row],[cumPctAllTimeExp]]&lt;0.95</f>
        <v>0</v>
      </c>
    </row>
    <row r="2125" spans="1:17" x14ac:dyDescent="0.25">
      <c r="A2125">
        <v>1580</v>
      </c>
      <c r="C2125" t="s">
        <v>2508</v>
      </c>
      <c r="E2125" t="s">
        <v>1582</v>
      </c>
      <c r="F2125" s="4">
        <v>0</v>
      </c>
      <c r="G2125" s="4">
        <v>0</v>
      </c>
      <c r="H2125" s="4">
        <v>0</v>
      </c>
      <c r="I2125" s="4">
        <v>0</v>
      </c>
      <c r="J2125" s="4">
        <v>200</v>
      </c>
      <c r="K2125" s="4">
        <v>0</v>
      </c>
      <c r="L2125" s="4">
        <v>0</v>
      </c>
      <c r="M2125" s="4">
        <v>0</v>
      </c>
      <c r="N2125" s="4">
        <f>SUM(Table1[[#This Row],[2025]:[2018]])</f>
        <v>200</v>
      </c>
      <c r="O2125" s="2">
        <f>Table1[[#This Row],[ttl]]/SUM(Table1[ttl])</f>
        <v>4.0328579653916268E-7</v>
      </c>
      <c r="P2125" s="3">
        <f>SUM($O$2:Table1[[#This Row],[pctAllTimeExp]])</f>
        <v>0.99992930367723898</v>
      </c>
      <c r="Q2125" t="b">
        <f>Table1[[#This Row],[cumPctAllTimeExp]]&lt;0.95</f>
        <v>0</v>
      </c>
    </row>
    <row r="2126" spans="1:17" x14ac:dyDescent="0.25">
      <c r="A2126">
        <v>1582</v>
      </c>
      <c r="C2126" t="s">
        <v>2508</v>
      </c>
      <c r="E2126" t="s">
        <v>1584</v>
      </c>
      <c r="F2126" s="4">
        <v>0</v>
      </c>
      <c r="G2126" s="4">
        <v>0</v>
      </c>
      <c r="H2126" s="4">
        <v>0</v>
      </c>
      <c r="I2126" s="4">
        <v>0</v>
      </c>
      <c r="J2126" s="4">
        <v>200</v>
      </c>
      <c r="K2126" s="4">
        <v>0</v>
      </c>
      <c r="L2126" s="4">
        <v>0</v>
      </c>
      <c r="M2126" s="4">
        <v>0</v>
      </c>
      <c r="N2126" s="4">
        <f>SUM(Table1[[#This Row],[2025]:[2018]])</f>
        <v>200</v>
      </c>
      <c r="O2126" s="2">
        <f>Table1[[#This Row],[ttl]]/SUM(Table1[ttl])</f>
        <v>4.0328579653916268E-7</v>
      </c>
      <c r="P2126" s="3">
        <f>SUM($O$2:Table1[[#This Row],[pctAllTimeExp]])</f>
        <v>0.99992970696303551</v>
      </c>
      <c r="Q2126" t="b">
        <f>Table1[[#This Row],[cumPctAllTimeExp]]&lt;0.95</f>
        <v>0</v>
      </c>
    </row>
    <row r="2127" spans="1:17" x14ac:dyDescent="0.25">
      <c r="A2127">
        <v>1583</v>
      </c>
      <c r="C2127" t="s">
        <v>2508</v>
      </c>
      <c r="E2127" t="s">
        <v>1585</v>
      </c>
      <c r="F2127" s="4">
        <v>0</v>
      </c>
      <c r="G2127" s="4">
        <v>0</v>
      </c>
      <c r="H2127" s="4">
        <v>0</v>
      </c>
      <c r="I2127" s="4">
        <v>0</v>
      </c>
      <c r="J2127" s="4">
        <v>200</v>
      </c>
      <c r="K2127" s="4">
        <v>0</v>
      </c>
      <c r="L2127" s="4">
        <v>0</v>
      </c>
      <c r="M2127" s="4">
        <v>0</v>
      </c>
      <c r="N2127" s="4">
        <f>SUM(Table1[[#This Row],[2025]:[2018]])</f>
        <v>200</v>
      </c>
      <c r="O2127" s="2">
        <f>Table1[[#This Row],[ttl]]/SUM(Table1[ttl])</f>
        <v>4.0328579653916268E-7</v>
      </c>
      <c r="P2127" s="3">
        <f>SUM($O$2:Table1[[#This Row],[pctAllTimeExp]])</f>
        <v>0.99993011024883205</v>
      </c>
      <c r="Q2127" t="b">
        <f>Table1[[#This Row],[cumPctAllTimeExp]]&lt;0.95</f>
        <v>0</v>
      </c>
    </row>
    <row r="2128" spans="1:17" x14ac:dyDescent="0.25">
      <c r="A2128">
        <v>1584</v>
      </c>
      <c r="C2128" t="s">
        <v>2508</v>
      </c>
      <c r="E2128" t="s">
        <v>1586</v>
      </c>
      <c r="F2128" s="4">
        <v>0</v>
      </c>
      <c r="G2128" s="4">
        <v>0</v>
      </c>
      <c r="H2128" s="4">
        <v>0</v>
      </c>
      <c r="I2128" s="4">
        <v>0</v>
      </c>
      <c r="J2128" s="4">
        <v>200</v>
      </c>
      <c r="K2128" s="4">
        <v>0</v>
      </c>
      <c r="L2128" s="4">
        <v>0</v>
      </c>
      <c r="M2128" s="4">
        <v>0</v>
      </c>
      <c r="N2128" s="4">
        <f>SUM(Table1[[#This Row],[2025]:[2018]])</f>
        <v>200</v>
      </c>
      <c r="O2128" s="2">
        <f>Table1[[#This Row],[ttl]]/SUM(Table1[ttl])</f>
        <v>4.0328579653916268E-7</v>
      </c>
      <c r="P2128" s="3">
        <f>SUM($O$2:Table1[[#This Row],[pctAllTimeExp]])</f>
        <v>0.99993051353462858</v>
      </c>
      <c r="Q2128" t="b">
        <f>Table1[[#This Row],[cumPctAllTimeExp]]&lt;0.95</f>
        <v>0</v>
      </c>
    </row>
    <row r="2129" spans="1:17" x14ac:dyDescent="0.25">
      <c r="A2129">
        <v>1585</v>
      </c>
      <c r="C2129" t="s">
        <v>2508</v>
      </c>
      <c r="E2129" t="s">
        <v>1587</v>
      </c>
      <c r="F2129" s="4">
        <v>0</v>
      </c>
      <c r="G2129" s="4">
        <v>0</v>
      </c>
      <c r="H2129" s="4">
        <v>0</v>
      </c>
      <c r="I2129" s="4">
        <v>0</v>
      </c>
      <c r="J2129" s="4">
        <v>200</v>
      </c>
      <c r="K2129" s="4">
        <v>0</v>
      </c>
      <c r="L2129" s="4">
        <v>0</v>
      </c>
      <c r="M2129" s="4">
        <v>0</v>
      </c>
      <c r="N2129" s="4">
        <f>SUM(Table1[[#This Row],[2025]:[2018]])</f>
        <v>200</v>
      </c>
      <c r="O2129" s="2">
        <f>Table1[[#This Row],[ttl]]/SUM(Table1[ttl])</f>
        <v>4.0328579653916268E-7</v>
      </c>
      <c r="P2129" s="3">
        <f>SUM($O$2:Table1[[#This Row],[pctAllTimeExp]])</f>
        <v>0.99993091682042512</v>
      </c>
      <c r="Q2129" t="b">
        <f>Table1[[#This Row],[cumPctAllTimeExp]]&lt;0.95</f>
        <v>0</v>
      </c>
    </row>
    <row r="2130" spans="1:17" x14ac:dyDescent="0.25">
      <c r="A2130">
        <v>1587</v>
      </c>
      <c r="C2130" t="s">
        <v>2508</v>
      </c>
      <c r="E2130" t="s">
        <v>1589</v>
      </c>
      <c r="F2130" s="4">
        <v>0</v>
      </c>
      <c r="G2130" s="4">
        <v>0</v>
      </c>
      <c r="H2130" s="4">
        <v>0</v>
      </c>
      <c r="I2130" s="4">
        <v>0</v>
      </c>
      <c r="J2130" s="4">
        <v>200</v>
      </c>
      <c r="K2130" s="4">
        <v>0</v>
      </c>
      <c r="L2130" s="4">
        <v>0</v>
      </c>
      <c r="M2130" s="4">
        <v>0</v>
      </c>
      <c r="N2130" s="4">
        <f>SUM(Table1[[#This Row],[2025]:[2018]])</f>
        <v>200</v>
      </c>
      <c r="O2130" s="2">
        <f>Table1[[#This Row],[ttl]]/SUM(Table1[ttl])</f>
        <v>4.0328579653916268E-7</v>
      </c>
      <c r="P2130" s="3">
        <f>SUM($O$2:Table1[[#This Row],[pctAllTimeExp]])</f>
        <v>0.99993132010622165</v>
      </c>
      <c r="Q2130" t="b">
        <f>Table1[[#This Row],[cumPctAllTimeExp]]&lt;0.95</f>
        <v>0</v>
      </c>
    </row>
    <row r="2131" spans="1:17" x14ac:dyDescent="0.25">
      <c r="A2131">
        <v>1588</v>
      </c>
      <c r="C2131" t="s">
        <v>2508</v>
      </c>
      <c r="E2131" t="s">
        <v>1590</v>
      </c>
      <c r="F2131" s="4">
        <v>0</v>
      </c>
      <c r="G2131" s="4">
        <v>0</v>
      </c>
      <c r="H2131" s="4">
        <v>0</v>
      </c>
      <c r="I2131" s="4">
        <v>0</v>
      </c>
      <c r="J2131" s="4">
        <v>200</v>
      </c>
      <c r="K2131" s="4">
        <v>0</v>
      </c>
      <c r="L2131" s="4">
        <v>0</v>
      </c>
      <c r="M2131" s="4">
        <v>0</v>
      </c>
      <c r="N2131" s="4">
        <f>SUM(Table1[[#This Row],[2025]:[2018]])</f>
        <v>200</v>
      </c>
      <c r="O2131" s="2">
        <f>Table1[[#This Row],[ttl]]/SUM(Table1[ttl])</f>
        <v>4.0328579653916268E-7</v>
      </c>
      <c r="P2131" s="3">
        <f>SUM($O$2:Table1[[#This Row],[pctAllTimeExp]])</f>
        <v>0.99993172339201819</v>
      </c>
      <c r="Q2131" t="b">
        <f>Table1[[#This Row],[cumPctAllTimeExp]]&lt;0.95</f>
        <v>0</v>
      </c>
    </row>
    <row r="2132" spans="1:17" x14ac:dyDescent="0.25">
      <c r="A2132">
        <v>1589</v>
      </c>
      <c r="C2132" t="s">
        <v>2508</v>
      </c>
      <c r="E2132" t="s">
        <v>1591</v>
      </c>
      <c r="F2132" s="4">
        <v>0</v>
      </c>
      <c r="G2132" s="4">
        <v>0</v>
      </c>
      <c r="H2132" s="4">
        <v>0</v>
      </c>
      <c r="I2132" s="4">
        <v>0</v>
      </c>
      <c r="J2132" s="4">
        <v>200</v>
      </c>
      <c r="K2132" s="4">
        <v>0</v>
      </c>
      <c r="L2132" s="4">
        <v>0</v>
      </c>
      <c r="M2132" s="4">
        <v>0</v>
      </c>
      <c r="N2132" s="4">
        <f>SUM(Table1[[#This Row],[2025]:[2018]])</f>
        <v>200</v>
      </c>
      <c r="O2132" s="2">
        <f>Table1[[#This Row],[ttl]]/SUM(Table1[ttl])</f>
        <v>4.0328579653916268E-7</v>
      </c>
      <c r="P2132" s="3">
        <f>SUM($O$2:Table1[[#This Row],[pctAllTimeExp]])</f>
        <v>0.99993212667781473</v>
      </c>
      <c r="Q2132" t="b">
        <f>Table1[[#This Row],[cumPctAllTimeExp]]&lt;0.95</f>
        <v>0</v>
      </c>
    </row>
    <row r="2133" spans="1:17" x14ac:dyDescent="0.25">
      <c r="A2133">
        <v>1865</v>
      </c>
      <c r="C2133" t="s">
        <v>2508</v>
      </c>
      <c r="E2133" t="s">
        <v>1867</v>
      </c>
      <c r="F2133" s="4">
        <v>0</v>
      </c>
      <c r="G2133" s="4">
        <v>0</v>
      </c>
      <c r="H2133" s="4">
        <v>0</v>
      </c>
      <c r="I2133" s="4">
        <v>0</v>
      </c>
      <c r="J2133" s="4">
        <v>0</v>
      </c>
      <c r="K2133" s="4">
        <v>200</v>
      </c>
      <c r="L2133" s="4">
        <v>0</v>
      </c>
      <c r="M2133" s="4">
        <v>0</v>
      </c>
      <c r="N2133" s="4">
        <f>SUM(Table1[[#This Row],[2025]:[2018]])</f>
        <v>200</v>
      </c>
      <c r="O2133" s="2">
        <f>Table1[[#This Row],[ttl]]/SUM(Table1[ttl])</f>
        <v>4.0328579653916268E-7</v>
      </c>
      <c r="P2133" s="3">
        <f>SUM($O$2:Table1[[#This Row],[pctAllTimeExp]])</f>
        <v>0.99993252996361126</v>
      </c>
      <c r="Q2133" t="b">
        <f>Table1[[#This Row],[cumPctAllTimeExp]]&lt;0.95</f>
        <v>0</v>
      </c>
    </row>
    <row r="2134" spans="1:17" x14ac:dyDescent="0.25">
      <c r="A2134">
        <v>1866</v>
      </c>
      <c r="C2134" t="s">
        <v>2508</v>
      </c>
      <c r="E2134" t="s">
        <v>1868</v>
      </c>
      <c r="F2134" s="4">
        <v>0</v>
      </c>
      <c r="G2134" s="4">
        <v>0</v>
      </c>
      <c r="H2134" s="4">
        <v>0</v>
      </c>
      <c r="I2134" s="4">
        <v>0</v>
      </c>
      <c r="J2134" s="4">
        <v>0</v>
      </c>
      <c r="K2134" s="4">
        <v>200</v>
      </c>
      <c r="L2134" s="4">
        <v>0</v>
      </c>
      <c r="M2134" s="4">
        <v>0</v>
      </c>
      <c r="N2134" s="4">
        <f>SUM(Table1[[#This Row],[2025]:[2018]])</f>
        <v>200</v>
      </c>
      <c r="O2134" s="2">
        <f>Table1[[#This Row],[ttl]]/SUM(Table1[ttl])</f>
        <v>4.0328579653916268E-7</v>
      </c>
      <c r="P2134" s="3">
        <f>SUM($O$2:Table1[[#This Row],[pctAllTimeExp]])</f>
        <v>0.9999329332494078</v>
      </c>
      <c r="Q2134" t="b">
        <f>Table1[[#This Row],[cumPctAllTimeExp]]&lt;0.95</f>
        <v>0</v>
      </c>
    </row>
    <row r="2135" spans="1:17" x14ac:dyDescent="0.25">
      <c r="A2135">
        <v>1870</v>
      </c>
      <c r="C2135" t="s">
        <v>2508</v>
      </c>
      <c r="E2135" t="s">
        <v>1872</v>
      </c>
      <c r="F2135" s="4">
        <v>0</v>
      </c>
      <c r="G2135" s="4">
        <v>0</v>
      </c>
      <c r="H2135" s="4">
        <v>0</v>
      </c>
      <c r="I2135" s="4">
        <v>0</v>
      </c>
      <c r="J2135" s="4">
        <v>0</v>
      </c>
      <c r="K2135" s="4">
        <v>200</v>
      </c>
      <c r="L2135" s="4">
        <v>0</v>
      </c>
      <c r="M2135" s="4">
        <v>0</v>
      </c>
      <c r="N2135" s="4">
        <f>SUM(Table1[[#This Row],[2025]:[2018]])</f>
        <v>200</v>
      </c>
      <c r="O2135" s="2">
        <f>Table1[[#This Row],[ttl]]/SUM(Table1[ttl])</f>
        <v>4.0328579653916268E-7</v>
      </c>
      <c r="P2135" s="3">
        <f>SUM($O$2:Table1[[#This Row],[pctAllTimeExp]])</f>
        <v>0.99993333653520433</v>
      </c>
      <c r="Q2135" t="b">
        <f>Table1[[#This Row],[cumPctAllTimeExp]]&lt;0.95</f>
        <v>0</v>
      </c>
    </row>
    <row r="2136" spans="1:17" x14ac:dyDescent="0.25">
      <c r="A2136">
        <v>1871</v>
      </c>
      <c r="C2136" t="s">
        <v>2508</v>
      </c>
      <c r="E2136" t="s">
        <v>1873</v>
      </c>
      <c r="F2136" s="4">
        <v>0</v>
      </c>
      <c r="G2136" s="4">
        <v>0</v>
      </c>
      <c r="H2136" s="4">
        <v>0</v>
      </c>
      <c r="I2136" s="4">
        <v>0</v>
      </c>
      <c r="J2136" s="4">
        <v>0</v>
      </c>
      <c r="K2136" s="4">
        <v>200</v>
      </c>
      <c r="L2136" s="4">
        <v>0</v>
      </c>
      <c r="M2136" s="4">
        <v>0</v>
      </c>
      <c r="N2136" s="4">
        <f>SUM(Table1[[#This Row],[2025]:[2018]])</f>
        <v>200</v>
      </c>
      <c r="O2136" s="2">
        <f>Table1[[#This Row],[ttl]]/SUM(Table1[ttl])</f>
        <v>4.0328579653916268E-7</v>
      </c>
      <c r="P2136" s="3">
        <f>SUM($O$2:Table1[[#This Row],[pctAllTimeExp]])</f>
        <v>0.99993373982100087</v>
      </c>
      <c r="Q2136" t="b">
        <f>Table1[[#This Row],[cumPctAllTimeExp]]&lt;0.95</f>
        <v>0</v>
      </c>
    </row>
    <row r="2137" spans="1:17" x14ac:dyDescent="0.25">
      <c r="A2137">
        <v>1873</v>
      </c>
      <c r="C2137" t="s">
        <v>2508</v>
      </c>
      <c r="E2137" t="s">
        <v>1875</v>
      </c>
      <c r="F2137" s="4">
        <v>0</v>
      </c>
      <c r="G2137" s="4">
        <v>0</v>
      </c>
      <c r="H2137" s="4">
        <v>0</v>
      </c>
      <c r="I2137" s="4">
        <v>0</v>
      </c>
      <c r="J2137" s="4">
        <v>0</v>
      </c>
      <c r="K2137" s="4">
        <v>200</v>
      </c>
      <c r="L2137" s="4">
        <v>0</v>
      </c>
      <c r="M2137" s="4">
        <v>0</v>
      </c>
      <c r="N2137" s="4">
        <f>SUM(Table1[[#This Row],[2025]:[2018]])</f>
        <v>200</v>
      </c>
      <c r="O2137" s="2">
        <f>Table1[[#This Row],[ttl]]/SUM(Table1[ttl])</f>
        <v>4.0328579653916268E-7</v>
      </c>
      <c r="P2137" s="3">
        <f>SUM($O$2:Table1[[#This Row],[pctAllTimeExp]])</f>
        <v>0.9999341431067974</v>
      </c>
      <c r="Q2137" t="b">
        <f>Table1[[#This Row],[cumPctAllTimeExp]]&lt;0.95</f>
        <v>0</v>
      </c>
    </row>
    <row r="2138" spans="1:17" x14ac:dyDescent="0.25">
      <c r="A2138">
        <v>1874</v>
      </c>
      <c r="C2138" t="s">
        <v>2508</v>
      </c>
      <c r="E2138" t="s">
        <v>1876</v>
      </c>
      <c r="F2138" s="4">
        <v>0</v>
      </c>
      <c r="G2138" s="4">
        <v>0</v>
      </c>
      <c r="H2138" s="4">
        <v>0</v>
      </c>
      <c r="I2138" s="4">
        <v>0</v>
      </c>
      <c r="J2138" s="4">
        <v>0</v>
      </c>
      <c r="K2138" s="4">
        <v>200</v>
      </c>
      <c r="L2138" s="4">
        <v>0</v>
      </c>
      <c r="M2138" s="4">
        <v>0</v>
      </c>
      <c r="N2138" s="4">
        <f>SUM(Table1[[#This Row],[2025]:[2018]])</f>
        <v>200</v>
      </c>
      <c r="O2138" s="2">
        <f>Table1[[#This Row],[ttl]]/SUM(Table1[ttl])</f>
        <v>4.0328579653916268E-7</v>
      </c>
      <c r="P2138" s="3">
        <f>SUM($O$2:Table1[[#This Row],[pctAllTimeExp]])</f>
        <v>0.99993454639259394</v>
      </c>
      <c r="Q2138" t="b">
        <f>Table1[[#This Row],[cumPctAllTimeExp]]&lt;0.95</f>
        <v>0</v>
      </c>
    </row>
    <row r="2139" spans="1:17" x14ac:dyDescent="0.25">
      <c r="A2139">
        <v>1876</v>
      </c>
      <c r="C2139" t="s">
        <v>2508</v>
      </c>
      <c r="E2139" t="s">
        <v>1878</v>
      </c>
      <c r="F2139" s="4">
        <v>0</v>
      </c>
      <c r="G2139" s="4">
        <v>0</v>
      </c>
      <c r="H2139" s="4">
        <v>0</v>
      </c>
      <c r="I2139" s="4">
        <v>0</v>
      </c>
      <c r="J2139" s="4">
        <v>0</v>
      </c>
      <c r="K2139" s="4">
        <v>200</v>
      </c>
      <c r="L2139" s="4">
        <v>0</v>
      </c>
      <c r="M2139" s="4">
        <v>0</v>
      </c>
      <c r="N2139" s="4">
        <f>SUM(Table1[[#This Row],[2025]:[2018]])</f>
        <v>200</v>
      </c>
      <c r="O2139" s="2">
        <f>Table1[[#This Row],[ttl]]/SUM(Table1[ttl])</f>
        <v>4.0328579653916268E-7</v>
      </c>
      <c r="P2139" s="3">
        <f>SUM($O$2:Table1[[#This Row],[pctAllTimeExp]])</f>
        <v>0.99993494967839047</v>
      </c>
      <c r="Q2139" t="b">
        <f>Table1[[#This Row],[cumPctAllTimeExp]]&lt;0.95</f>
        <v>0</v>
      </c>
    </row>
    <row r="2140" spans="1:17" x14ac:dyDescent="0.25">
      <c r="A2140">
        <v>1877</v>
      </c>
      <c r="C2140" t="s">
        <v>2508</v>
      </c>
      <c r="E2140" t="s">
        <v>1879</v>
      </c>
      <c r="F2140" s="4">
        <v>0</v>
      </c>
      <c r="G2140" s="4">
        <v>0</v>
      </c>
      <c r="H2140" s="4">
        <v>0</v>
      </c>
      <c r="I2140" s="4">
        <v>0</v>
      </c>
      <c r="J2140" s="4">
        <v>0</v>
      </c>
      <c r="K2140" s="4">
        <v>200</v>
      </c>
      <c r="L2140" s="4">
        <v>0</v>
      </c>
      <c r="M2140" s="4">
        <v>0</v>
      </c>
      <c r="N2140" s="4">
        <f>SUM(Table1[[#This Row],[2025]:[2018]])</f>
        <v>200</v>
      </c>
      <c r="O2140" s="2">
        <f>Table1[[#This Row],[ttl]]/SUM(Table1[ttl])</f>
        <v>4.0328579653916268E-7</v>
      </c>
      <c r="P2140" s="3">
        <f>SUM($O$2:Table1[[#This Row],[pctAllTimeExp]])</f>
        <v>0.99993535296418701</v>
      </c>
      <c r="Q2140" t="b">
        <f>Table1[[#This Row],[cumPctAllTimeExp]]&lt;0.95</f>
        <v>0</v>
      </c>
    </row>
    <row r="2141" spans="1:17" x14ac:dyDescent="0.25">
      <c r="A2141">
        <v>1878</v>
      </c>
      <c r="C2141" t="s">
        <v>2508</v>
      </c>
      <c r="E2141" t="s">
        <v>1880</v>
      </c>
      <c r="F2141" s="4">
        <v>0</v>
      </c>
      <c r="G2141" s="4">
        <v>0</v>
      </c>
      <c r="H2141" s="4">
        <v>0</v>
      </c>
      <c r="I2141" s="4">
        <v>0</v>
      </c>
      <c r="J2141" s="4">
        <v>0</v>
      </c>
      <c r="K2141" s="4">
        <v>200</v>
      </c>
      <c r="L2141" s="4">
        <v>0</v>
      </c>
      <c r="M2141" s="4">
        <v>0</v>
      </c>
      <c r="N2141" s="4">
        <f>SUM(Table1[[#This Row],[2025]:[2018]])</f>
        <v>200</v>
      </c>
      <c r="O2141" s="2">
        <f>Table1[[#This Row],[ttl]]/SUM(Table1[ttl])</f>
        <v>4.0328579653916268E-7</v>
      </c>
      <c r="P2141" s="3">
        <f>SUM($O$2:Table1[[#This Row],[pctAllTimeExp]])</f>
        <v>0.99993575624998354</v>
      </c>
      <c r="Q2141" t="b">
        <f>Table1[[#This Row],[cumPctAllTimeExp]]&lt;0.95</f>
        <v>0</v>
      </c>
    </row>
    <row r="2142" spans="1:17" x14ac:dyDescent="0.25">
      <c r="A2142">
        <v>2175</v>
      </c>
      <c r="C2142" t="s">
        <v>2508</v>
      </c>
      <c r="E2142" t="s">
        <v>2177</v>
      </c>
      <c r="F2142" s="4">
        <v>0</v>
      </c>
      <c r="G2142" s="4">
        <v>0</v>
      </c>
      <c r="H2142" s="4">
        <v>0</v>
      </c>
      <c r="I2142" s="4">
        <v>0</v>
      </c>
      <c r="J2142" s="4">
        <v>0</v>
      </c>
      <c r="K2142" s="4">
        <v>0</v>
      </c>
      <c r="L2142" s="4">
        <v>200</v>
      </c>
      <c r="M2142" s="4">
        <v>0</v>
      </c>
      <c r="N2142" s="4">
        <f>SUM(Table1[[#This Row],[2025]:[2018]])</f>
        <v>200</v>
      </c>
      <c r="O2142" s="2">
        <f>Table1[[#This Row],[ttl]]/SUM(Table1[ttl])</f>
        <v>4.0328579653916268E-7</v>
      </c>
      <c r="P2142" s="3">
        <f>SUM($O$2:Table1[[#This Row],[pctAllTimeExp]])</f>
        <v>0.99993615953578008</v>
      </c>
      <c r="Q2142" t="b">
        <f>Table1[[#This Row],[cumPctAllTimeExp]]&lt;0.95</f>
        <v>0</v>
      </c>
    </row>
    <row r="2143" spans="1:17" x14ac:dyDescent="0.25">
      <c r="A2143">
        <v>2176</v>
      </c>
      <c r="C2143" t="s">
        <v>2508</v>
      </c>
      <c r="E2143" t="s">
        <v>2178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4">
        <v>0</v>
      </c>
      <c r="L2143" s="4">
        <v>200</v>
      </c>
      <c r="M2143" s="4">
        <v>0</v>
      </c>
      <c r="N2143" s="4">
        <f>SUM(Table1[[#This Row],[2025]:[2018]])</f>
        <v>200</v>
      </c>
      <c r="O2143" s="2">
        <f>Table1[[#This Row],[ttl]]/SUM(Table1[ttl])</f>
        <v>4.0328579653916268E-7</v>
      </c>
      <c r="P2143" s="3">
        <f>SUM($O$2:Table1[[#This Row],[pctAllTimeExp]])</f>
        <v>0.99993656282157661</v>
      </c>
      <c r="Q2143" t="b">
        <f>Table1[[#This Row],[cumPctAllTimeExp]]&lt;0.95</f>
        <v>0</v>
      </c>
    </row>
    <row r="2144" spans="1:17" x14ac:dyDescent="0.25">
      <c r="A2144">
        <v>2177</v>
      </c>
      <c r="C2144" t="s">
        <v>2508</v>
      </c>
      <c r="E2144" t="s">
        <v>2179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200</v>
      </c>
      <c r="M2144" s="4">
        <v>0</v>
      </c>
      <c r="N2144" s="4">
        <f>SUM(Table1[[#This Row],[2025]:[2018]])</f>
        <v>200</v>
      </c>
      <c r="O2144" s="2">
        <f>Table1[[#This Row],[ttl]]/SUM(Table1[ttl])</f>
        <v>4.0328579653916268E-7</v>
      </c>
      <c r="P2144" s="3">
        <f>SUM($O$2:Table1[[#This Row],[pctAllTimeExp]])</f>
        <v>0.99993696610737315</v>
      </c>
      <c r="Q2144" t="b">
        <f>Table1[[#This Row],[cumPctAllTimeExp]]&lt;0.95</f>
        <v>0</v>
      </c>
    </row>
    <row r="2145" spans="1:17" x14ac:dyDescent="0.25">
      <c r="A2145">
        <v>2178</v>
      </c>
      <c r="C2145" t="s">
        <v>2508</v>
      </c>
      <c r="E2145" t="s">
        <v>2180</v>
      </c>
      <c r="F2145" s="4">
        <v>0</v>
      </c>
      <c r="G2145" s="4">
        <v>0</v>
      </c>
      <c r="H2145" s="4">
        <v>0</v>
      </c>
      <c r="I2145" s="4">
        <v>0</v>
      </c>
      <c r="J2145" s="4">
        <v>0</v>
      </c>
      <c r="K2145" s="4">
        <v>0</v>
      </c>
      <c r="L2145" s="4">
        <v>200</v>
      </c>
      <c r="M2145" s="4">
        <v>0</v>
      </c>
      <c r="N2145" s="4">
        <f>SUM(Table1[[#This Row],[2025]:[2018]])</f>
        <v>200</v>
      </c>
      <c r="O2145" s="2">
        <f>Table1[[#This Row],[ttl]]/SUM(Table1[ttl])</f>
        <v>4.0328579653916268E-7</v>
      </c>
      <c r="P2145" s="3">
        <f>SUM($O$2:Table1[[#This Row],[pctAllTimeExp]])</f>
        <v>0.99993736939316968</v>
      </c>
      <c r="Q2145" t="b">
        <f>Table1[[#This Row],[cumPctAllTimeExp]]&lt;0.95</f>
        <v>0</v>
      </c>
    </row>
    <row r="2146" spans="1:17" x14ac:dyDescent="0.25">
      <c r="A2146">
        <v>2179</v>
      </c>
      <c r="C2146" t="s">
        <v>2508</v>
      </c>
      <c r="E2146" t="s">
        <v>2181</v>
      </c>
      <c r="F2146" s="4">
        <v>0</v>
      </c>
      <c r="G2146" s="4">
        <v>0</v>
      </c>
      <c r="H2146" s="4">
        <v>0</v>
      </c>
      <c r="I2146" s="4">
        <v>0</v>
      </c>
      <c r="J2146" s="4">
        <v>0</v>
      </c>
      <c r="K2146" s="4">
        <v>0</v>
      </c>
      <c r="L2146" s="4">
        <v>200</v>
      </c>
      <c r="M2146" s="4">
        <v>0</v>
      </c>
      <c r="N2146" s="4">
        <f>SUM(Table1[[#This Row],[2025]:[2018]])</f>
        <v>200</v>
      </c>
      <c r="O2146" s="2">
        <f>Table1[[#This Row],[ttl]]/SUM(Table1[ttl])</f>
        <v>4.0328579653916268E-7</v>
      </c>
      <c r="P2146" s="3">
        <f>SUM($O$2:Table1[[#This Row],[pctAllTimeExp]])</f>
        <v>0.99993777267896622</v>
      </c>
      <c r="Q2146" t="b">
        <f>Table1[[#This Row],[cumPctAllTimeExp]]&lt;0.95</f>
        <v>0</v>
      </c>
    </row>
    <row r="2147" spans="1:17" x14ac:dyDescent="0.25">
      <c r="A2147">
        <v>2205</v>
      </c>
      <c r="C2147" t="s">
        <v>2508</v>
      </c>
      <c r="E2147" t="s">
        <v>2207</v>
      </c>
      <c r="F2147" s="4">
        <v>0</v>
      </c>
      <c r="G2147" s="4">
        <v>0</v>
      </c>
      <c r="H2147" s="4">
        <v>0</v>
      </c>
      <c r="I2147" s="4">
        <v>0</v>
      </c>
      <c r="J2147" s="4">
        <v>0</v>
      </c>
      <c r="K2147" s="4">
        <v>0</v>
      </c>
      <c r="L2147" s="4">
        <v>100</v>
      </c>
      <c r="M2147" s="4">
        <v>100</v>
      </c>
      <c r="N2147" s="4">
        <f>SUM(Table1[[#This Row],[2025]:[2018]])</f>
        <v>200</v>
      </c>
      <c r="O2147" s="2">
        <f>Table1[[#This Row],[ttl]]/SUM(Table1[ttl])</f>
        <v>4.0328579653916268E-7</v>
      </c>
      <c r="P2147" s="3">
        <f>SUM($O$2:Table1[[#This Row],[pctAllTimeExp]])</f>
        <v>0.99993817596476275</v>
      </c>
      <c r="Q2147" t="b">
        <f>Table1[[#This Row],[cumPctAllTimeExp]]&lt;0.95</f>
        <v>0</v>
      </c>
    </row>
    <row r="2148" spans="1:17" x14ac:dyDescent="0.25">
      <c r="A2148">
        <v>2425</v>
      </c>
      <c r="C2148" t="s">
        <v>2508</v>
      </c>
      <c r="E2148" t="s">
        <v>2427</v>
      </c>
      <c r="F2148" s="4">
        <v>0</v>
      </c>
      <c r="G2148" s="4">
        <v>0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  <c r="M2148" s="4">
        <v>200</v>
      </c>
      <c r="N2148" s="4">
        <f>SUM(Table1[[#This Row],[2025]:[2018]])</f>
        <v>200</v>
      </c>
      <c r="O2148" s="2">
        <f>Table1[[#This Row],[ttl]]/SUM(Table1[ttl])</f>
        <v>4.0328579653916268E-7</v>
      </c>
      <c r="P2148" s="3">
        <f>SUM($O$2:Table1[[#This Row],[pctAllTimeExp]])</f>
        <v>0.99993857925055929</v>
      </c>
      <c r="Q2148" t="b">
        <f>Table1[[#This Row],[cumPctAllTimeExp]]&lt;0.95</f>
        <v>0</v>
      </c>
    </row>
    <row r="2149" spans="1:17" x14ac:dyDescent="0.25">
      <c r="A2149">
        <v>2426</v>
      </c>
      <c r="C2149" t="s">
        <v>2508</v>
      </c>
      <c r="E2149" t="s">
        <v>2428</v>
      </c>
      <c r="F2149" s="4">
        <v>0</v>
      </c>
      <c r="G2149" s="4">
        <v>0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200</v>
      </c>
      <c r="N2149" s="4">
        <f>SUM(Table1[[#This Row],[2025]:[2018]])</f>
        <v>200</v>
      </c>
      <c r="O2149" s="2">
        <f>Table1[[#This Row],[ttl]]/SUM(Table1[ttl])</f>
        <v>4.0328579653916268E-7</v>
      </c>
      <c r="P2149" s="3">
        <f>SUM($O$2:Table1[[#This Row],[pctAllTimeExp]])</f>
        <v>0.99993898253635582</v>
      </c>
      <c r="Q2149" t="b">
        <f>Table1[[#This Row],[cumPctAllTimeExp]]&lt;0.95</f>
        <v>0</v>
      </c>
    </row>
    <row r="2150" spans="1:17" x14ac:dyDescent="0.25">
      <c r="A2150">
        <v>2427</v>
      </c>
      <c r="C2150" t="s">
        <v>2508</v>
      </c>
      <c r="E2150" t="s">
        <v>2429</v>
      </c>
      <c r="F2150" s="4">
        <v>0</v>
      </c>
      <c r="G2150" s="4">
        <v>0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200</v>
      </c>
      <c r="N2150" s="4">
        <f>SUM(Table1[[#This Row],[2025]:[2018]])</f>
        <v>200</v>
      </c>
      <c r="O2150" s="2">
        <f>Table1[[#This Row],[ttl]]/SUM(Table1[ttl])</f>
        <v>4.0328579653916268E-7</v>
      </c>
      <c r="P2150" s="3">
        <f>SUM($O$2:Table1[[#This Row],[pctAllTimeExp]])</f>
        <v>0.99993938582215236</v>
      </c>
      <c r="Q2150" t="b">
        <f>Table1[[#This Row],[cumPctAllTimeExp]]&lt;0.95</f>
        <v>0</v>
      </c>
    </row>
    <row r="2151" spans="1:17" x14ac:dyDescent="0.25">
      <c r="A2151">
        <v>2428</v>
      </c>
      <c r="C2151" t="s">
        <v>2508</v>
      </c>
      <c r="E2151" t="s">
        <v>2430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200</v>
      </c>
      <c r="N2151" s="4">
        <f>SUM(Table1[[#This Row],[2025]:[2018]])</f>
        <v>200</v>
      </c>
      <c r="O2151" s="2">
        <f>Table1[[#This Row],[ttl]]/SUM(Table1[ttl])</f>
        <v>4.0328579653916268E-7</v>
      </c>
      <c r="P2151" s="3">
        <f>SUM($O$2:Table1[[#This Row],[pctAllTimeExp]])</f>
        <v>0.9999397891079489</v>
      </c>
      <c r="Q2151" t="b">
        <f>Table1[[#This Row],[cumPctAllTimeExp]]&lt;0.95</f>
        <v>0</v>
      </c>
    </row>
    <row r="2152" spans="1:17" x14ac:dyDescent="0.25">
      <c r="A2152">
        <v>2429</v>
      </c>
      <c r="C2152" t="s">
        <v>2508</v>
      </c>
      <c r="E2152" t="s">
        <v>2431</v>
      </c>
      <c r="F2152" s="4">
        <v>0</v>
      </c>
      <c r="G2152" s="4">
        <v>0</v>
      </c>
      <c r="H2152" s="4">
        <v>0</v>
      </c>
      <c r="I2152" s="4">
        <v>0</v>
      </c>
      <c r="J2152" s="4">
        <v>0</v>
      </c>
      <c r="K2152" s="4">
        <v>0</v>
      </c>
      <c r="L2152" s="4">
        <v>0</v>
      </c>
      <c r="M2152" s="4">
        <v>200</v>
      </c>
      <c r="N2152" s="4">
        <f>SUM(Table1[[#This Row],[2025]:[2018]])</f>
        <v>200</v>
      </c>
      <c r="O2152" s="2">
        <f>Table1[[#This Row],[ttl]]/SUM(Table1[ttl])</f>
        <v>4.0328579653916268E-7</v>
      </c>
      <c r="P2152" s="3">
        <f>SUM($O$2:Table1[[#This Row],[pctAllTimeExp]])</f>
        <v>0.99994019239374543</v>
      </c>
      <c r="Q2152" t="b">
        <f>Table1[[#This Row],[cumPctAllTimeExp]]&lt;0.95</f>
        <v>0</v>
      </c>
    </row>
    <row r="2153" spans="1:17" x14ac:dyDescent="0.25">
      <c r="A2153">
        <v>2430</v>
      </c>
      <c r="C2153" t="s">
        <v>2508</v>
      </c>
      <c r="E2153" t="s">
        <v>2432</v>
      </c>
      <c r="F2153" s="4">
        <v>0</v>
      </c>
      <c r="G2153" s="4">
        <v>0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200</v>
      </c>
      <c r="N2153" s="4">
        <f>SUM(Table1[[#This Row],[2025]:[2018]])</f>
        <v>200</v>
      </c>
      <c r="O2153" s="2">
        <f>Table1[[#This Row],[ttl]]/SUM(Table1[ttl])</f>
        <v>4.0328579653916268E-7</v>
      </c>
      <c r="P2153" s="3">
        <f>SUM($O$2:Table1[[#This Row],[pctAllTimeExp]])</f>
        <v>0.99994059567954197</v>
      </c>
      <c r="Q2153" t="b">
        <f>Table1[[#This Row],[cumPctAllTimeExp]]&lt;0.95</f>
        <v>0</v>
      </c>
    </row>
    <row r="2154" spans="1:17" x14ac:dyDescent="0.25">
      <c r="A2154">
        <v>2431</v>
      </c>
      <c r="C2154" t="s">
        <v>2508</v>
      </c>
      <c r="E2154" t="s">
        <v>2433</v>
      </c>
      <c r="F2154" s="4">
        <v>0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  <c r="M2154" s="4">
        <v>200</v>
      </c>
      <c r="N2154" s="4">
        <f>SUM(Table1[[#This Row],[2025]:[2018]])</f>
        <v>200</v>
      </c>
      <c r="O2154" s="2">
        <f>Table1[[#This Row],[ttl]]/SUM(Table1[ttl])</f>
        <v>4.0328579653916268E-7</v>
      </c>
      <c r="P2154" s="3">
        <f>SUM($O$2:Table1[[#This Row],[pctAllTimeExp]])</f>
        <v>0.9999409989653385</v>
      </c>
      <c r="Q2154" t="b">
        <f>Table1[[#This Row],[cumPctAllTimeExp]]&lt;0.95</f>
        <v>0</v>
      </c>
    </row>
    <row r="2155" spans="1:17" x14ac:dyDescent="0.25">
      <c r="A2155">
        <v>2432</v>
      </c>
      <c r="C2155" t="s">
        <v>2508</v>
      </c>
      <c r="E2155" t="s">
        <v>2434</v>
      </c>
      <c r="F2155" s="4">
        <v>0</v>
      </c>
      <c r="G2155" s="4">
        <v>0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200</v>
      </c>
      <c r="N2155" s="4">
        <f>SUM(Table1[[#This Row],[2025]:[2018]])</f>
        <v>200</v>
      </c>
      <c r="O2155" s="2">
        <f>Table1[[#This Row],[ttl]]/SUM(Table1[ttl])</f>
        <v>4.0328579653916268E-7</v>
      </c>
      <c r="P2155" s="3">
        <f>SUM($O$2:Table1[[#This Row],[pctAllTimeExp]])</f>
        <v>0.99994140225113504</v>
      </c>
      <c r="Q2155" t="b">
        <f>Table1[[#This Row],[cumPctAllTimeExp]]&lt;0.95</f>
        <v>0</v>
      </c>
    </row>
    <row r="2156" spans="1:17" x14ac:dyDescent="0.25">
      <c r="A2156">
        <v>2180</v>
      </c>
      <c r="C2156" t="s">
        <v>2508</v>
      </c>
      <c r="E2156" t="s">
        <v>2182</v>
      </c>
      <c r="F2156" s="4">
        <v>0</v>
      </c>
      <c r="G2156" s="4">
        <v>0</v>
      </c>
      <c r="H2156" s="4">
        <v>0</v>
      </c>
      <c r="I2156" s="4">
        <v>0</v>
      </c>
      <c r="J2156" s="4">
        <v>0</v>
      </c>
      <c r="K2156" s="4">
        <v>0</v>
      </c>
      <c r="L2156" s="4">
        <v>199.99</v>
      </c>
      <c r="M2156" s="4">
        <v>0</v>
      </c>
      <c r="N2156" s="4">
        <f>SUM(Table1[[#This Row],[2025]:[2018]])</f>
        <v>199.99</v>
      </c>
      <c r="O2156" s="2">
        <f>Table1[[#This Row],[ttl]]/SUM(Table1[ttl])</f>
        <v>4.0326563224933576E-7</v>
      </c>
      <c r="P2156" s="3">
        <f>SUM($O$2:Table1[[#This Row],[pctAllTimeExp]])</f>
        <v>0.99994180551676726</v>
      </c>
      <c r="Q2156" t="b">
        <f>Table1[[#This Row],[cumPctAllTimeExp]]&lt;0.95</f>
        <v>0</v>
      </c>
    </row>
    <row r="2157" spans="1:17" x14ac:dyDescent="0.25">
      <c r="A2157">
        <v>2433</v>
      </c>
      <c r="C2157" t="s">
        <v>2508</v>
      </c>
      <c r="E2157" t="s">
        <v>2435</v>
      </c>
      <c r="F2157" s="4">
        <v>0</v>
      </c>
      <c r="G2157" s="4">
        <v>0</v>
      </c>
      <c r="H2157" s="4">
        <v>0</v>
      </c>
      <c r="I2157" s="4">
        <v>0</v>
      </c>
      <c r="J2157" s="4">
        <v>0</v>
      </c>
      <c r="K2157" s="4">
        <v>0</v>
      </c>
      <c r="L2157" s="4">
        <v>0</v>
      </c>
      <c r="M2157" s="4">
        <v>196.7</v>
      </c>
      <c r="N2157" s="4">
        <f>SUM(Table1[[#This Row],[2025]:[2018]])</f>
        <v>196.7</v>
      </c>
      <c r="O2157" s="2">
        <f>Table1[[#This Row],[ttl]]/SUM(Table1[ttl])</f>
        <v>3.9663158089626651E-7</v>
      </c>
      <c r="P2157" s="3">
        <f>SUM($O$2:Table1[[#This Row],[pctAllTimeExp]])</f>
        <v>0.99994220214834817</v>
      </c>
      <c r="Q2157" t="b">
        <f>Table1[[#This Row],[cumPctAllTimeExp]]&lt;0.95</f>
        <v>0</v>
      </c>
    </row>
    <row r="2158" spans="1:17" x14ac:dyDescent="0.25">
      <c r="A2158">
        <v>2434</v>
      </c>
      <c r="C2158" t="s">
        <v>2508</v>
      </c>
      <c r="E2158" t="s">
        <v>2436</v>
      </c>
      <c r="F2158" s="4">
        <v>0</v>
      </c>
      <c r="G2158" s="4">
        <v>0</v>
      </c>
      <c r="H2158" s="4">
        <v>0</v>
      </c>
      <c r="I2158" s="4">
        <v>0</v>
      </c>
      <c r="J2158" s="4">
        <v>0</v>
      </c>
      <c r="K2158" s="4">
        <v>0</v>
      </c>
      <c r="L2158" s="4">
        <v>0</v>
      </c>
      <c r="M2158" s="4">
        <v>195</v>
      </c>
      <c r="N2158" s="4">
        <f>SUM(Table1[[#This Row],[2025]:[2018]])</f>
        <v>195</v>
      </c>
      <c r="O2158" s="2">
        <f>Table1[[#This Row],[ttl]]/SUM(Table1[ttl])</f>
        <v>3.9320365162568361E-7</v>
      </c>
      <c r="P2158" s="3">
        <f>SUM($O$2:Table1[[#This Row],[pctAllTimeExp]])</f>
        <v>0.99994259535199981</v>
      </c>
      <c r="Q2158" t="b">
        <f>Table1[[#This Row],[cumPctAllTimeExp]]&lt;0.95</f>
        <v>0</v>
      </c>
    </row>
    <row r="2159" spans="1:17" x14ac:dyDescent="0.25">
      <c r="A2159">
        <v>2435</v>
      </c>
      <c r="C2159" t="s">
        <v>2508</v>
      </c>
      <c r="E2159" t="s">
        <v>2437</v>
      </c>
      <c r="F2159" s="4">
        <v>0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  <c r="M2159" s="4">
        <v>195</v>
      </c>
      <c r="N2159" s="4">
        <f>SUM(Table1[[#This Row],[2025]:[2018]])</f>
        <v>195</v>
      </c>
      <c r="O2159" s="2">
        <f>Table1[[#This Row],[ttl]]/SUM(Table1[ttl])</f>
        <v>3.9320365162568361E-7</v>
      </c>
      <c r="P2159" s="3">
        <f>SUM($O$2:Table1[[#This Row],[pctAllTimeExp]])</f>
        <v>0.99994298855565145</v>
      </c>
      <c r="Q2159" t="b">
        <f>Table1[[#This Row],[cumPctAllTimeExp]]&lt;0.95</f>
        <v>0</v>
      </c>
    </row>
    <row r="2160" spans="1:17" x14ac:dyDescent="0.25">
      <c r="A2160">
        <v>2436</v>
      </c>
      <c r="C2160" t="s">
        <v>2508</v>
      </c>
      <c r="E2160" t="s">
        <v>2438</v>
      </c>
      <c r="F2160" s="4">
        <v>0</v>
      </c>
      <c r="G2160" s="4">
        <v>0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195</v>
      </c>
      <c r="N2160" s="4">
        <f>SUM(Table1[[#This Row],[2025]:[2018]])</f>
        <v>195</v>
      </c>
      <c r="O2160" s="2">
        <f>Table1[[#This Row],[ttl]]/SUM(Table1[ttl])</f>
        <v>3.9320365162568361E-7</v>
      </c>
      <c r="P2160" s="3">
        <f>SUM($O$2:Table1[[#This Row],[pctAllTimeExp]])</f>
        <v>0.99994338175930308</v>
      </c>
      <c r="Q2160" t="b">
        <f>Table1[[#This Row],[cumPctAllTimeExp]]&lt;0.95</f>
        <v>0</v>
      </c>
    </row>
    <row r="2161" spans="1:17" x14ac:dyDescent="0.25">
      <c r="A2161">
        <v>2437</v>
      </c>
      <c r="C2161" t="s">
        <v>2508</v>
      </c>
      <c r="E2161" t="s">
        <v>2439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195</v>
      </c>
      <c r="N2161" s="4">
        <f>SUM(Table1[[#This Row],[2025]:[2018]])</f>
        <v>195</v>
      </c>
      <c r="O2161" s="2">
        <f>Table1[[#This Row],[ttl]]/SUM(Table1[ttl])</f>
        <v>3.9320365162568361E-7</v>
      </c>
      <c r="P2161" s="3">
        <f>SUM($O$2:Table1[[#This Row],[pctAllTimeExp]])</f>
        <v>0.99994377496295472</v>
      </c>
      <c r="Q2161" t="b">
        <f>Table1[[#This Row],[cumPctAllTimeExp]]&lt;0.95</f>
        <v>0</v>
      </c>
    </row>
    <row r="2162" spans="1:17" x14ac:dyDescent="0.25">
      <c r="A2162">
        <v>2204</v>
      </c>
      <c r="C2162" t="s">
        <v>2508</v>
      </c>
      <c r="E2162" t="s">
        <v>2206</v>
      </c>
      <c r="F2162" s="4">
        <v>0</v>
      </c>
      <c r="G2162" s="4">
        <v>0</v>
      </c>
      <c r="H2162" s="4">
        <v>0</v>
      </c>
      <c r="I2162" s="4">
        <v>0</v>
      </c>
      <c r="J2162" s="4">
        <v>0</v>
      </c>
      <c r="K2162" s="4">
        <v>0</v>
      </c>
      <c r="L2162" s="4">
        <v>105</v>
      </c>
      <c r="M2162" s="4">
        <v>88</v>
      </c>
      <c r="N2162" s="4">
        <f>SUM(Table1[[#This Row],[2025]:[2018]])</f>
        <v>193</v>
      </c>
      <c r="O2162" s="2">
        <f>Table1[[#This Row],[ttl]]/SUM(Table1[ttl])</f>
        <v>3.8917079366029199E-7</v>
      </c>
      <c r="P2162" s="3">
        <f>SUM($O$2:Table1[[#This Row],[pctAllTimeExp]])</f>
        <v>0.99994416413374843</v>
      </c>
      <c r="Q2162" t="b">
        <f>Table1[[#This Row],[cumPctAllTimeExp]]&lt;0.95</f>
        <v>0</v>
      </c>
    </row>
    <row r="2163" spans="1:17" x14ac:dyDescent="0.25">
      <c r="A2163">
        <v>2232</v>
      </c>
      <c r="C2163" t="s">
        <v>2508</v>
      </c>
      <c r="E2163" t="s">
        <v>2234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24.3</v>
      </c>
      <c r="M2163" s="4">
        <v>166.72</v>
      </c>
      <c r="N2163" s="4">
        <f>SUM(Table1[[#This Row],[2025]:[2018]])</f>
        <v>191.02</v>
      </c>
      <c r="O2163" s="2">
        <f>Table1[[#This Row],[ttl]]/SUM(Table1[ttl])</f>
        <v>3.8517826427455431E-7</v>
      </c>
      <c r="P2163" s="3">
        <f>SUM($O$2:Table1[[#This Row],[pctAllTimeExp]])</f>
        <v>0.99994454931201271</v>
      </c>
      <c r="Q2163" t="b">
        <f>Table1[[#This Row],[cumPctAllTimeExp]]&lt;0.95</f>
        <v>0</v>
      </c>
    </row>
    <row r="2164" spans="1:17" x14ac:dyDescent="0.25">
      <c r="A2164">
        <v>917</v>
      </c>
      <c r="C2164" t="s">
        <v>2508</v>
      </c>
      <c r="E2164" t="s">
        <v>919</v>
      </c>
      <c r="F2164" s="4">
        <v>0</v>
      </c>
      <c r="G2164" s="4">
        <v>190</v>
      </c>
      <c r="H2164" s="4">
        <v>0</v>
      </c>
      <c r="I2164" s="4">
        <v>0</v>
      </c>
      <c r="J2164" s="4">
        <v>0</v>
      </c>
      <c r="K2164" s="4">
        <v>0</v>
      </c>
      <c r="L2164" s="4">
        <v>0</v>
      </c>
      <c r="M2164" s="4">
        <v>0</v>
      </c>
      <c r="N2164" s="4">
        <f>SUM(Table1[[#This Row],[2025]:[2018]])</f>
        <v>190</v>
      </c>
      <c r="O2164" s="2">
        <f>Table1[[#This Row],[ttl]]/SUM(Table1[ttl])</f>
        <v>3.8312150671220459E-7</v>
      </c>
      <c r="P2164" s="3">
        <f>SUM($O$2:Table1[[#This Row],[pctAllTimeExp]])</f>
        <v>0.99994493243351945</v>
      </c>
      <c r="Q2164" t="b">
        <f>Table1[[#This Row],[cumPctAllTimeExp]]&lt;0.95</f>
        <v>0</v>
      </c>
    </row>
    <row r="2165" spans="1:17" x14ac:dyDescent="0.25">
      <c r="A2165">
        <v>918</v>
      </c>
      <c r="C2165" t="s">
        <v>2508</v>
      </c>
      <c r="E2165" t="s">
        <v>920</v>
      </c>
      <c r="F2165" s="4">
        <v>0</v>
      </c>
      <c r="G2165" s="4">
        <v>190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f>SUM(Table1[[#This Row],[2025]:[2018]])</f>
        <v>190</v>
      </c>
      <c r="O2165" s="2">
        <f>Table1[[#This Row],[ttl]]/SUM(Table1[ttl])</f>
        <v>3.8312150671220459E-7</v>
      </c>
      <c r="P2165" s="3">
        <f>SUM($O$2:Table1[[#This Row],[pctAllTimeExp]])</f>
        <v>0.99994531555502619</v>
      </c>
      <c r="Q2165" t="b">
        <f>Table1[[#This Row],[cumPctAllTimeExp]]&lt;0.95</f>
        <v>0</v>
      </c>
    </row>
    <row r="2166" spans="1:17" x14ac:dyDescent="0.25">
      <c r="A2166">
        <v>2181</v>
      </c>
      <c r="C2166" t="s">
        <v>2508</v>
      </c>
      <c r="E2166" t="s">
        <v>2183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  <c r="L2166" s="4">
        <v>189.05</v>
      </c>
      <c r="M2166" s="4">
        <v>0</v>
      </c>
      <c r="N2166" s="4">
        <f>SUM(Table1[[#This Row],[2025]:[2018]])</f>
        <v>189.05</v>
      </c>
      <c r="O2166" s="2">
        <f>Table1[[#This Row],[ttl]]/SUM(Table1[ttl])</f>
        <v>3.8120589917864355E-7</v>
      </c>
      <c r="P2166" s="3">
        <f>SUM($O$2:Table1[[#This Row],[pctAllTimeExp]])</f>
        <v>0.99994569676092537</v>
      </c>
      <c r="Q2166" t="b">
        <f>Table1[[#This Row],[cumPctAllTimeExp]]&lt;0.95</f>
        <v>0</v>
      </c>
    </row>
    <row r="2167" spans="1:17" x14ac:dyDescent="0.25">
      <c r="A2167">
        <v>646</v>
      </c>
      <c r="C2167" t="s">
        <v>2508</v>
      </c>
      <c r="E2167" t="s">
        <v>648</v>
      </c>
      <c r="F2167" s="4">
        <v>155.62</v>
      </c>
      <c r="G2167" s="4">
        <v>0</v>
      </c>
      <c r="H2167" s="4">
        <v>0</v>
      </c>
      <c r="I2167" s="4">
        <v>32.18</v>
      </c>
      <c r="J2167" s="4">
        <v>0</v>
      </c>
      <c r="K2167" s="4">
        <v>0</v>
      </c>
      <c r="L2167" s="4">
        <v>0</v>
      </c>
      <c r="M2167" s="4">
        <v>0</v>
      </c>
      <c r="N2167" s="4">
        <f>SUM(Table1[[#This Row],[2025]:[2018]])</f>
        <v>187.8</v>
      </c>
      <c r="O2167" s="2">
        <f>Table1[[#This Row],[ttl]]/SUM(Table1[ttl])</f>
        <v>3.7868536295027379E-7</v>
      </c>
      <c r="P2167" s="3">
        <f>SUM($O$2:Table1[[#This Row],[pctAllTimeExp]])</f>
        <v>0.99994607544628833</v>
      </c>
      <c r="Q2167" t="b">
        <f>Table1[[#This Row],[cumPctAllTimeExp]]&lt;0.95</f>
        <v>0</v>
      </c>
    </row>
    <row r="2168" spans="1:17" x14ac:dyDescent="0.25">
      <c r="A2168">
        <v>2183</v>
      </c>
      <c r="C2168" t="s">
        <v>2508</v>
      </c>
      <c r="E2168" t="s">
        <v>2185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186.33</v>
      </c>
      <c r="M2168" s="4">
        <v>0</v>
      </c>
      <c r="N2168" s="4">
        <f>SUM(Table1[[#This Row],[2025]:[2018]])</f>
        <v>186.33</v>
      </c>
      <c r="O2168" s="2">
        <f>Table1[[#This Row],[ttl]]/SUM(Table1[ttl])</f>
        <v>3.7572121234571097E-7</v>
      </c>
      <c r="P2168" s="3">
        <f>SUM($O$2:Table1[[#This Row],[pctAllTimeExp]])</f>
        <v>0.99994645116750069</v>
      </c>
      <c r="Q2168" t="b">
        <f>Table1[[#This Row],[cumPctAllTimeExp]]&lt;0.95</f>
        <v>0</v>
      </c>
    </row>
    <row r="2169" spans="1:17" x14ac:dyDescent="0.25">
      <c r="A2169">
        <v>920</v>
      </c>
      <c r="C2169" t="s">
        <v>2508</v>
      </c>
      <c r="E2169" t="s">
        <v>922</v>
      </c>
      <c r="F2169" s="4">
        <v>0</v>
      </c>
      <c r="G2169" s="4">
        <v>185.53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f>SUM(Table1[[#This Row],[2025]:[2018]])</f>
        <v>185.53</v>
      </c>
      <c r="O2169" s="2">
        <f>Table1[[#This Row],[ttl]]/SUM(Table1[ttl])</f>
        <v>3.7410806915955426E-7</v>
      </c>
      <c r="P2169" s="3">
        <f>SUM($O$2:Table1[[#This Row],[pctAllTimeExp]])</f>
        <v>0.99994682527556988</v>
      </c>
      <c r="Q2169" t="b">
        <f>Table1[[#This Row],[cumPctAllTimeExp]]&lt;0.95</f>
        <v>0</v>
      </c>
    </row>
    <row r="2170" spans="1:17" x14ac:dyDescent="0.25">
      <c r="A2170">
        <v>1881</v>
      </c>
      <c r="C2170" t="s">
        <v>2508</v>
      </c>
      <c r="E2170" t="s">
        <v>1883</v>
      </c>
      <c r="F2170" s="4">
        <v>0</v>
      </c>
      <c r="G2170" s="4">
        <v>0</v>
      </c>
      <c r="H2170" s="4">
        <v>0</v>
      </c>
      <c r="I2170" s="4">
        <v>0</v>
      </c>
      <c r="J2170" s="4">
        <v>0</v>
      </c>
      <c r="K2170" s="4">
        <v>185</v>
      </c>
      <c r="L2170" s="4">
        <v>0</v>
      </c>
      <c r="M2170" s="4">
        <v>0</v>
      </c>
      <c r="N2170" s="4">
        <f>SUM(Table1[[#This Row],[2025]:[2018]])</f>
        <v>185</v>
      </c>
      <c r="O2170" s="2">
        <f>Table1[[#This Row],[ttl]]/SUM(Table1[ttl])</f>
        <v>3.7303936179872552E-7</v>
      </c>
      <c r="P2170" s="3">
        <f>SUM($O$2:Table1[[#This Row],[pctAllTimeExp]])</f>
        <v>0.99994719831493173</v>
      </c>
      <c r="Q2170" t="b">
        <f>Table1[[#This Row],[cumPctAllTimeExp]]&lt;0.95</f>
        <v>0</v>
      </c>
    </row>
    <row r="2171" spans="1:17" x14ac:dyDescent="0.25">
      <c r="A2171">
        <v>636</v>
      </c>
      <c r="C2171" t="s">
        <v>2508</v>
      </c>
      <c r="E2171" t="s">
        <v>638</v>
      </c>
      <c r="F2171" s="4">
        <v>184</v>
      </c>
      <c r="G2171" s="4">
        <v>0</v>
      </c>
      <c r="H2171" s="4">
        <v>0</v>
      </c>
      <c r="I2171" s="4">
        <v>0</v>
      </c>
      <c r="J2171" s="4">
        <v>0</v>
      </c>
      <c r="K2171" s="4">
        <v>0</v>
      </c>
      <c r="L2171" s="4">
        <v>0</v>
      </c>
      <c r="M2171" s="4">
        <v>0</v>
      </c>
      <c r="N2171" s="4">
        <f>SUM(Table1[[#This Row],[2025]:[2018]])</f>
        <v>184</v>
      </c>
      <c r="O2171" s="2">
        <f>Table1[[#This Row],[ttl]]/SUM(Table1[ttl])</f>
        <v>3.7102293281602968E-7</v>
      </c>
      <c r="P2171" s="3">
        <f>SUM($O$2:Table1[[#This Row],[pctAllTimeExp]])</f>
        <v>0.99994756933786455</v>
      </c>
      <c r="Q2171" t="b">
        <f>Table1[[#This Row],[cumPctAllTimeExp]]&lt;0.95</f>
        <v>0</v>
      </c>
    </row>
    <row r="2172" spans="1:17" x14ac:dyDescent="0.25">
      <c r="A2172">
        <v>940</v>
      </c>
      <c r="C2172" t="s">
        <v>2508</v>
      </c>
      <c r="E2172" t="s">
        <v>942</v>
      </c>
      <c r="F2172" s="4">
        <v>0</v>
      </c>
      <c r="G2172" s="4">
        <v>75</v>
      </c>
      <c r="H2172" s="4">
        <v>0</v>
      </c>
      <c r="I2172" s="4">
        <v>0</v>
      </c>
      <c r="J2172" s="4">
        <v>0</v>
      </c>
      <c r="K2172" s="4">
        <v>64</v>
      </c>
      <c r="L2172" s="4">
        <v>45</v>
      </c>
      <c r="M2172" s="4">
        <v>0</v>
      </c>
      <c r="N2172" s="4">
        <f>SUM(Table1[[#This Row],[2025]:[2018]])</f>
        <v>184</v>
      </c>
      <c r="O2172" s="2">
        <f>Table1[[#This Row],[ttl]]/SUM(Table1[ttl])</f>
        <v>3.7102293281602968E-7</v>
      </c>
      <c r="P2172" s="3">
        <f>SUM($O$2:Table1[[#This Row],[pctAllTimeExp]])</f>
        <v>0.99994794036079737</v>
      </c>
      <c r="Q2172" t="b">
        <f>Table1[[#This Row],[cumPctAllTimeExp]]&lt;0.95</f>
        <v>0</v>
      </c>
    </row>
    <row r="2173" spans="1:17" x14ac:dyDescent="0.25">
      <c r="A2173">
        <v>1882</v>
      </c>
      <c r="C2173" t="s">
        <v>2508</v>
      </c>
      <c r="E2173" t="s">
        <v>1884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4">
        <v>183</v>
      </c>
      <c r="L2173" s="4">
        <v>0</v>
      </c>
      <c r="M2173" s="4">
        <v>0</v>
      </c>
      <c r="N2173" s="4">
        <f>SUM(Table1[[#This Row],[2025]:[2018]])</f>
        <v>183</v>
      </c>
      <c r="O2173" s="2">
        <f>Table1[[#This Row],[ttl]]/SUM(Table1[ttl])</f>
        <v>3.6900650383333384E-7</v>
      </c>
      <c r="P2173" s="3">
        <f>SUM($O$2:Table1[[#This Row],[pctAllTimeExp]])</f>
        <v>0.99994830936730117</v>
      </c>
      <c r="Q2173" t="b">
        <f>Table1[[#This Row],[cumPctAllTimeExp]]&lt;0.95</f>
        <v>0</v>
      </c>
    </row>
    <row r="2174" spans="1:17" x14ac:dyDescent="0.25">
      <c r="A2174">
        <v>1591</v>
      </c>
      <c r="C2174" t="s">
        <v>2508</v>
      </c>
      <c r="E2174" t="s">
        <v>1593</v>
      </c>
      <c r="F2174" s="4">
        <v>0</v>
      </c>
      <c r="G2174" s="4">
        <v>0</v>
      </c>
      <c r="H2174" s="4">
        <v>0</v>
      </c>
      <c r="I2174" s="4">
        <v>0</v>
      </c>
      <c r="J2174" s="4">
        <v>182.2</v>
      </c>
      <c r="K2174" s="4">
        <v>0</v>
      </c>
      <c r="L2174" s="4">
        <v>0</v>
      </c>
      <c r="M2174" s="4">
        <v>0</v>
      </c>
      <c r="N2174" s="4">
        <f>SUM(Table1[[#This Row],[2025]:[2018]])</f>
        <v>182.2</v>
      </c>
      <c r="O2174" s="2">
        <f>Table1[[#This Row],[ttl]]/SUM(Table1[ttl])</f>
        <v>3.6739336064717719E-7</v>
      </c>
      <c r="P2174" s="3">
        <f>SUM($O$2:Table1[[#This Row],[pctAllTimeExp]])</f>
        <v>0.99994867676066179</v>
      </c>
      <c r="Q2174" t="b">
        <f>Table1[[#This Row],[cumPctAllTimeExp]]&lt;0.95</f>
        <v>0</v>
      </c>
    </row>
    <row r="2175" spans="1:17" x14ac:dyDescent="0.25">
      <c r="A2175">
        <v>1360</v>
      </c>
      <c r="C2175" t="s">
        <v>2508</v>
      </c>
      <c r="E2175" t="s">
        <v>1362</v>
      </c>
      <c r="F2175" s="4">
        <v>0</v>
      </c>
      <c r="G2175" s="4">
        <v>0</v>
      </c>
      <c r="H2175" s="4">
        <v>0</v>
      </c>
      <c r="I2175" s="4">
        <v>180</v>
      </c>
      <c r="J2175" s="4">
        <v>0</v>
      </c>
      <c r="K2175" s="4">
        <v>0</v>
      </c>
      <c r="L2175" s="4">
        <v>0</v>
      </c>
      <c r="M2175" s="4">
        <v>0</v>
      </c>
      <c r="N2175" s="4">
        <f>SUM(Table1[[#This Row],[2025]:[2018]])</f>
        <v>180</v>
      </c>
      <c r="O2175" s="2">
        <f>Table1[[#This Row],[ttl]]/SUM(Table1[ttl])</f>
        <v>3.6295721688524644E-7</v>
      </c>
      <c r="P2175" s="3">
        <f>SUM($O$2:Table1[[#This Row],[pctAllTimeExp]])</f>
        <v>0.99994903971787863</v>
      </c>
      <c r="Q2175" t="b">
        <f>Table1[[#This Row],[cumPctAllTimeExp]]&lt;0.95</f>
        <v>0</v>
      </c>
    </row>
    <row r="2176" spans="1:17" x14ac:dyDescent="0.25">
      <c r="A2176">
        <v>1883</v>
      </c>
      <c r="C2176" t="s">
        <v>2508</v>
      </c>
      <c r="E2176" t="s">
        <v>1885</v>
      </c>
      <c r="F2176" s="4">
        <v>0</v>
      </c>
      <c r="G2176" s="4">
        <v>0</v>
      </c>
      <c r="H2176" s="4">
        <v>0</v>
      </c>
      <c r="I2176" s="4">
        <v>0</v>
      </c>
      <c r="J2176" s="4">
        <v>0</v>
      </c>
      <c r="K2176" s="4">
        <v>178</v>
      </c>
      <c r="L2176" s="4">
        <v>0</v>
      </c>
      <c r="M2176" s="4">
        <v>0</v>
      </c>
      <c r="N2176" s="4">
        <f>SUM(Table1[[#This Row],[2025]:[2018]])</f>
        <v>178</v>
      </c>
      <c r="O2176" s="2">
        <f>Table1[[#This Row],[ttl]]/SUM(Table1[ttl])</f>
        <v>3.5892435891985482E-7</v>
      </c>
      <c r="P2176" s="3">
        <f>SUM($O$2:Table1[[#This Row],[pctAllTimeExp]])</f>
        <v>0.99994939864223753</v>
      </c>
      <c r="Q2176" t="b">
        <f>Table1[[#This Row],[cumPctAllTimeExp]]&lt;0.95</f>
        <v>0</v>
      </c>
    </row>
    <row r="2177" spans="1:17" x14ac:dyDescent="0.25">
      <c r="A2177">
        <v>1363</v>
      </c>
      <c r="C2177" t="s">
        <v>2508</v>
      </c>
      <c r="E2177" t="s">
        <v>1365</v>
      </c>
      <c r="F2177" s="4">
        <v>0</v>
      </c>
      <c r="G2177" s="4">
        <v>0</v>
      </c>
      <c r="H2177" s="4">
        <v>0</v>
      </c>
      <c r="I2177" s="4">
        <v>176</v>
      </c>
      <c r="J2177" s="4">
        <v>0</v>
      </c>
      <c r="K2177" s="4">
        <v>0</v>
      </c>
      <c r="L2177" s="4">
        <v>0</v>
      </c>
      <c r="M2177" s="4">
        <v>0</v>
      </c>
      <c r="N2177" s="4">
        <f>SUM(Table1[[#This Row],[2025]:[2018]])</f>
        <v>176</v>
      </c>
      <c r="O2177" s="2">
        <f>Table1[[#This Row],[ttl]]/SUM(Table1[ttl])</f>
        <v>3.5489150095446315E-7</v>
      </c>
      <c r="P2177" s="3">
        <f>SUM($O$2:Table1[[#This Row],[pctAllTimeExp]])</f>
        <v>0.99994975353373849</v>
      </c>
      <c r="Q2177" t="b">
        <f>Table1[[#This Row],[cumPctAllTimeExp]]&lt;0.95</f>
        <v>0</v>
      </c>
    </row>
    <row r="2178" spans="1:17" x14ac:dyDescent="0.25">
      <c r="A2178">
        <v>2438</v>
      </c>
      <c r="C2178" t="s">
        <v>2508</v>
      </c>
      <c r="E2178" t="s">
        <v>2440</v>
      </c>
      <c r="F2178" s="4">
        <v>0</v>
      </c>
      <c r="G2178" s="4">
        <v>0</v>
      </c>
      <c r="H2178" s="4">
        <v>0</v>
      </c>
      <c r="I2178" s="4">
        <v>0</v>
      </c>
      <c r="J2178" s="4">
        <v>0</v>
      </c>
      <c r="K2178" s="4">
        <v>0</v>
      </c>
      <c r="L2178" s="4">
        <v>0</v>
      </c>
      <c r="M2178" s="4">
        <v>176</v>
      </c>
      <c r="N2178" s="4">
        <f>SUM(Table1[[#This Row],[2025]:[2018]])</f>
        <v>176</v>
      </c>
      <c r="O2178" s="2">
        <f>Table1[[#This Row],[ttl]]/SUM(Table1[ttl])</f>
        <v>3.5489150095446315E-7</v>
      </c>
      <c r="P2178" s="3">
        <f>SUM($O$2:Table1[[#This Row],[pctAllTimeExp]])</f>
        <v>0.99995010842523946</v>
      </c>
      <c r="Q2178" t="b">
        <f>Table1[[#This Row],[cumPctAllTimeExp]]&lt;0.95</f>
        <v>0</v>
      </c>
    </row>
    <row r="2179" spans="1:17" x14ac:dyDescent="0.25">
      <c r="A2179">
        <v>638</v>
      </c>
      <c r="C2179" t="s">
        <v>2508</v>
      </c>
      <c r="E2179" t="s">
        <v>640</v>
      </c>
      <c r="F2179" s="4">
        <v>175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  <c r="L2179" s="4">
        <v>0</v>
      </c>
      <c r="M2179" s="4">
        <v>0</v>
      </c>
      <c r="N2179" s="4">
        <f>SUM(Table1[[#This Row],[2025]:[2018]])</f>
        <v>175</v>
      </c>
      <c r="O2179" s="2">
        <f>Table1[[#This Row],[ttl]]/SUM(Table1[ttl])</f>
        <v>3.5287507197176737E-7</v>
      </c>
      <c r="P2179" s="3">
        <f>SUM($O$2:Table1[[#This Row],[pctAllTimeExp]])</f>
        <v>0.9999504613003114</v>
      </c>
      <c r="Q2179" t="b">
        <f>Table1[[#This Row],[cumPctAllTimeExp]]&lt;0.95</f>
        <v>0</v>
      </c>
    </row>
    <row r="2180" spans="1:17" x14ac:dyDescent="0.25">
      <c r="A2180">
        <v>921</v>
      </c>
      <c r="C2180" t="s">
        <v>2508</v>
      </c>
      <c r="E2180" t="s">
        <v>923</v>
      </c>
      <c r="F2180" s="4">
        <v>0</v>
      </c>
      <c r="G2180" s="4">
        <v>175</v>
      </c>
      <c r="H2180" s="4">
        <v>0</v>
      </c>
      <c r="I2180" s="4">
        <v>0</v>
      </c>
      <c r="J2180" s="4">
        <v>0</v>
      </c>
      <c r="K2180" s="4">
        <v>0</v>
      </c>
      <c r="L2180" s="4">
        <v>0</v>
      </c>
      <c r="M2180" s="4">
        <v>0</v>
      </c>
      <c r="N2180" s="4">
        <f>SUM(Table1[[#This Row],[2025]:[2018]])</f>
        <v>175</v>
      </c>
      <c r="O2180" s="2">
        <f>Table1[[#This Row],[ttl]]/SUM(Table1[ttl])</f>
        <v>3.5287507197176737E-7</v>
      </c>
      <c r="P2180" s="3">
        <f>SUM($O$2:Table1[[#This Row],[pctAllTimeExp]])</f>
        <v>0.99995081417538334</v>
      </c>
      <c r="Q2180" t="b">
        <f>Table1[[#This Row],[cumPctAllTimeExp]]&lt;0.95</f>
        <v>0</v>
      </c>
    </row>
    <row r="2181" spans="1:17" x14ac:dyDescent="0.25">
      <c r="A2181">
        <v>1176</v>
      </c>
      <c r="C2181" t="s">
        <v>2508</v>
      </c>
      <c r="E2181" t="s">
        <v>1178</v>
      </c>
      <c r="F2181" s="4">
        <v>0</v>
      </c>
      <c r="G2181" s="4">
        <v>0</v>
      </c>
      <c r="H2181" s="4">
        <v>100</v>
      </c>
      <c r="I2181" s="4">
        <v>75</v>
      </c>
      <c r="J2181" s="4">
        <v>0</v>
      </c>
      <c r="K2181" s="4">
        <v>0</v>
      </c>
      <c r="L2181" s="4">
        <v>0</v>
      </c>
      <c r="M2181" s="4">
        <v>0</v>
      </c>
      <c r="N2181" s="4">
        <f>SUM(Table1[[#This Row],[2025]:[2018]])</f>
        <v>175</v>
      </c>
      <c r="O2181" s="2">
        <f>Table1[[#This Row],[ttl]]/SUM(Table1[ttl])</f>
        <v>3.5287507197176737E-7</v>
      </c>
      <c r="P2181" s="3">
        <f>SUM($O$2:Table1[[#This Row],[pctAllTimeExp]])</f>
        <v>0.99995116705045528</v>
      </c>
      <c r="Q2181" t="b">
        <f>Table1[[#This Row],[cumPctAllTimeExp]]&lt;0.95</f>
        <v>0</v>
      </c>
    </row>
    <row r="2182" spans="1:17" x14ac:dyDescent="0.25">
      <c r="A2182">
        <v>1592</v>
      </c>
      <c r="C2182" t="s">
        <v>2508</v>
      </c>
      <c r="E2182" t="s">
        <v>1594</v>
      </c>
      <c r="F2182" s="4">
        <v>0</v>
      </c>
      <c r="G2182" s="4">
        <v>0</v>
      </c>
      <c r="H2182" s="4">
        <v>0</v>
      </c>
      <c r="I2182" s="4">
        <v>0</v>
      </c>
      <c r="J2182" s="4">
        <v>175</v>
      </c>
      <c r="K2182" s="4">
        <v>0</v>
      </c>
      <c r="L2182" s="4">
        <v>0</v>
      </c>
      <c r="M2182" s="4">
        <v>0</v>
      </c>
      <c r="N2182" s="4">
        <f>SUM(Table1[[#This Row],[2025]:[2018]])</f>
        <v>175</v>
      </c>
      <c r="O2182" s="2">
        <f>Table1[[#This Row],[ttl]]/SUM(Table1[ttl])</f>
        <v>3.5287507197176737E-7</v>
      </c>
      <c r="P2182" s="3">
        <f>SUM($O$2:Table1[[#This Row],[pctAllTimeExp]])</f>
        <v>0.99995151992552722</v>
      </c>
      <c r="Q2182" t="b">
        <f>Table1[[#This Row],[cumPctAllTimeExp]]&lt;0.95</f>
        <v>0</v>
      </c>
    </row>
    <row r="2183" spans="1:17" x14ac:dyDescent="0.25">
      <c r="A2183">
        <v>2184</v>
      </c>
      <c r="C2183" t="s">
        <v>2508</v>
      </c>
      <c r="E2183" t="s">
        <v>2186</v>
      </c>
      <c r="F2183" s="4">
        <v>0</v>
      </c>
      <c r="G2183" s="4">
        <v>0</v>
      </c>
      <c r="H2183" s="4">
        <v>0</v>
      </c>
      <c r="I2183" s="4">
        <v>0</v>
      </c>
      <c r="J2183" s="4">
        <v>0</v>
      </c>
      <c r="K2183" s="4">
        <v>0</v>
      </c>
      <c r="L2183" s="4">
        <v>175</v>
      </c>
      <c r="M2183" s="4">
        <v>0</v>
      </c>
      <c r="N2183" s="4">
        <f>SUM(Table1[[#This Row],[2025]:[2018]])</f>
        <v>175</v>
      </c>
      <c r="O2183" s="2">
        <f>Table1[[#This Row],[ttl]]/SUM(Table1[ttl])</f>
        <v>3.5287507197176737E-7</v>
      </c>
      <c r="P2183" s="3">
        <f>SUM($O$2:Table1[[#This Row],[pctAllTimeExp]])</f>
        <v>0.99995187280059916</v>
      </c>
      <c r="Q2183" t="b">
        <f>Table1[[#This Row],[cumPctAllTimeExp]]&lt;0.95</f>
        <v>0</v>
      </c>
    </row>
    <row r="2184" spans="1:17" x14ac:dyDescent="0.25">
      <c r="A2184">
        <v>1903</v>
      </c>
      <c r="C2184" t="s">
        <v>2508</v>
      </c>
      <c r="E2184" t="s">
        <v>1905</v>
      </c>
      <c r="F2184" s="4">
        <v>0</v>
      </c>
      <c r="G2184" s="4">
        <v>0</v>
      </c>
      <c r="H2184" s="4">
        <v>0</v>
      </c>
      <c r="I2184" s="4">
        <v>0</v>
      </c>
      <c r="J2184" s="4">
        <v>0</v>
      </c>
      <c r="K2184" s="4">
        <v>122.64</v>
      </c>
      <c r="L2184" s="4">
        <v>47.8</v>
      </c>
      <c r="M2184" s="4">
        <v>0</v>
      </c>
      <c r="N2184" s="4">
        <f>SUM(Table1[[#This Row],[2025]:[2018]])</f>
        <v>170.44</v>
      </c>
      <c r="O2184" s="2">
        <f>Table1[[#This Row],[ttl]]/SUM(Table1[ttl])</f>
        <v>3.4368015581067443E-7</v>
      </c>
      <c r="P2184" s="3">
        <f>SUM($O$2:Table1[[#This Row],[pctAllTimeExp]])</f>
        <v>0.99995221648075494</v>
      </c>
      <c r="Q2184" t="b">
        <f>Table1[[#This Row],[cumPctAllTimeExp]]&lt;0.95</f>
        <v>0</v>
      </c>
    </row>
    <row r="2185" spans="1:17" x14ac:dyDescent="0.25">
      <c r="A2185">
        <v>640</v>
      </c>
      <c r="C2185" t="s">
        <v>2508</v>
      </c>
      <c r="E2185" t="s">
        <v>642</v>
      </c>
      <c r="F2185" s="4">
        <v>170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  <c r="L2185" s="4">
        <v>0</v>
      </c>
      <c r="M2185" s="4">
        <v>0</v>
      </c>
      <c r="N2185" s="4">
        <f>SUM(Table1[[#This Row],[2025]:[2018]])</f>
        <v>170</v>
      </c>
      <c r="O2185" s="2">
        <f>Table1[[#This Row],[ttl]]/SUM(Table1[ttl])</f>
        <v>3.427929270582883E-7</v>
      </c>
      <c r="P2185" s="3">
        <f>SUM($O$2:Table1[[#This Row],[pctAllTimeExp]])</f>
        <v>0.99995255927368198</v>
      </c>
      <c r="Q2185" t="b">
        <f>Table1[[#This Row],[cumPctAllTimeExp]]&lt;0.95</f>
        <v>0</v>
      </c>
    </row>
    <row r="2186" spans="1:17" x14ac:dyDescent="0.25">
      <c r="A2186">
        <v>1884</v>
      </c>
      <c r="C2186" t="s">
        <v>2508</v>
      </c>
      <c r="E2186" t="s">
        <v>1886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169.95</v>
      </c>
      <c r="L2186" s="4">
        <v>0</v>
      </c>
      <c r="M2186" s="4">
        <v>0</v>
      </c>
      <c r="N2186" s="4">
        <f>SUM(Table1[[#This Row],[2025]:[2018]])</f>
        <v>169.95</v>
      </c>
      <c r="O2186" s="2">
        <f>Table1[[#This Row],[ttl]]/SUM(Table1[ttl])</f>
        <v>3.426921056091535E-7</v>
      </c>
      <c r="P2186" s="3">
        <f>SUM($O$2:Table1[[#This Row],[pctAllTimeExp]])</f>
        <v>0.99995290196578757</v>
      </c>
      <c r="Q2186" t="b">
        <f>Table1[[#This Row],[cumPctAllTimeExp]]&lt;0.95</f>
        <v>0</v>
      </c>
    </row>
    <row r="2187" spans="1:17" x14ac:dyDescent="0.25">
      <c r="A2187">
        <v>2186</v>
      </c>
      <c r="C2187" t="s">
        <v>2508</v>
      </c>
      <c r="E2187" t="s">
        <v>2188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  <c r="L2187" s="4">
        <v>168.75</v>
      </c>
      <c r="M2187" s="4">
        <v>0</v>
      </c>
      <c r="N2187" s="4">
        <f>SUM(Table1[[#This Row],[2025]:[2018]])</f>
        <v>168.75</v>
      </c>
      <c r="O2187" s="2">
        <f>Table1[[#This Row],[ttl]]/SUM(Table1[ttl])</f>
        <v>3.4027239082991854E-7</v>
      </c>
      <c r="P2187" s="3">
        <f>SUM($O$2:Table1[[#This Row],[pctAllTimeExp]])</f>
        <v>0.99995324223817839</v>
      </c>
      <c r="Q2187" t="b">
        <f>Table1[[#This Row],[cumPctAllTimeExp]]&lt;0.95</f>
        <v>0</v>
      </c>
    </row>
    <row r="2188" spans="1:17" x14ac:dyDescent="0.25">
      <c r="A2188">
        <v>1885</v>
      </c>
      <c r="C2188" t="s">
        <v>2508</v>
      </c>
      <c r="E2188" t="s">
        <v>1887</v>
      </c>
      <c r="F2188" s="4">
        <v>0</v>
      </c>
      <c r="G2188" s="4">
        <v>0</v>
      </c>
      <c r="H2188" s="4">
        <v>0</v>
      </c>
      <c r="I2188" s="4">
        <v>0</v>
      </c>
      <c r="J2188" s="4">
        <v>0</v>
      </c>
      <c r="K2188" s="4">
        <v>168</v>
      </c>
      <c r="L2188" s="4">
        <v>0</v>
      </c>
      <c r="M2188" s="4">
        <v>0</v>
      </c>
      <c r="N2188" s="4">
        <f>SUM(Table1[[#This Row],[2025]:[2018]])</f>
        <v>168</v>
      </c>
      <c r="O2188" s="2">
        <f>Table1[[#This Row],[ttl]]/SUM(Table1[ttl])</f>
        <v>3.3876006909289668E-7</v>
      </c>
      <c r="P2188" s="3">
        <f>SUM($O$2:Table1[[#This Row],[pctAllTimeExp]])</f>
        <v>0.99995358099824749</v>
      </c>
      <c r="Q2188" t="b">
        <f>Table1[[#This Row],[cumPctAllTimeExp]]&lt;0.95</f>
        <v>0</v>
      </c>
    </row>
    <row r="2189" spans="1:17" x14ac:dyDescent="0.25">
      <c r="A2189">
        <v>642</v>
      </c>
      <c r="C2189" t="s">
        <v>2508</v>
      </c>
      <c r="E2189" t="s">
        <v>644</v>
      </c>
      <c r="F2189" s="4">
        <v>165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f>SUM(Table1[[#This Row],[2025]:[2018]])</f>
        <v>165</v>
      </c>
      <c r="O2189" s="2">
        <f>Table1[[#This Row],[ttl]]/SUM(Table1[ttl])</f>
        <v>3.3271078214480923E-7</v>
      </c>
      <c r="P2189" s="3">
        <f>SUM($O$2:Table1[[#This Row],[pctAllTimeExp]])</f>
        <v>0.99995391370902964</v>
      </c>
      <c r="Q2189" t="b">
        <f>Table1[[#This Row],[cumPctAllTimeExp]]&lt;0.95</f>
        <v>0</v>
      </c>
    </row>
    <row r="2190" spans="1:17" x14ac:dyDescent="0.25">
      <c r="A2190">
        <v>1887</v>
      </c>
      <c r="C2190" t="s">
        <v>2508</v>
      </c>
      <c r="E2190" t="s">
        <v>1889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163.68</v>
      </c>
      <c r="L2190" s="4">
        <v>0</v>
      </c>
      <c r="M2190" s="4">
        <v>0</v>
      </c>
      <c r="N2190" s="4">
        <f>SUM(Table1[[#This Row],[2025]:[2018]])</f>
        <v>163.68</v>
      </c>
      <c r="O2190" s="2">
        <f>Table1[[#This Row],[ttl]]/SUM(Table1[ttl])</f>
        <v>3.3004909588765079E-7</v>
      </c>
      <c r="P2190" s="3">
        <f>SUM($O$2:Table1[[#This Row],[pctAllTimeExp]])</f>
        <v>0.99995424375812558</v>
      </c>
      <c r="Q2190" t="b">
        <f>Table1[[#This Row],[cumPctAllTimeExp]]&lt;0.95</f>
        <v>0</v>
      </c>
    </row>
    <row r="2191" spans="1:17" x14ac:dyDescent="0.25">
      <c r="A2191">
        <v>922</v>
      </c>
      <c r="C2191" t="s">
        <v>2508</v>
      </c>
      <c r="E2191" t="s">
        <v>924</v>
      </c>
      <c r="F2191" s="4">
        <v>0</v>
      </c>
      <c r="G2191" s="4">
        <v>160.80000000000001</v>
      </c>
      <c r="H2191" s="4">
        <v>0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f>SUM(Table1[[#This Row],[2025]:[2018]])</f>
        <v>160.80000000000001</v>
      </c>
      <c r="O2191" s="2">
        <f>Table1[[#This Row],[ttl]]/SUM(Table1[ttl])</f>
        <v>3.2424178041748681E-7</v>
      </c>
      <c r="P2191" s="3">
        <f>SUM($O$2:Table1[[#This Row],[pctAllTimeExp]])</f>
        <v>0.99995456799990601</v>
      </c>
      <c r="Q2191" t="b">
        <f>Table1[[#This Row],[cumPctAllTimeExp]]&lt;0.95</f>
        <v>0</v>
      </c>
    </row>
    <row r="2192" spans="1:17" x14ac:dyDescent="0.25">
      <c r="A2192">
        <v>1164</v>
      </c>
      <c r="C2192" t="s">
        <v>2508</v>
      </c>
      <c r="E2192" t="s">
        <v>1166</v>
      </c>
      <c r="F2192" s="4">
        <v>0</v>
      </c>
      <c r="G2192" s="4">
        <v>0</v>
      </c>
      <c r="H2192" s="4">
        <v>160</v>
      </c>
      <c r="I2192" s="4">
        <v>0</v>
      </c>
      <c r="J2192" s="4">
        <v>0</v>
      </c>
      <c r="K2192" s="4">
        <v>0</v>
      </c>
      <c r="L2192" s="4">
        <v>0</v>
      </c>
      <c r="M2192" s="4">
        <v>0</v>
      </c>
      <c r="N2192" s="4">
        <f>SUM(Table1[[#This Row],[2025]:[2018]])</f>
        <v>160</v>
      </c>
      <c r="O2192" s="2">
        <f>Table1[[#This Row],[ttl]]/SUM(Table1[ttl])</f>
        <v>3.2262863723133015E-7</v>
      </c>
      <c r="P2192" s="3">
        <f>SUM($O$2:Table1[[#This Row],[pctAllTimeExp]])</f>
        <v>0.99995489062854326</v>
      </c>
      <c r="Q2192" t="b">
        <f>Table1[[#This Row],[cumPctAllTimeExp]]&lt;0.95</f>
        <v>0</v>
      </c>
    </row>
    <row r="2193" spans="1:17" x14ac:dyDescent="0.25">
      <c r="A2193">
        <v>1365</v>
      </c>
      <c r="C2193" t="s">
        <v>2508</v>
      </c>
      <c r="E2193" t="s">
        <v>1367</v>
      </c>
      <c r="F2193" s="4">
        <v>0</v>
      </c>
      <c r="G2193" s="4">
        <v>0</v>
      </c>
      <c r="H2193" s="4">
        <v>0</v>
      </c>
      <c r="I2193" s="4">
        <v>160</v>
      </c>
      <c r="J2193" s="4">
        <v>0</v>
      </c>
      <c r="K2193" s="4">
        <v>0</v>
      </c>
      <c r="L2193" s="4">
        <v>0</v>
      </c>
      <c r="M2193" s="4">
        <v>0</v>
      </c>
      <c r="N2193" s="4">
        <f>SUM(Table1[[#This Row],[2025]:[2018]])</f>
        <v>160</v>
      </c>
      <c r="O2193" s="2">
        <f>Table1[[#This Row],[ttl]]/SUM(Table1[ttl])</f>
        <v>3.2262863723133015E-7</v>
      </c>
      <c r="P2193" s="3">
        <f>SUM($O$2:Table1[[#This Row],[pctAllTimeExp]])</f>
        <v>0.99995521325718051</v>
      </c>
      <c r="Q2193" t="b">
        <f>Table1[[#This Row],[cumPctAllTimeExp]]&lt;0.95</f>
        <v>0</v>
      </c>
    </row>
    <row r="2194" spans="1:17" x14ac:dyDescent="0.25">
      <c r="A2194">
        <v>1888</v>
      </c>
      <c r="C2194" t="s">
        <v>2508</v>
      </c>
      <c r="E2194" t="s">
        <v>1890</v>
      </c>
      <c r="F2194" s="4">
        <v>0</v>
      </c>
      <c r="G2194" s="4">
        <v>0</v>
      </c>
      <c r="H2194" s="4">
        <v>0</v>
      </c>
      <c r="I2194" s="4">
        <v>0</v>
      </c>
      <c r="J2194" s="4">
        <v>0</v>
      </c>
      <c r="K2194" s="4">
        <v>160</v>
      </c>
      <c r="L2194" s="4">
        <v>0</v>
      </c>
      <c r="M2194" s="4">
        <v>0</v>
      </c>
      <c r="N2194" s="4">
        <f>SUM(Table1[[#This Row],[2025]:[2018]])</f>
        <v>160</v>
      </c>
      <c r="O2194" s="2">
        <f>Table1[[#This Row],[ttl]]/SUM(Table1[ttl])</f>
        <v>3.2262863723133015E-7</v>
      </c>
      <c r="P2194" s="3">
        <f>SUM($O$2:Table1[[#This Row],[pctAllTimeExp]])</f>
        <v>0.99995553588581776</v>
      </c>
      <c r="Q2194" t="b">
        <f>Table1[[#This Row],[cumPctAllTimeExp]]&lt;0.95</f>
        <v>0</v>
      </c>
    </row>
    <row r="2195" spans="1:17" x14ac:dyDescent="0.25">
      <c r="A2195">
        <v>2439</v>
      </c>
      <c r="C2195" t="s">
        <v>2508</v>
      </c>
      <c r="E2195" t="s">
        <v>2441</v>
      </c>
      <c r="F2195" s="4">
        <v>0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160</v>
      </c>
      <c r="N2195" s="4">
        <f>SUM(Table1[[#This Row],[2025]:[2018]])</f>
        <v>160</v>
      </c>
      <c r="O2195" s="2">
        <f>Table1[[#This Row],[ttl]]/SUM(Table1[ttl])</f>
        <v>3.2262863723133015E-7</v>
      </c>
      <c r="P2195" s="3">
        <f>SUM($O$2:Table1[[#This Row],[pctAllTimeExp]])</f>
        <v>0.99995585851445501</v>
      </c>
      <c r="Q2195" t="b">
        <f>Table1[[#This Row],[cumPctAllTimeExp]]&lt;0.95</f>
        <v>0</v>
      </c>
    </row>
    <row r="2196" spans="1:17" x14ac:dyDescent="0.25">
      <c r="A2196">
        <v>2440</v>
      </c>
      <c r="C2196" t="s">
        <v>2508</v>
      </c>
      <c r="E2196" t="s">
        <v>2442</v>
      </c>
      <c r="F2196" s="4">
        <v>0</v>
      </c>
      <c r="G2196" s="4">
        <v>0</v>
      </c>
      <c r="H2196" s="4">
        <v>0</v>
      </c>
      <c r="I2196" s="4">
        <v>0</v>
      </c>
      <c r="J2196" s="4">
        <v>0</v>
      </c>
      <c r="K2196" s="4">
        <v>0</v>
      </c>
      <c r="L2196" s="4">
        <v>0</v>
      </c>
      <c r="M2196" s="4">
        <v>160</v>
      </c>
      <c r="N2196" s="4">
        <f>SUM(Table1[[#This Row],[2025]:[2018]])</f>
        <v>160</v>
      </c>
      <c r="O2196" s="2">
        <f>Table1[[#This Row],[ttl]]/SUM(Table1[ttl])</f>
        <v>3.2262863723133015E-7</v>
      </c>
      <c r="P2196" s="3">
        <f>SUM($O$2:Table1[[#This Row],[pctAllTimeExp]])</f>
        <v>0.99995618114309226</v>
      </c>
      <c r="Q2196" t="b">
        <f>Table1[[#This Row],[cumPctAllTimeExp]]&lt;0.95</f>
        <v>0</v>
      </c>
    </row>
    <row r="2197" spans="1:17" x14ac:dyDescent="0.25">
      <c r="A2197">
        <v>2441</v>
      </c>
      <c r="C2197" t="s">
        <v>2508</v>
      </c>
      <c r="E2197" t="s">
        <v>2443</v>
      </c>
      <c r="F2197" s="4">
        <v>0</v>
      </c>
      <c r="G2197" s="4">
        <v>0</v>
      </c>
      <c r="H2197" s="4">
        <v>0</v>
      </c>
      <c r="I2197" s="4">
        <v>0</v>
      </c>
      <c r="J2197" s="4">
        <v>0</v>
      </c>
      <c r="K2197" s="4">
        <v>0</v>
      </c>
      <c r="L2197" s="4">
        <v>0</v>
      </c>
      <c r="M2197" s="4">
        <v>157.5</v>
      </c>
      <c r="N2197" s="4">
        <f>SUM(Table1[[#This Row],[2025]:[2018]])</f>
        <v>157.5</v>
      </c>
      <c r="O2197" s="2">
        <f>Table1[[#This Row],[ttl]]/SUM(Table1[ttl])</f>
        <v>3.1758756477459064E-7</v>
      </c>
      <c r="P2197" s="3">
        <f>SUM($O$2:Table1[[#This Row],[pctAllTimeExp]])</f>
        <v>0.99995649873065706</v>
      </c>
      <c r="Q2197" t="b">
        <f>Table1[[#This Row],[cumPctAllTimeExp]]&lt;0.95</f>
        <v>0</v>
      </c>
    </row>
    <row r="2198" spans="1:17" x14ac:dyDescent="0.25">
      <c r="A2198">
        <v>1180</v>
      </c>
      <c r="C2198" t="s">
        <v>2508</v>
      </c>
      <c r="E2198" t="s">
        <v>1182</v>
      </c>
      <c r="F2198" s="4">
        <v>0</v>
      </c>
      <c r="G2198" s="4">
        <v>0</v>
      </c>
      <c r="H2198" s="4">
        <v>78.319999999999993</v>
      </c>
      <c r="I2198" s="4">
        <v>78.319999999999993</v>
      </c>
      <c r="J2198" s="4">
        <v>0</v>
      </c>
      <c r="K2198" s="4">
        <v>0</v>
      </c>
      <c r="L2198" s="4">
        <v>0</v>
      </c>
      <c r="M2198" s="4">
        <v>0</v>
      </c>
      <c r="N2198" s="4">
        <f>SUM(Table1[[#This Row],[2025]:[2018]])</f>
        <v>156.63999999999999</v>
      </c>
      <c r="O2198" s="2">
        <f>Table1[[#This Row],[ttl]]/SUM(Table1[ttl])</f>
        <v>3.1585343584947222E-7</v>
      </c>
      <c r="P2198" s="3">
        <f>SUM($O$2:Table1[[#This Row],[pctAllTimeExp]])</f>
        <v>0.99995681458409291</v>
      </c>
      <c r="Q2198" t="b">
        <f>Table1[[#This Row],[cumPctAllTimeExp]]&lt;0.95</f>
        <v>0</v>
      </c>
    </row>
    <row r="2199" spans="1:17" x14ac:dyDescent="0.25">
      <c r="A2199">
        <v>1889</v>
      </c>
      <c r="C2199" t="s">
        <v>2508</v>
      </c>
      <c r="E2199" t="s">
        <v>1891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156</v>
      </c>
      <c r="L2199" s="4">
        <v>0</v>
      </c>
      <c r="M2199" s="4">
        <v>0</v>
      </c>
      <c r="N2199" s="4">
        <f>SUM(Table1[[#This Row],[2025]:[2018]])</f>
        <v>156</v>
      </c>
      <c r="O2199" s="2">
        <f>Table1[[#This Row],[ttl]]/SUM(Table1[ttl])</f>
        <v>3.1456292130054692E-7</v>
      </c>
      <c r="P2199" s="3">
        <f>SUM($O$2:Table1[[#This Row],[pctAllTimeExp]])</f>
        <v>0.99995712914701418</v>
      </c>
      <c r="Q2199" t="b">
        <f>Table1[[#This Row],[cumPctAllTimeExp]]&lt;0.95</f>
        <v>0</v>
      </c>
    </row>
    <row r="2200" spans="1:17" x14ac:dyDescent="0.25">
      <c r="A2200">
        <v>1366</v>
      </c>
      <c r="C2200" t="s">
        <v>2508</v>
      </c>
      <c r="E2200" t="s">
        <v>1368</v>
      </c>
      <c r="F2200" s="4">
        <v>0</v>
      </c>
      <c r="G2200" s="4">
        <v>0</v>
      </c>
      <c r="H2200" s="4">
        <v>0</v>
      </c>
      <c r="I2200" s="4">
        <v>155.83000000000001</v>
      </c>
      <c r="J2200" s="4">
        <v>0</v>
      </c>
      <c r="K2200" s="4">
        <v>0</v>
      </c>
      <c r="L2200" s="4">
        <v>0</v>
      </c>
      <c r="M2200" s="4">
        <v>0</v>
      </c>
      <c r="N2200" s="4">
        <f>SUM(Table1[[#This Row],[2025]:[2018]])</f>
        <v>155.83000000000001</v>
      </c>
      <c r="O2200" s="2">
        <f>Table1[[#This Row],[ttl]]/SUM(Table1[ttl])</f>
        <v>3.1422012837348865E-7</v>
      </c>
      <c r="P2200" s="3">
        <f>SUM($O$2:Table1[[#This Row],[pctAllTimeExp]])</f>
        <v>0.99995744336714254</v>
      </c>
      <c r="Q2200" t="b">
        <f>Table1[[#This Row],[cumPctAllTimeExp]]&lt;0.95</f>
        <v>0</v>
      </c>
    </row>
    <row r="2201" spans="1:17" x14ac:dyDescent="0.25">
      <c r="A2201">
        <v>2188</v>
      </c>
      <c r="C2201" t="s">
        <v>2508</v>
      </c>
      <c r="E2201" t="s">
        <v>2190</v>
      </c>
      <c r="F2201" s="4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155.19999999999999</v>
      </c>
      <c r="M2201" s="4">
        <v>0</v>
      </c>
      <c r="N2201" s="4">
        <f>SUM(Table1[[#This Row],[2025]:[2018]])</f>
        <v>155.19999999999999</v>
      </c>
      <c r="O2201" s="2">
        <f>Table1[[#This Row],[ttl]]/SUM(Table1[ttl])</f>
        <v>3.1294977811439021E-7</v>
      </c>
      <c r="P2201" s="3">
        <f>SUM($O$2:Table1[[#This Row],[pctAllTimeExp]])</f>
        <v>0.99995775631692063</v>
      </c>
      <c r="Q2201" t="b">
        <f>Table1[[#This Row],[cumPctAllTimeExp]]&lt;0.95</f>
        <v>0</v>
      </c>
    </row>
    <row r="2202" spans="1:17" x14ac:dyDescent="0.25">
      <c r="A2202">
        <v>1890</v>
      </c>
      <c r="C2202" t="s">
        <v>2508</v>
      </c>
      <c r="E2202" t="s">
        <v>1892</v>
      </c>
      <c r="F2202" s="4">
        <v>0</v>
      </c>
      <c r="G2202" s="4">
        <v>0</v>
      </c>
      <c r="H2202" s="4">
        <v>0</v>
      </c>
      <c r="I2202" s="4">
        <v>0</v>
      </c>
      <c r="J2202" s="4">
        <v>0</v>
      </c>
      <c r="K2202" s="4">
        <v>154.06</v>
      </c>
      <c r="L2202" s="4">
        <v>0</v>
      </c>
      <c r="M2202" s="4">
        <v>0</v>
      </c>
      <c r="N2202" s="4">
        <f>SUM(Table1[[#This Row],[2025]:[2018]])</f>
        <v>154.06</v>
      </c>
      <c r="O2202" s="2">
        <f>Table1[[#This Row],[ttl]]/SUM(Table1[ttl])</f>
        <v>3.1065104907411701E-7</v>
      </c>
      <c r="P2202" s="3">
        <f>SUM($O$2:Table1[[#This Row],[pctAllTimeExp]])</f>
        <v>0.99995806696796974</v>
      </c>
      <c r="Q2202" t="b">
        <f>Table1[[#This Row],[cumPctAllTimeExp]]&lt;0.95</f>
        <v>0</v>
      </c>
    </row>
    <row r="2203" spans="1:17" x14ac:dyDescent="0.25">
      <c r="A2203">
        <v>1891</v>
      </c>
      <c r="C2203" t="s">
        <v>2508</v>
      </c>
      <c r="E2203" t="s">
        <v>1893</v>
      </c>
      <c r="F2203" s="4">
        <v>0</v>
      </c>
      <c r="G2203" s="4">
        <v>0</v>
      </c>
      <c r="H2203" s="4">
        <v>0</v>
      </c>
      <c r="I2203" s="4">
        <v>0</v>
      </c>
      <c r="J2203" s="4">
        <v>0</v>
      </c>
      <c r="K2203" s="4">
        <v>153.02000000000001</v>
      </c>
      <c r="L2203" s="4">
        <v>0</v>
      </c>
      <c r="M2203" s="4">
        <v>0</v>
      </c>
      <c r="N2203" s="4">
        <f>SUM(Table1[[#This Row],[2025]:[2018]])</f>
        <v>153.02000000000001</v>
      </c>
      <c r="O2203" s="2">
        <f>Table1[[#This Row],[ttl]]/SUM(Table1[ttl])</f>
        <v>3.085539629321134E-7</v>
      </c>
      <c r="P2203" s="3">
        <f>SUM($O$2:Table1[[#This Row],[pctAllTimeExp]])</f>
        <v>0.99995837552193267</v>
      </c>
      <c r="Q2203" t="b">
        <f>Table1[[#This Row],[cumPctAllTimeExp]]&lt;0.95</f>
        <v>0</v>
      </c>
    </row>
    <row r="2204" spans="1:17" x14ac:dyDescent="0.25">
      <c r="A2204">
        <v>2442</v>
      </c>
      <c r="C2204" t="s">
        <v>2508</v>
      </c>
      <c r="E2204" t="s">
        <v>2444</v>
      </c>
      <c r="F2204" s="4">
        <v>0</v>
      </c>
      <c r="G2204" s="4">
        <v>0</v>
      </c>
      <c r="H2204" s="4">
        <v>0</v>
      </c>
      <c r="I2204" s="4">
        <v>0</v>
      </c>
      <c r="J2204" s="4">
        <v>0</v>
      </c>
      <c r="K2204" s="4">
        <v>0</v>
      </c>
      <c r="L2204" s="4">
        <v>0</v>
      </c>
      <c r="M2204" s="4">
        <v>152.16999999999999</v>
      </c>
      <c r="N2204" s="4">
        <f>SUM(Table1[[#This Row],[2025]:[2018]])</f>
        <v>152.16999999999999</v>
      </c>
      <c r="O2204" s="2">
        <f>Table1[[#This Row],[ttl]]/SUM(Table1[ttl])</f>
        <v>3.068399982968219E-7</v>
      </c>
      <c r="P2204" s="3">
        <f>SUM($O$2:Table1[[#This Row],[pctAllTimeExp]])</f>
        <v>0.99995868236193097</v>
      </c>
      <c r="Q2204" t="b">
        <f>Table1[[#This Row],[cumPctAllTimeExp]]&lt;0.95</f>
        <v>0</v>
      </c>
    </row>
    <row r="2205" spans="1:17" x14ac:dyDescent="0.25">
      <c r="A2205">
        <v>650</v>
      </c>
      <c r="C2205" t="s">
        <v>2508</v>
      </c>
      <c r="E2205" t="s">
        <v>652</v>
      </c>
      <c r="F2205" s="4">
        <v>150</v>
      </c>
      <c r="G2205" s="4">
        <v>0</v>
      </c>
      <c r="H2205" s="4">
        <v>0</v>
      </c>
      <c r="I2205" s="4">
        <v>0</v>
      </c>
      <c r="J2205" s="4">
        <v>0</v>
      </c>
      <c r="K2205" s="4">
        <v>0</v>
      </c>
      <c r="L2205" s="4">
        <v>0</v>
      </c>
      <c r="M2205" s="4">
        <v>0</v>
      </c>
      <c r="N2205" s="4">
        <f>SUM(Table1[[#This Row],[2025]:[2018]])</f>
        <v>150</v>
      </c>
      <c r="O2205" s="2">
        <f>Table1[[#This Row],[ttl]]/SUM(Table1[ttl])</f>
        <v>3.0246434740437201E-7</v>
      </c>
      <c r="P2205" s="3">
        <f>SUM($O$2:Table1[[#This Row],[pctAllTimeExp]])</f>
        <v>0.99995898482627843</v>
      </c>
      <c r="Q2205" t="b">
        <f>Table1[[#This Row],[cumPctAllTimeExp]]&lt;0.95</f>
        <v>0</v>
      </c>
    </row>
    <row r="2206" spans="1:17" x14ac:dyDescent="0.25">
      <c r="A2206">
        <v>652</v>
      </c>
      <c r="C2206" t="s">
        <v>2508</v>
      </c>
      <c r="E2206" t="s">
        <v>654</v>
      </c>
      <c r="F2206" s="4">
        <v>150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0</v>
      </c>
      <c r="M2206" s="4">
        <v>0</v>
      </c>
      <c r="N2206" s="4">
        <f>SUM(Table1[[#This Row],[2025]:[2018]])</f>
        <v>150</v>
      </c>
      <c r="O2206" s="2">
        <f>Table1[[#This Row],[ttl]]/SUM(Table1[ttl])</f>
        <v>3.0246434740437201E-7</v>
      </c>
      <c r="P2206" s="3">
        <f>SUM($O$2:Table1[[#This Row],[pctAllTimeExp]])</f>
        <v>0.99995928729062589</v>
      </c>
      <c r="Q2206" t="b">
        <f>Table1[[#This Row],[cumPctAllTimeExp]]&lt;0.95</f>
        <v>0</v>
      </c>
    </row>
    <row r="2207" spans="1:17" x14ac:dyDescent="0.25">
      <c r="A2207">
        <v>924</v>
      </c>
      <c r="C2207" t="s">
        <v>2508</v>
      </c>
      <c r="E2207" t="s">
        <v>926</v>
      </c>
      <c r="F2207" s="4">
        <v>0</v>
      </c>
      <c r="G2207" s="4">
        <v>150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0</v>
      </c>
      <c r="N2207" s="4">
        <f>SUM(Table1[[#This Row],[2025]:[2018]])</f>
        <v>150</v>
      </c>
      <c r="O2207" s="2">
        <f>Table1[[#This Row],[ttl]]/SUM(Table1[ttl])</f>
        <v>3.0246434740437201E-7</v>
      </c>
      <c r="P2207" s="3">
        <f>SUM($O$2:Table1[[#This Row],[pctAllTimeExp]])</f>
        <v>0.99995958975497334</v>
      </c>
      <c r="Q2207" t="b">
        <f>Table1[[#This Row],[cumPctAllTimeExp]]&lt;0.95</f>
        <v>0</v>
      </c>
    </row>
    <row r="2208" spans="1:17" x14ac:dyDescent="0.25">
      <c r="A2208">
        <v>925</v>
      </c>
      <c r="C2208" t="s">
        <v>2508</v>
      </c>
      <c r="E2208" t="s">
        <v>927</v>
      </c>
      <c r="F2208" s="4">
        <v>0</v>
      </c>
      <c r="G2208" s="4">
        <v>150</v>
      </c>
      <c r="H2208" s="4">
        <v>0</v>
      </c>
      <c r="I2208" s="4">
        <v>0</v>
      </c>
      <c r="J2208" s="4">
        <v>0</v>
      </c>
      <c r="K2208" s="4">
        <v>0</v>
      </c>
      <c r="L2208" s="4">
        <v>0</v>
      </c>
      <c r="M2208" s="4">
        <v>0</v>
      </c>
      <c r="N2208" s="4">
        <f>SUM(Table1[[#This Row],[2025]:[2018]])</f>
        <v>150</v>
      </c>
      <c r="O2208" s="2">
        <f>Table1[[#This Row],[ttl]]/SUM(Table1[ttl])</f>
        <v>3.0246434740437201E-7</v>
      </c>
      <c r="P2208" s="3">
        <f>SUM($O$2:Table1[[#This Row],[pctAllTimeExp]])</f>
        <v>0.9999598922193208</v>
      </c>
      <c r="Q2208" t="b">
        <f>Table1[[#This Row],[cumPctAllTimeExp]]&lt;0.95</f>
        <v>0</v>
      </c>
    </row>
    <row r="2209" spans="1:17" x14ac:dyDescent="0.25">
      <c r="A2209">
        <v>1166</v>
      </c>
      <c r="C2209" t="s">
        <v>2508</v>
      </c>
      <c r="E2209" t="s">
        <v>1168</v>
      </c>
      <c r="F2209" s="4">
        <v>0</v>
      </c>
      <c r="G2209" s="4">
        <v>0</v>
      </c>
      <c r="H2209" s="4">
        <v>150</v>
      </c>
      <c r="I2209" s="4">
        <v>0</v>
      </c>
      <c r="J2209" s="4">
        <v>0</v>
      </c>
      <c r="K2209" s="4">
        <v>0</v>
      </c>
      <c r="L2209" s="4">
        <v>0</v>
      </c>
      <c r="M2209" s="4">
        <v>0</v>
      </c>
      <c r="N2209" s="4">
        <f>SUM(Table1[[#This Row],[2025]:[2018]])</f>
        <v>150</v>
      </c>
      <c r="O2209" s="2">
        <f>Table1[[#This Row],[ttl]]/SUM(Table1[ttl])</f>
        <v>3.0246434740437201E-7</v>
      </c>
      <c r="P2209" s="3">
        <f>SUM($O$2:Table1[[#This Row],[pctAllTimeExp]])</f>
        <v>0.99996019468366826</v>
      </c>
      <c r="Q2209" t="b">
        <f>Table1[[#This Row],[cumPctAllTimeExp]]&lt;0.95</f>
        <v>0</v>
      </c>
    </row>
    <row r="2210" spans="1:17" x14ac:dyDescent="0.25">
      <c r="A2210">
        <v>1167</v>
      </c>
      <c r="C2210" t="s">
        <v>2508</v>
      </c>
      <c r="E2210" t="s">
        <v>1169</v>
      </c>
      <c r="F2210" s="4">
        <v>0</v>
      </c>
      <c r="G2210" s="4">
        <v>0</v>
      </c>
      <c r="H2210" s="4">
        <v>150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  <c r="N2210" s="4">
        <f>SUM(Table1[[#This Row],[2025]:[2018]])</f>
        <v>150</v>
      </c>
      <c r="O2210" s="2">
        <f>Table1[[#This Row],[ttl]]/SUM(Table1[ttl])</f>
        <v>3.0246434740437201E-7</v>
      </c>
      <c r="P2210" s="3">
        <f>SUM($O$2:Table1[[#This Row],[pctAllTimeExp]])</f>
        <v>0.99996049714801571</v>
      </c>
      <c r="Q2210" t="b">
        <f>Table1[[#This Row],[cumPctAllTimeExp]]&lt;0.95</f>
        <v>0</v>
      </c>
    </row>
    <row r="2211" spans="1:17" x14ac:dyDescent="0.25">
      <c r="A2211">
        <v>1168</v>
      </c>
      <c r="C2211" t="s">
        <v>2508</v>
      </c>
      <c r="E2211" t="s">
        <v>1170</v>
      </c>
      <c r="F2211" s="4">
        <v>0</v>
      </c>
      <c r="G2211" s="4">
        <v>0</v>
      </c>
      <c r="H2211" s="4">
        <v>150</v>
      </c>
      <c r="I2211" s="4">
        <v>0</v>
      </c>
      <c r="J2211" s="4">
        <v>0</v>
      </c>
      <c r="K2211" s="4">
        <v>0</v>
      </c>
      <c r="L2211" s="4">
        <v>0</v>
      </c>
      <c r="M2211" s="4">
        <v>0</v>
      </c>
      <c r="N2211" s="4">
        <f>SUM(Table1[[#This Row],[2025]:[2018]])</f>
        <v>150</v>
      </c>
      <c r="O2211" s="2">
        <f>Table1[[#This Row],[ttl]]/SUM(Table1[ttl])</f>
        <v>3.0246434740437201E-7</v>
      </c>
      <c r="P2211" s="3">
        <f>SUM($O$2:Table1[[#This Row],[pctAllTimeExp]])</f>
        <v>0.99996079961236317</v>
      </c>
      <c r="Q2211" t="b">
        <f>Table1[[#This Row],[cumPctAllTimeExp]]&lt;0.95</f>
        <v>0</v>
      </c>
    </row>
    <row r="2212" spans="1:17" x14ac:dyDescent="0.25">
      <c r="A2212">
        <v>1367</v>
      </c>
      <c r="C2212" t="s">
        <v>2508</v>
      </c>
      <c r="E2212" t="s">
        <v>1369</v>
      </c>
      <c r="F2212" s="4">
        <v>0</v>
      </c>
      <c r="G2212" s="4">
        <v>0</v>
      </c>
      <c r="H2212" s="4">
        <v>0</v>
      </c>
      <c r="I2212" s="4">
        <v>150</v>
      </c>
      <c r="J2212" s="4">
        <v>0</v>
      </c>
      <c r="K2212" s="4">
        <v>0</v>
      </c>
      <c r="L2212" s="4">
        <v>0</v>
      </c>
      <c r="M2212" s="4">
        <v>0</v>
      </c>
      <c r="N2212" s="4">
        <f>SUM(Table1[[#This Row],[2025]:[2018]])</f>
        <v>150</v>
      </c>
      <c r="O2212" s="2">
        <f>Table1[[#This Row],[ttl]]/SUM(Table1[ttl])</f>
        <v>3.0246434740437201E-7</v>
      </c>
      <c r="P2212" s="3">
        <f>SUM($O$2:Table1[[#This Row],[pctAllTimeExp]])</f>
        <v>0.99996110207671063</v>
      </c>
      <c r="Q2212" t="b">
        <f>Table1[[#This Row],[cumPctAllTimeExp]]&lt;0.95</f>
        <v>0</v>
      </c>
    </row>
    <row r="2213" spans="1:17" x14ac:dyDescent="0.25">
      <c r="A2213">
        <v>1368</v>
      </c>
      <c r="C2213" t="s">
        <v>2508</v>
      </c>
      <c r="E2213" t="s">
        <v>1370</v>
      </c>
      <c r="F2213" s="4">
        <v>0</v>
      </c>
      <c r="G2213" s="4">
        <v>0</v>
      </c>
      <c r="H2213" s="4">
        <v>0</v>
      </c>
      <c r="I2213" s="4">
        <v>150</v>
      </c>
      <c r="J2213" s="4">
        <v>0</v>
      </c>
      <c r="K2213" s="4">
        <v>0</v>
      </c>
      <c r="L2213" s="4">
        <v>0</v>
      </c>
      <c r="M2213" s="4">
        <v>0</v>
      </c>
      <c r="N2213" s="4">
        <f>SUM(Table1[[#This Row],[2025]:[2018]])</f>
        <v>150</v>
      </c>
      <c r="O2213" s="2">
        <f>Table1[[#This Row],[ttl]]/SUM(Table1[ttl])</f>
        <v>3.0246434740437201E-7</v>
      </c>
      <c r="P2213" s="3">
        <f>SUM($O$2:Table1[[#This Row],[pctAllTimeExp]])</f>
        <v>0.99996140454105809</v>
      </c>
      <c r="Q2213" t="b">
        <f>Table1[[#This Row],[cumPctAllTimeExp]]&lt;0.95</f>
        <v>0</v>
      </c>
    </row>
    <row r="2214" spans="1:17" x14ac:dyDescent="0.25">
      <c r="A2214">
        <v>1369</v>
      </c>
      <c r="C2214" t="s">
        <v>2508</v>
      </c>
      <c r="E2214" t="s">
        <v>1371</v>
      </c>
      <c r="F2214" s="4">
        <v>0</v>
      </c>
      <c r="G2214" s="4">
        <v>0</v>
      </c>
      <c r="H2214" s="4">
        <v>0</v>
      </c>
      <c r="I2214" s="4">
        <v>150</v>
      </c>
      <c r="J2214" s="4">
        <v>0</v>
      </c>
      <c r="K2214" s="4">
        <v>0</v>
      </c>
      <c r="L2214" s="4">
        <v>0</v>
      </c>
      <c r="M2214" s="4">
        <v>0</v>
      </c>
      <c r="N2214" s="4">
        <f>SUM(Table1[[#This Row],[2025]:[2018]])</f>
        <v>150</v>
      </c>
      <c r="O2214" s="2">
        <f>Table1[[#This Row],[ttl]]/SUM(Table1[ttl])</f>
        <v>3.0246434740437201E-7</v>
      </c>
      <c r="P2214" s="3">
        <f>SUM($O$2:Table1[[#This Row],[pctAllTimeExp]])</f>
        <v>0.99996170700540554</v>
      </c>
      <c r="Q2214" t="b">
        <f>Table1[[#This Row],[cumPctAllTimeExp]]&lt;0.95</f>
        <v>0</v>
      </c>
    </row>
    <row r="2215" spans="1:17" x14ac:dyDescent="0.25">
      <c r="A2215">
        <v>1594</v>
      </c>
      <c r="C2215" t="s">
        <v>2508</v>
      </c>
      <c r="E2215" t="s">
        <v>1596</v>
      </c>
      <c r="F2215" s="4">
        <v>0</v>
      </c>
      <c r="G2215" s="4">
        <v>0</v>
      </c>
      <c r="H2215" s="4">
        <v>0</v>
      </c>
      <c r="I2215" s="4">
        <v>0</v>
      </c>
      <c r="J2215" s="4">
        <v>150</v>
      </c>
      <c r="K2215" s="4">
        <v>0</v>
      </c>
      <c r="L2215" s="4">
        <v>0</v>
      </c>
      <c r="M2215" s="4">
        <v>0</v>
      </c>
      <c r="N2215" s="4">
        <f>SUM(Table1[[#This Row],[2025]:[2018]])</f>
        <v>150</v>
      </c>
      <c r="O2215" s="2">
        <f>Table1[[#This Row],[ttl]]/SUM(Table1[ttl])</f>
        <v>3.0246434740437201E-7</v>
      </c>
      <c r="P2215" s="3">
        <f>SUM($O$2:Table1[[#This Row],[pctAllTimeExp]])</f>
        <v>0.999962009469753</v>
      </c>
      <c r="Q2215" t="b">
        <f>Table1[[#This Row],[cumPctAllTimeExp]]&lt;0.95</f>
        <v>0</v>
      </c>
    </row>
    <row r="2216" spans="1:17" x14ac:dyDescent="0.25">
      <c r="A2216">
        <v>1596</v>
      </c>
      <c r="C2216" t="s">
        <v>2508</v>
      </c>
      <c r="E2216" t="s">
        <v>1598</v>
      </c>
      <c r="F2216" s="4">
        <v>0</v>
      </c>
      <c r="G2216" s="4">
        <v>0</v>
      </c>
      <c r="H2216" s="4">
        <v>0</v>
      </c>
      <c r="I2216" s="4">
        <v>0</v>
      </c>
      <c r="J2216" s="4">
        <v>150</v>
      </c>
      <c r="K2216" s="4">
        <v>0</v>
      </c>
      <c r="L2216" s="4">
        <v>0</v>
      </c>
      <c r="M2216" s="4">
        <v>0</v>
      </c>
      <c r="N2216" s="4">
        <f>SUM(Table1[[#This Row],[2025]:[2018]])</f>
        <v>150</v>
      </c>
      <c r="O2216" s="2">
        <f>Table1[[#This Row],[ttl]]/SUM(Table1[ttl])</f>
        <v>3.0246434740437201E-7</v>
      </c>
      <c r="P2216" s="3">
        <f>SUM($O$2:Table1[[#This Row],[pctAllTimeExp]])</f>
        <v>0.99996231193410046</v>
      </c>
      <c r="Q2216" t="b">
        <f>Table1[[#This Row],[cumPctAllTimeExp]]&lt;0.95</f>
        <v>0</v>
      </c>
    </row>
    <row r="2217" spans="1:17" x14ac:dyDescent="0.25">
      <c r="A2217">
        <v>1597</v>
      </c>
      <c r="C2217" t="s">
        <v>2508</v>
      </c>
      <c r="E2217" t="s">
        <v>1599</v>
      </c>
      <c r="F2217" s="4">
        <v>0</v>
      </c>
      <c r="G2217" s="4">
        <v>0</v>
      </c>
      <c r="H2217" s="4">
        <v>0</v>
      </c>
      <c r="I2217" s="4">
        <v>0</v>
      </c>
      <c r="J2217" s="4">
        <v>150</v>
      </c>
      <c r="K2217" s="4">
        <v>0</v>
      </c>
      <c r="L2217" s="4">
        <v>0</v>
      </c>
      <c r="M2217" s="4">
        <v>0</v>
      </c>
      <c r="N2217" s="4">
        <f>SUM(Table1[[#This Row],[2025]:[2018]])</f>
        <v>150</v>
      </c>
      <c r="O2217" s="2">
        <f>Table1[[#This Row],[ttl]]/SUM(Table1[ttl])</f>
        <v>3.0246434740437201E-7</v>
      </c>
      <c r="P2217" s="3">
        <f>SUM($O$2:Table1[[#This Row],[pctAllTimeExp]])</f>
        <v>0.99996261439844791</v>
      </c>
      <c r="Q2217" t="b">
        <f>Table1[[#This Row],[cumPctAllTimeExp]]&lt;0.95</f>
        <v>0</v>
      </c>
    </row>
    <row r="2218" spans="1:17" x14ac:dyDescent="0.25">
      <c r="A2218">
        <v>1892</v>
      </c>
      <c r="C2218" t="s">
        <v>2508</v>
      </c>
      <c r="E2218" t="s">
        <v>1894</v>
      </c>
      <c r="F2218" s="4">
        <v>0</v>
      </c>
      <c r="G2218" s="4">
        <v>0</v>
      </c>
      <c r="H2218" s="4">
        <v>0</v>
      </c>
      <c r="I2218" s="4">
        <v>0</v>
      </c>
      <c r="J2218" s="4">
        <v>0</v>
      </c>
      <c r="K2218" s="4">
        <v>150</v>
      </c>
      <c r="L2218" s="4">
        <v>0</v>
      </c>
      <c r="M2218" s="4">
        <v>0</v>
      </c>
      <c r="N2218" s="4">
        <f>SUM(Table1[[#This Row],[2025]:[2018]])</f>
        <v>150</v>
      </c>
      <c r="O2218" s="2">
        <f>Table1[[#This Row],[ttl]]/SUM(Table1[ttl])</f>
        <v>3.0246434740437201E-7</v>
      </c>
      <c r="P2218" s="3">
        <f>SUM($O$2:Table1[[#This Row],[pctAllTimeExp]])</f>
        <v>0.99996291686279537</v>
      </c>
      <c r="Q2218" t="b">
        <f>Table1[[#This Row],[cumPctAllTimeExp]]&lt;0.95</f>
        <v>0</v>
      </c>
    </row>
    <row r="2219" spans="1:17" x14ac:dyDescent="0.25">
      <c r="A2219">
        <v>1893</v>
      </c>
      <c r="C2219" t="s">
        <v>2508</v>
      </c>
      <c r="E2219" t="s">
        <v>1895</v>
      </c>
      <c r="F2219" s="4">
        <v>0</v>
      </c>
      <c r="G2219" s="4">
        <v>0</v>
      </c>
      <c r="H2219" s="4">
        <v>0</v>
      </c>
      <c r="I2219" s="4">
        <v>0</v>
      </c>
      <c r="J2219" s="4">
        <v>0</v>
      </c>
      <c r="K2219" s="4">
        <v>150</v>
      </c>
      <c r="L2219" s="4">
        <v>0</v>
      </c>
      <c r="M2219" s="4">
        <v>0</v>
      </c>
      <c r="N2219" s="4">
        <f>SUM(Table1[[#This Row],[2025]:[2018]])</f>
        <v>150</v>
      </c>
      <c r="O2219" s="2">
        <f>Table1[[#This Row],[ttl]]/SUM(Table1[ttl])</f>
        <v>3.0246434740437201E-7</v>
      </c>
      <c r="P2219" s="3">
        <f>SUM($O$2:Table1[[#This Row],[pctAllTimeExp]])</f>
        <v>0.99996321932714283</v>
      </c>
      <c r="Q2219" t="b">
        <f>Table1[[#This Row],[cumPctAllTimeExp]]&lt;0.95</f>
        <v>0</v>
      </c>
    </row>
    <row r="2220" spans="1:17" x14ac:dyDescent="0.25">
      <c r="A2220">
        <v>1895</v>
      </c>
      <c r="C2220" t="s">
        <v>2508</v>
      </c>
      <c r="E2220" t="s">
        <v>1897</v>
      </c>
      <c r="F2220" s="4">
        <v>0</v>
      </c>
      <c r="G2220" s="4">
        <v>0</v>
      </c>
      <c r="H2220" s="4">
        <v>0</v>
      </c>
      <c r="I2220" s="4">
        <v>0</v>
      </c>
      <c r="J2220" s="4">
        <v>0</v>
      </c>
      <c r="K2220" s="4">
        <v>150</v>
      </c>
      <c r="L2220" s="4">
        <v>0</v>
      </c>
      <c r="M2220" s="4">
        <v>0</v>
      </c>
      <c r="N2220" s="4">
        <f>SUM(Table1[[#This Row],[2025]:[2018]])</f>
        <v>150</v>
      </c>
      <c r="O2220" s="2">
        <f>Table1[[#This Row],[ttl]]/SUM(Table1[ttl])</f>
        <v>3.0246434740437201E-7</v>
      </c>
      <c r="P2220" s="3">
        <f>SUM($O$2:Table1[[#This Row],[pctAllTimeExp]])</f>
        <v>0.99996352179149028</v>
      </c>
      <c r="Q2220" t="b">
        <f>Table1[[#This Row],[cumPctAllTimeExp]]&lt;0.95</f>
        <v>0</v>
      </c>
    </row>
    <row r="2221" spans="1:17" x14ac:dyDescent="0.25">
      <c r="A2221">
        <v>2189</v>
      </c>
      <c r="C2221" t="s">
        <v>2508</v>
      </c>
      <c r="E2221" t="s">
        <v>2191</v>
      </c>
      <c r="F2221" s="4">
        <v>0</v>
      </c>
      <c r="G2221" s="4">
        <v>0</v>
      </c>
      <c r="H2221" s="4">
        <v>0</v>
      </c>
      <c r="I2221" s="4">
        <v>0</v>
      </c>
      <c r="J2221" s="4">
        <v>0</v>
      </c>
      <c r="K2221" s="4">
        <v>0</v>
      </c>
      <c r="L2221" s="4">
        <v>150</v>
      </c>
      <c r="M2221" s="4">
        <v>0</v>
      </c>
      <c r="N2221" s="4">
        <f>SUM(Table1[[#This Row],[2025]:[2018]])</f>
        <v>150</v>
      </c>
      <c r="O2221" s="2">
        <f>Table1[[#This Row],[ttl]]/SUM(Table1[ttl])</f>
        <v>3.0246434740437201E-7</v>
      </c>
      <c r="P2221" s="3">
        <f>SUM($O$2:Table1[[#This Row],[pctAllTimeExp]])</f>
        <v>0.99996382425583774</v>
      </c>
      <c r="Q2221" t="b">
        <f>Table1[[#This Row],[cumPctAllTimeExp]]&lt;0.95</f>
        <v>0</v>
      </c>
    </row>
    <row r="2222" spans="1:17" x14ac:dyDescent="0.25">
      <c r="A2222">
        <v>2191</v>
      </c>
      <c r="C2222" t="s">
        <v>2508</v>
      </c>
      <c r="E2222" t="s">
        <v>2193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4">
        <v>150</v>
      </c>
      <c r="M2222" s="4">
        <v>0</v>
      </c>
      <c r="N2222" s="4">
        <f>SUM(Table1[[#This Row],[2025]:[2018]])</f>
        <v>150</v>
      </c>
      <c r="O2222" s="2">
        <f>Table1[[#This Row],[ttl]]/SUM(Table1[ttl])</f>
        <v>3.0246434740437201E-7</v>
      </c>
      <c r="P2222" s="3">
        <f>SUM($O$2:Table1[[#This Row],[pctAllTimeExp]])</f>
        <v>0.9999641267201852</v>
      </c>
      <c r="Q2222" t="b">
        <f>Table1[[#This Row],[cumPctAllTimeExp]]&lt;0.95</f>
        <v>0</v>
      </c>
    </row>
    <row r="2223" spans="1:17" x14ac:dyDescent="0.25">
      <c r="A2223">
        <v>2443</v>
      </c>
      <c r="C2223" t="s">
        <v>2508</v>
      </c>
      <c r="E2223" t="s">
        <v>2445</v>
      </c>
      <c r="F2223" s="4">
        <v>0</v>
      </c>
      <c r="G2223" s="4">
        <v>0</v>
      </c>
      <c r="H2223" s="4">
        <v>0</v>
      </c>
      <c r="I2223" s="4">
        <v>0</v>
      </c>
      <c r="J2223" s="4">
        <v>0</v>
      </c>
      <c r="K2223" s="4">
        <v>0</v>
      </c>
      <c r="L2223" s="4">
        <v>0</v>
      </c>
      <c r="M2223" s="4">
        <v>150</v>
      </c>
      <c r="N2223" s="4">
        <f>SUM(Table1[[#This Row],[2025]:[2018]])</f>
        <v>150</v>
      </c>
      <c r="O2223" s="2">
        <f>Table1[[#This Row],[ttl]]/SUM(Table1[ttl])</f>
        <v>3.0246434740437201E-7</v>
      </c>
      <c r="P2223" s="3">
        <f>SUM($O$2:Table1[[#This Row],[pctAllTimeExp]])</f>
        <v>0.99996442918453265</v>
      </c>
      <c r="Q2223" t="b">
        <f>Table1[[#This Row],[cumPctAllTimeExp]]&lt;0.95</f>
        <v>0</v>
      </c>
    </row>
    <row r="2224" spans="1:17" x14ac:dyDescent="0.25">
      <c r="A2224">
        <v>2444</v>
      </c>
      <c r="C2224" t="s">
        <v>2508</v>
      </c>
      <c r="E2224" t="s">
        <v>2446</v>
      </c>
      <c r="F2224" s="4">
        <v>0</v>
      </c>
      <c r="G2224" s="4">
        <v>0</v>
      </c>
      <c r="H2224" s="4">
        <v>0</v>
      </c>
      <c r="I2224" s="4">
        <v>0</v>
      </c>
      <c r="J2224" s="4">
        <v>0</v>
      </c>
      <c r="K2224" s="4">
        <v>0</v>
      </c>
      <c r="L2224" s="4">
        <v>0</v>
      </c>
      <c r="M2224" s="4">
        <v>150</v>
      </c>
      <c r="N2224" s="4">
        <f>SUM(Table1[[#This Row],[2025]:[2018]])</f>
        <v>150</v>
      </c>
      <c r="O2224" s="2">
        <f>Table1[[#This Row],[ttl]]/SUM(Table1[ttl])</f>
        <v>3.0246434740437201E-7</v>
      </c>
      <c r="P2224" s="3">
        <f>SUM($O$2:Table1[[#This Row],[pctAllTimeExp]])</f>
        <v>0.99996473164888011</v>
      </c>
      <c r="Q2224" t="b">
        <f>Table1[[#This Row],[cumPctAllTimeExp]]&lt;0.95</f>
        <v>0</v>
      </c>
    </row>
    <row r="2225" spans="1:17" x14ac:dyDescent="0.25">
      <c r="A2225">
        <v>2445</v>
      </c>
      <c r="C2225" t="s">
        <v>2508</v>
      </c>
      <c r="E2225" t="s">
        <v>2447</v>
      </c>
      <c r="F2225" s="4">
        <v>0</v>
      </c>
      <c r="G2225" s="4">
        <v>0</v>
      </c>
      <c r="H2225" s="4">
        <v>0</v>
      </c>
      <c r="I2225" s="4">
        <v>0</v>
      </c>
      <c r="J2225" s="4">
        <v>0</v>
      </c>
      <c r="K2225" s="4">
        <v>0</v>
      </c>
      <c r="L2225" s="4">
        <v>0</v>
      </c>
      <c r="M2225" s="4">
        <v>150</v>
      </c>
      <c r="N2225" s="4">
        <f>SUM(Table1[[#This Row],[2025]:[2018]])</f>
        <v>150</v>
      </c>
      <c r="O2225" s="2">
        <f>Table1[[#This Row],[ttl]]/SUM(Table1[ttl])</f>
        <v>3.0246434740437201E-7</v>
      </c>
      <c r="P2225" s="3">
        <f>SUM($O$2:Table1[[#This Row],[pctAllTimeExp]])</f>
        <v>0.99996503411322757</v>
      </c>
      <c r="Q2225" t="b">
        <f>Table1[[#This Row],[cumPctAllTimeExp]]&lt;0.95</f>
        <v>0</v>
      </c>
    </row>
    <row r="2226" spans="1:17" x14ac:dyDescent="0.25">
      <c r="A2226">
        <v>653</v>
      </c>
      <c r="C2226" t="s">
        <v>2508</v>
      </c>
      <c r="E2226" t="s">
        <v>655</v>
      </c>
      <c r="F2226" s="4">
        <v>148.47999999999999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4">
        <f>SUM(Table1[[#This Row],[2025]:[2018]])</f>
        <v>148.47999999999999</v>
      </c>
      <c r="O2226" s="2">
        <f>Table1[[#This Row],[ttl]]/SUM(Table1[ttl])</f>
        <v>2.9939937535067434E-7</v>
      </c>
      <c r="P2226" s="3">
        <f>SUM($O$2:Table1[[#This Row],[pctAllTimeExp]])</f>
        <v>0.99996533351260297</v>
      </c>
      <c r="Q2226" t="b">
        <f>Table1[[#This Row],[cumPctAllTimeExp]]&lt;0.95</f>
        <v>0</v>
      </c>
    </row>
    <row r="2227" spans="1:17" x14ac:dyDescent="0.25">
      <c r="A2227">
        <v>654</v>
      </c>
      <c r="C2227" t="s">
        <v>2508</v>
      </c>
      <c r="E2227" t="s">
        <v>656</v>
      </c>
      <c r="F2227" s="4">
        <v>145.79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f>SUM(Table1[[#This Row],[2025]:[2018]])</f>
        <v>145.79</v>
      </c>
      <c r="O2227" s="2">
        <f>Table1[[#This Row],[ttl]]/SUM(Table1[ttl])</f>
        <v>2.9397518138722263E-7</v>
      </c>
      <c r="P2227" s="3">
        <f>SUM($O$2:Table1[[#This Row],[pctAllTimeExp]])</f>
        <v>0.99996562748778439</v>
      </c>
      <c r="Q2227" t="b">
        <f>Table1[[#This Row],[cumPctAllTimeExp]]&lt;0.95</f>
        <v>0</v>
      </c>
    </row>
    <row r="2228" spans="1:17" x14ac:dyDescent="0.25">
      <c r="A2228">
        <v>1896</v>
      </c>
      <c r="C2228" t="s">
        <v>2508</v>
      </c>
      <c r="E2228" t="s">
        <v>1898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145</v>
      </c>
      <c r="L2228" s="4">
        <v>0</v>
      </c>
      <c r="M2228" s="4">
        <v>0</v>
      </c>
      <c r="N2228" s="4">
        <f>SUM(Table1[[#This Row],[2025]:[2018]])</f>
        <v>145</v>
      </c>
      <c r="O2228" s="2">
        <f>Table1[[#This Row],[ttl]]/SUM(Table1[ttl])</f>
        <v>2.9238220249089294E-7</v>
      </c>
      <c r="P2228" s="3">
        <f>SUM($O$2:Table1[[#This Row],[pctAllTimeExp]])</f>
        <v>0.99996591986998684</v>
      </c>
      <c r="Q2228" t="b">
        <f>Table1[[#This Row],[cumPctAllTimeExp]]&lt;0.95</f>
        <v>0</v>
      </c>
    </row>
    <row r="2229" spans="1:17" x14ac:dyDescent="0.25">
      <c r="A2229">
        <v>1897</v>
      </c>
      <c r="C2229" t="s">
        <v>2508</v>
      </c>
      <c r="E2229" t="s">
        <v>1899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4">
        <v>144</v>
      </c>
      <c r="L2229" s="4">
        <v>0</v>
      </c>
      <c r="M2229" s="4">
        <v>0</v>
      </c>
      <c r="N2229" s="4">
        <f>SUM(Table1[[#This Row],[2025]:[2018]])</f>
        <v>144</v>
      </c>
      <c r="O2229" s="2">
        <f>Table1[[#This Row],[ttl]]/SUM(Table1[ttl])</f>
        <v>2.9036577350819715E-7</v>
      </c>
      <c r="P2229" s="3">
        <f>SUM($O$2:Table1[[#This Row],[pctAllTimeExp]])</f>
        <v>0.99996621023576038</v>
      </c>
      <c r="Q2229" t="b">
        <f>Table1[[#This Row],[cumPctAllTimeExp]]&lt;0.95</f>
        <v>0</v>
      </c>
    </row>
    <row r="2230" spans="1:17" x14ac:dyDescent="0.25">
      <c r="A2230">
        <v>1898</v>
      </c>
      <c r="C2230" t="s">
        <v>2508</v>
      </c>
      <c r="E2230" t="s">
        <v>1900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144</v>
      </c>
      <c r="L2230" s="4">
        <v>0</v>
      </c>
      <c r="M2230" s="4">
        <v>0</v>
      </c>
      <c r="N2230" s="4">
        <f>SUM(Table1[[#This Row],[2025]:[2018]])</f>
        <v>144</v>
      </c>
      <c r="O2230" s="2">
        <f>Table1[[#This Row],[ttl]]/SUM(Table1[ttl])</f>
        <v>2.9036577350819715E-7</v>
      </c>
      <c r="P2230" s="3">
        <f>SUM($O$2:Table1[[#This Row],[pctAllTimeExp]])</f>
        <v>0.99996650060153391</v>
      </c>
      <c r="Q2230" t="b">
        <f>Table1[[#This Row],[cumPctAllTimeExp]]&lt;0.95</f>
        <v>0</v>
      </c>
    </row>
    <row r="2231" spans="1:17" x14ac:dyDescent="0.25">
      <c r="A2231">
        <v>2446</v>
      </c>
      <c r="C2231" t="s">
        <v>2508</v>
      </c>
      <c r="E2231" t="s">
        <v>2448</v>
      </c>
      <c r="F2231" s="4">
        <v>0</v>
      </c>
      <c r="G2231" s="4">
        <v>0</v>
      </c>
      <c r="H2231" s="4">
        <v>0</v>
      </c>
      <c r="I2231" s="4">
        <v>0</v>
      </c>
      <c r="J2231" s="4">
        <v>0</v>
      </c>
      <c r="K2231" s="4">
        <v>0</v>
      </c>
      <c r="L2231" s="4">
        <v>0</v>
      </c>
      <c r="M2231" s="4">
        <v>144</v>
      </c>
      <c r="N2231" s="4">
        <f>SUM(Table1[[#This Row],[2025]:[2018]])</f>
        <v>144</v>
      </c>
      <c r="O2231" s="2">
        <f>Table1[[#This Row],[ttl]]/SUM(Table1[ttl])</f>
        <v>2.9036577350819715E-7</v>
      </c>
      <c r="P2231" s="3">
        <f>SUM($O$2:Table1[[#This Row],[pctAllTimeExp]])</f>
        <v>0.99996679096730745</v>
      </c>
      <c r="Q2231" t="b">
        <f>Table1[[#This Row],[cumPctAllTimeExp]]&lt;0.95</f>
        <v>0</v>
      </c>
    </row>
    <row r="2232" spans="1:17" x14ac:dyDescent="0.25">
      <c r="A2232">
        <v>1899</v>
      </c>
      <c r="C2232" t="s">
        <v>2508</v>
      </c>
      <c r="E2232" t="s">
        <v>1901</v>
      </c>
      <c r="F2232" s="4">
        <v>0</v>
      </c>
      <c r="G2232" s="4">
        <v>0</v>
      </c>
      <c r="H2232" s="4">
        <v>0</v>
      </c>
      <c r="I2232" s="4">
        <v>0</v>
      </c>
      <c r="J2232" s="4">
        <v>0</v>
      </c>
      <c r="K2232" s="4">
        <v>143.11000000000001</v>
      </c>
      <c r="L2232" s="4">
        <v>0</v>
      </c>
      <c r="M2232" s="4">
        <v>0</v>
      </c>
      <c r="N2232" s="4">
        <f>SUM(Table1[[#This Row],[2025]:[2018]])</f>
        <v>143.11000000000001</v>
      </c>
      <c r="O2232" s="2">
        <f>Table1[[#This Row],[ttl]]/SUM(Table1[ttl])</f>
        <v>2.8857115171359788E-7</v>
      </c>
      <c r="P2232" s="3">
        <f>SUM($O$2:Table1[[#This Row],[pctAllTimeExp]])</f>
        <v>0.9999670795384592</v>
      </c>
      <c r="Q2232" t="b">
        <f>Table1[[#This Row],[cumPctAllTimeExp]]&lt;0.95</f>
        <v>0</v>
      </c>
    </row>
    <row r="2233" spans="1:17" x14ac:dyDescent="0.25">
      <c r="A2233">
        <v>1900</v>
      </c>
      <c r="C2233" t="s">
        <v>2508</v>
      </c>
      <c r="E2233" t="s">
        <v>1902</v>
      </c>
      <c r="F2233" s="4">
        <v>0</v>
      </c>
      <c r="G2233" s="4">
        <v>0</v>
      </c>
      <c r="H2233" s="4">
        <v>0</v>
      </c>
      <c r="I2233" s="4">
        <v>0</v>
      </c>
      <c r="J2233" s="4">
        <v>0</v>
      </c>
      <c r="K2233" s="4">
        <v>142.68</v>
      </c>
      <c r="L2233" s="4">
        <v>0</v>
      </c>
      <c r="M2233" s="4">
        <v>0</v>
      </c>
      <c r="N2233" s="4">
        <f>SUM(Table1[[#This Row],[2025]:[2018]])</f>
        <v>142.68</v>
      </c>
      <c r="O2233" s="2">
        <f>Table1[[#This Row],[ttl]]/SUM(Table1[ttl])</f>
        <v>2.8770408725103867E-7</v>
      </c>
      <c r="P2233" s="3">
        <f>SUM($O$2:Table1[[#This Row],[pctAllTimeExp]])</f>
        <v>0.99996736724254642</v>
      </c>
      <c r="Q2233" t="b">
        <f>Table1[[#This Row],[cumPctAllTimeExp]]&lt;0.95</f>
        <v>0</v>
      </c>
    </row>
    <row r="2234" spans="1:17" x14ac:dyDescent="0.25">
      <c r="A2234">
        <v>1901</v>
      </c>
      <c r="C2234" t="s">
        <v>2508</v>
      </c>
      <c r="E2234" t="s">
        <v>1903</v>
      </c>
      <c r="F2234" s="4">
        <v>0</v>
      </c>
      <c r="G2234" s="4">
        <v>0</v>
      </c>
      <c r="H2234" s="4">
        <v>0</v>
      </c>
      <c r="I2234" s="4">
        <v>0</v>
      </c>
      <c r="J2234" s="4">
        <v>0</v>
      </c>
      <c r="K2234" s="4">
        <v>140</v>
      </c>
      <c r="L2234" s="4">
        <v>0</v>
      </c>
      <c r="M2234" s="4">
        <v>0</v>
      </c>
      <c r="N2234" s="4">
        <f>SUM(Table1[[#This Row],[2025]:[2018]])</f>
        <v>140</v>
      </c>
      <c r="O2234" s="2">
        <f>Table1[[#This Row],[ttl]]/SUM(Table1[ttl])</f>
        <v>2.8230005757741386E-7</v>
      </c>
      <c r="P2234" s="3">
        <f>SUM($O$2:Table1[[#This Row],[pctAllTimeExp]])</f>
        <v>0.99996764954260398</v>
      </c>
      <c r="Q2234" t="b">
        <f>Table1[[#This Row],[cumPctAllTimeExp]]&lt;0.95</f>
        <v>0</v>
      </c>
    </row>
    <row r="2235" spans="1:17" x14ac:dyDescent="0.25">
      <c r="A2235">
        <v>1964</v>
      </c>
      <c r="C2235" t="s">
        <v>2508</v>
      </c>
      <c r="E2235" t="s">
        <v>1966</v>
      </c>
      <c r="F2235" s="4">
        <v>0</v>
      </c>
      <c r="G2235" s="4">
        <v>0</v>
      </c>
      <c r="H2235" s="4">
        <v>0</v>
      </c>
      <c r="I2235" s="4">
        <v>0</v>
      </c>
      <c r="J2235" s="4">
        <v>0</v>
      </c>
      <c r="K2235" s="4">
        <v>18</v>
      </c>
      <c r="L2235" s="4">
        <v>120</v>
      </c>
      <c r="M2235" s="4">
        <v>0</v>
      </c>
      <c r="N2235" s="4">
        <f>SUM(Table1[[#This Row],[2025]:[2018]])</f>
        <v>138</v>
      </c>
      <c r="O2235" s="2">
        <f>Table1[[#This Row],[ttl]]/SUM(Table1[ttl])</f>
        <v>2.7826719961202225E-7</v>
      </c>
      <c r="P2235" s="3">
        <f>SUM($O$2:Table1[[#This Row],[pctAllTimeExp]])</f>
        <v>0.99996792780980359</v>
      </c>
      <c r="Q2235" t="b">
        <f>Table1[[#This Row],[cumPctAllTimeExp]]&lt;0.95</f>
        <v>0</v>
      </c>
    </row>
    <row r="2236" spans="1:17" x14ac:dyDescent="0.25">
      <c r="A2236">
        <v>2195</v>
      </c>
      <c r="C2236" t="s">
        <v>2508</v>
      </c>
      <c r="E2236" t="s">
        <v>2197</v>
      </c>
      <c r="F2236" s="4">
        <v>0</v>
      </c>
      <c r="G2236" s="4">
        <v>0</v>
      </c>
      <c r="H2236" s="4">
        <v>0</v>
      </c>
      <c r="I2236" s="4">
        <v>0</v>
      </c>
      <c r="J2236" s="4">
        <v>0</v>
      </c>
      <c r="K2236" s="4">
        <v>0</v>
      </c>
      <c r="L2236" s="4">
        <v>136</v>
      </c>
      <c r="M2236" s="4">
        <v>0</v>
      </c>
      <c r="N2236" s="4">
        <f>SUM(Table1[[#This Row],[2025]:[2018]])</f>
        <v>136</v>
      </c>
      <c r="O2236" s="2">
        <f>Table1[[#This Row],[ttl]]/SUM(Table1[ttl])</f>
        <v>2.7423434164663063E-7</v>
      </c>
      <c r="P2236" s="3">
        <f>SUM($O$2:Table1[[#This Row],[pctAllTimeExp]])</f>
        <v>0.99996820204414527</v>
      </c>
      <c r="Q2236" t="b">
        <f>Table1[[#This Row],[cumPctAllTimeExp]]&lt;0.95</f>
        <v>0</v>
      </c>
    </row>
    <row r="2237" spans="1:17" x14ac:dyDescent="0.25">
      <c r="A2237">
        <v>1372</v>
      </c>
      <c r="C2237" t="s">
        <v>2508</v>
      </c>
      <c r="E2237" t="s">
        <v>1374</v>
      </c>
      <c r="F2237" s="4">
        <v>0</v>
      </c>
      <c r="G2237" s="4">
        <v>0</v>
      </c>
      <c r="H2237" s="4">
        <v>0</v>
      </c>
      <c r="I2237" s="4">
        <v>135</v>
      </c>
      <c r="J2237" s="4">
        <v>0</v>
      </c>
      <c r="K2237" s="4">
        <v>0</v>
      </c>
      <c r="L2237" s="4">
        <v>0</v>
      </c>
      <c r="M2237" s="4">
        <v>0</v>
      </c>
      <c r="N2237" s="4">
        <f>SUM(Table1[[#This Row],[2025]:[2018]])</f>
        <v>135</v>
      </c>
      <c r="O2237" s="2">
        <f>Table1[[#This Row],[ttl]]/SUM(Table1[ttl])</f>
        <v>2.7221791266393485E-7</v>
      </c>
      <c r="P2237" s="3">
        <f>SUM($O$2:Table1[[#This Row],[pctAllTimeExp]])</f>
        <v>0.99996847426205793</v>
      </c>
      <c r="Q2237" t="b">
        <f>Table1[[#This Row],[cumPctAllTimeExp]]&lt;0.95</f>
        <v>0</v>
      </c>
    </row>
    <row r="2238" spans="1:17" x14ac:dyDescent="0.25">
      <c r="A2238">
        <v>1599</v>
      </c>
      <c r="C2238" t="s">
        <v>2508</v>
      </c>
      <c r="E2238" t="s">
        <v>1601</v>
      </c>
      <c r="F2238" s="4">
        <v>0</v>
      </c>
      <c r="G2238" s="4">
        <v>0</v>
      </c>
      <c r="H2238" s="4">
        <v>0</v>
      </c>
      <c r="I2238" s="4">
        <v>0</v>
      </c>
      <c r="J2238" s="4">
        <v>134.44</v>
      </c>
      <c r="K2238" s="4">
        <v>0</v>
      </c>
      <c r="L2238" s="4">
        <v>0</v>
      </c>
      <c r="M2238" s="4">
        <v>0</v>
      </c>
      <c r="N2238" s="4">
        <f>SUM(Table1[[#This Row],[2025]:[2018]])</f>
        <v>134.44</v>
      </c>
      <c r="O2238" s="2">
        <f>Table1[[#This Row],[ttl]]/SUM(Table1[ttl])</f>
        <v>2.7108871243362514E-7</v>
      </c>
      <c r="P2238" s="3">
        <f>SUM($O$2:Table1[[#This Row],[pctAllTimeExp]])</f>
        <v>0.9999687453507704</v>
      </c>
      <c r="Q2238" t="b">
        <f>Table1[[#This Row],[cumPctAllTimeExp]]&lt;0.95</f>
        <v>0</v>
      </c>
    </row>
    <row r="2239" spans="1:17" x14ac:dyDescent="0.25">
      <c r="A2239">
        <v>2196</v>
      </c>
      <c r="C2239" t="s">
        <v>2508</v>
      </c>
      <c r="E2239" t="s">
        <v>2198</v>
      </c>
      <c r="F2239" s="4">
        <v>0</v>
      </c>
      <c r="G2239" s="4">
        <v>0</v>
      </c>
      <c r="H2239" s="4">
        <v>0</v>
      </c>
      <c r="I2239" s="4">
        <v>0</v>
      </c>
      <c r="J2239" s="4">
        <v>0</v>
      </c>
      <c r="K2239" s="4">
        <v>0</v>
      </c>
      <c r="L2239" s="4">
        <v>131</v>
      </c>
      <c r="M2239" s="4">
        <v>0</v>
      </c>
      <c r="N2239" s="4">
        <f>SUM(Table1[[#This Row],[2025]:[2018]])</f>
        <v>131</v>
      </c>
      <c r="O2239" s="2">
        <f>Table1[[#This Row],[ttl]]/SUM(Table1[ttl])</f>
        <v>2.6415219673315156E-7</v>
      </c>
      <c r="P2239" s="3">
        <f>SUM($O$2:Table1[[#This Row],[pctAllTimeExp]])</f>
        <v>0.99996900950296719</v>
      </c>
      <c r="Q2239" t="b">
        <f>Table1[[#This Row],[cumPctAllTimeExp]]&lt;0.95</f>
        <v>0</v>
      </c>
    </row>
    <row r="2240" spans="1:17" x14ac:dyDescent="0.25">
      <c r="A2240">
        <v>2197</v>
      </c>
      <c r="C2240" t="s">
        <v>2508</v>
      </c>
      <c r="E2240" t="s">
        <v>2199</v>
      </c>
      <c r="F2240" s="4">
        <v>0</v>
      </c>
      <c r="G2240" s="4">
        <v>0</v>
      </c>
      <c r="H2240" s="4">
        <v>0</v>
      </c>
      <c r="I2240" s="4">
        <v>0</v>
      </c>
      <c r="J2240" s="4">
        <v>0</v>
      </c>
      <c r="K2240" s="4">
        <v>0</v>
      </c>
      <c r="L2240" s="4">
        <v>129.35</v>
      </c>
      <c r="M2240" s="4">
        <v>0</v>
      </c>
      <c r="N2240" s="4">
        <f>SUM(Table1[[#This Row],[2025]:[2018]])</f>
        <v>129.35</v>
      </c>
      <c r="O2240" s="2">
        <f>Table1[[#This Row],[ttl]]/SUM(Table1[ttl])</f>
        <v>2.6082508891170345E-7</v>
      </c>
      <c r="P2240" s="3">
        <f>SUM($O$2:Table1[[#This Row],[pctAllTimeExp]])</f>
        <v>0.99996927032805605</v>
      </c>
      <c r="Q2240" t="b">
        <f>Table1[[#This Row],[cumPctAllTimeExp]]&lt;0.95</f>
        <v>0</v>
      </c>
    </row>
    <row r="2241" spans="1:17" x14ac:dyDescent="0.25">
      <c r="A2241">
        <v>928</v>
      </c>
      <c r="C2241" t="s">
        <v>2508</v>
      </c>
      <c r="E2241" t="s">
        <v>930</v>
      </c>
      <c r="F2241" s="4">
        <v>0</v>
      </c>
      <c r="G2241" s="4">
        <v>127.74</v>
      </c>
      <c r="H2241" s="4">
        <v>0</v>
      </c>
      <c r="I2241" s="4">
        <v>0</v>
      </c>
      <c r="J2241" s="4">
        <v>0</v>
      </c>
      <c r="K2241" s="4">
        <v>0</v>
      </c>
      <c r="L2241" s="4">
        <v>0</v>
      </c>
      <c r="M2241" s="4">
        <v>0</v>
      </c>
      <c r="N2241" s="4">
        <f>SUM(Table1[[#This Row],[2025]:[2018]])</f>
        <v>127.74</v>
      </c>
      <c r="O2241" s="2">
        <f>Table1[[#This Row],[ttl]]/SUM(Table1[ttl])</f>
        <v>2.5757863824956321E-7</v>
      </c>
      <c r="P2241" s="3">
        <f>SUM($O$2:Table1[[#This Row],[pctAllTimeExp]])</f>
        <v>0.99996952790669424</v>
      </c>
      <c r="Q2241" t="b">
        <f>Table1[[#This Row],[cumPctAllTimeExp]]&lt;0.95</f>
        <v>0</v>
      </c>
    </row>
    <row r="2242" spans="1:17" x14ac:dyDescent="0.25">
      <c r="A2242">
        <v>1171</v>
      </c>
      <c r="C2242" t="s">
        <v>2508</v>
      </c>
      <c r="E2242" t="s">
        <v>1173</v>
      </c>
      <c r="F2242" s="4">
        <v>0</v>
      </c>
      <c r="G2242" s="4">
        <v>0</v>
      </c>
      <c r="H2242" s="4">
        <v>125</v>
      </c>
      <c r="I2242" s="4">
        <v>0</v>
      </c>
      <c r="J2242" s="4">
        <v>0</v>
      </c>
      <c r="K2242" s="4">
        <v>0</v>
      </c>
      <c r="L2242" s="4">
        <v>0</v>
      </c>
      <c r="M2242" s="4">
        <v>0</v>
      </c>
      <c r="N2242" s="4">
        <f>SUM(Table1[[#This Row],[2025]:[2018]])</f>
        <v>125</v>
      </c>
      <c r="O2242" s="2">
        <f>Table1[[#This Row],[ttl]]/SUM(Table1[ttl])</f>
        <v>2.520536228369767E-7</v>
      </c>
      <c r="P2242" s="3">
        <f>SUM($O$2:Table1[[#This Row],[pctAllTimeExp]])</f>
        <v>0.99996977996031711</v>
      </c>
      <c r="Q2242" t="b">
        <f>Table1[[#This Row],[cumPctAllTimeExp]]&lt;0.95</f>
        <v>0</v>
      </c>
    </row>
    <row r="2243" spans="1:17" x14ac:dyDescent="0.25">
      <c r="A2243">
        <v>2447</v>
      </c>
      <c r="C2243" t="s">
        <v>2508</v>
      </c>
      <c r="E2243" t="s">
        <v>2449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125</v>
      </c>
      <c r="N2243" s="4">
        <f>SUM(Table1[[#This Row],[2025]:[2018]])</f>
        <v>125</v>
      </c>
      <c r="O2243" s="2">
        <f>Table1[[#This Row],[ttl]]/SUM(Table1[ttl])</f>
        <v>2.520536228369767E-7</v>
      </c>
      <c r="P2243" s="3">
        <f>SUM($O$2:Table1[[#This Row],[pctAllTimeExp]])</f>
        <v>0.99997003201393997</v>
      </c>
      <c r="Q2243" t="b">
        <f>Table1[[#This Row],[cumPctAllTimeExp]]&lt;0.95</f>
        <v>0</v>
      </c>
    </row>
    <row r="2244" spans="1:17" x14ac:dyDescent="0.25">
      <c r="A2244">
        <v>2448</v>
      </c>
      <c r="C2244" t="s">
        <v>2508</v>
      </c>
      <c r="E2244" t="s">
        <v>2450</v>
      </c>
      <c r="F2244" s="4">
        <v>0</v>
      </c>
      <c r="G2244" s="4">
        <v>0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125</v>
      </c>
      <c r="N2244" s="4">
        <f>SUM(Table1[[#This Row],[2025]:[2018]])</f>
        <v>125</v>
      </c>
      <c r="O2244" s="2">
        <f>Table1[[#This Row],[ttl]]/SUM(Table1[ttl])</f>
        <v>2.520536228369767E-7</v>
      </c>
      <c r="P2244" s="3">
        <f>SUM($O$2:Table1[[#This Row],[pctAllTimeExp]])</f>
        <v>0.99997028406756283</v>
      </c>
      <c r="Q2244" t="b">
        <f>Table1[[#This Row],[cumPctAllTimeExp]]&lt;0.95</f>
        <v>0</v>
      </c>
    </row>
    <row r="2245" spans="1:17" x14ac:dyDescent="0.25">
      <c r="A2245">
        <v>1902</v>
      </c>
      <c r="C2245" t="s">
        <v>2508</v>
      </c>
      <c r="E2245" t="s">
        <v>1904</v>
      </c>
      <c r="F2245" s="4">
        <v>0</v>
      </c>
      <c r="G2245" s="4">
        <v>0</v>
      </c>
      <c r="H2245" s="4">
        <v>0</v>
      </c>
      <c r="I2245" s="4">
        <v>0</v>
      </c>
      <c r="J2245" s="4">
        <v>0</v>
      </c>
      <c r="K2245" s="4">
        <v>124</v>
      </c>
      <c r="L2245" s="4">
        <v>0</v>
      </c>
      <c r="M2245" s="4">
        <v>0</v>
      </c>
      <c r="N2245" s="4">
        <f>SUM(Table1[[#This Row],[2025]:[2018]])</f>
        <v>124</v>
      </c>
      <c r="O2245" s="2">
        <f>Table1[[#This Row],[ttl]]/SUM(Table1[ttl])</f>
        <v>2.5003719385428087E-7</v>
      </c>
      <c r="P2245" s="3">
        <f>SUM($O$2:Table1[[#This Row],[pctAllTimeExp]])</f>
        <v>0.99997053410475667</v>
      </c>
      <c r="Q2245" t="b">
        <f>Table1[[#This Row],[cumPctAllTimeExp]]&lt;0.95</f>
        <v>0</v>
      </c>
    </row>
    <row r="2246" spans="1:17" x14ac:dyDescent="0.25">
      <c r="A2246">
        <v>658</v>
      </c>
      <c r="C2246" t="s">
        <v>2508</v>
      </c>
      <c r="E2246" t="s">
        <v>660</v>
      </c>
      <c r="F2246" s="4">
        <v>121.24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0</v>
      </c>
      <c r="M2246" s="4">
        <v>0</v>
      </c>
      <c r="N2246" s="4">
        <f>SUM(Table1[[#This Row],[2025]:[2018]])</f>
        <v>121.24</v>
      </c>
      <c r="O2246" s="2">
        <f>Table1[[#This Row],[ttl]]/SUM(Table1[ttl])</f>
        <v>2.4447184986204041E-7</v>
      </c>
      <c r="P2246" s="3">
        <f>SUM($O$2:Table1[[#This Row],[pctAllTimeExp]])</f>
        <v>0.99997077857660654</v>
      </c>
      <c r="Q2246" t="b">
        <f>Table1[[#This Row],[cumPctAllTimeExp]]&lt;0.95</f>
        <v>0</v>
      </c>
    </row>
    <row r="2247" spans="1:17" x14ac:dyDescent="0.25">
      <c r="A2247">
        <v>1904</v>
      </c>
      <c r="C2247" t="s">
        <v>2508</v>
      </c>
      <c r="E2247" t="s">
        <v>1906</v>
      </c>
      <c r="F2247" s="4">
        <v>0</v>
      </c>
      <c r="G2247" s="4">
        <v>0</v>
      </c>
      <c r="H2247" s="4">
        <v>0</v>
      </c>
      <c r="I2247" s="4">
        <v>0</v>
      </c>
      <c r="J2247" s="4">
        <v>0</v>
      </c>
      <c r="K2247" s="4">
        <v>120.69</v>
      </c>
      <c r="L2247" s="4">
        <v>0</v>
      </c>
      <c r="M2247" s="4">
        <v>0</v>
      </c>
      <c r="N2247" s="4">
        <f>SUM(Table1[[#This Row],[2025]:[2018]])</f>
        <v>120.69</v>
      </c>
      <c r="O2247" s="2">
        <f>Table1[[#This Row],[ttl]]/SUM(Table1[ttl])</f>
        <v>2.4336281392155773E-7</v>
      </c>
      <c r="P2247" s="3">
        <f>SUM($O$2:Table1[[#This Row],[pctAllTimeExp]])</f>
        <v>0.99997102193942045</v>
      </c>
      <c r="Q2247" t="b">
        <f>Table1[[#This Row],[cumPctAllTimeExp]]&lt;0.95</f>
        <v>0</v>
      </c>
    </row>
    <row r="2248" spans="1:17" x14ac:dyDescent="0.25">
      <c r="A2248">
        <v>660</v>
      </c>
      <c r="C2248" t="s">
        <v>2508</v>
      </c>
      <c r="E2248" t="s">
        <v>662</v>
      </c>
      <c r="F2248" s="4">
        <v>120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f>SUM(Table1[[#This Row],[2025]:[2018]])</f>
        <v>120</v>
      </c>
      <c r="O2248" s="2">
        <f>Table1[[#This Row],[ttl]]/SUM(Table1[ttl])</f>
        <v>2.4197147792349763E-7</v>
      </c>
      <c r="P2248" s="3">
        <f>SUM($O$2:Table1[[#This Row],[pctAllTimeExp]])</f>
        <v>0.99997126391089841</v>
      </c>
      <c r="Q2248" t="b">
        <f>Table1[[#This Row],[cumPctAllTimeExp]]&lt;0.95</f>
        <v>0</v>
      </c>
    </row>
    <row r="2249" spans="1:17" x14ac:dyDescent="0.25">
      <c r="A2249">
        <v>661</v>
      </c>
      <c r="C2249" t="s">
        <v>2508</v>
      </c>
      <c r="E2249" t="s">
        <v>663</v>
      </c>
      <c r="F2249" s="4">
        <v>120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>
        <v>0</v>
      </c>
      <c r="M2249" s="4">
        <v>0</v>
      </c>
      <c r="N2249" s="4">
        <f>SUM(Table1[[#This Row],[2025]:[2018]])</f>
        <v>120</v>
      </c>
      <c r="O2249" s="2">
        <f>Table1[[#This Row],[ttl]]/SUM(Table1[ttl])</f>
        <v>2.4197147792349763E-7</v>
      </c>
      <c r="P2249" s="3">
        <f>SUM($O$2:Table1[[#This Row],[pctAllTimeExp]])</f>
        <v>0.99997150588237638</v>
      </c>
      <c r="Q2249" t="b">
        <f>Table1[[#This Row],[cumPctAllTimeExp]]&lt;0.95</f>
        <v>0</v>
      </c>
    </row>
    <row r="2250" spans="1:17" x14ac:dyDescent="0.25">
      <c r="A2250">
        <v>1600</v>
      </c>
      <c r="C2250" t="s">
        <v>2508</v>
      </c>
      <c r="E2250" t="s">
        <v>1602</v>
      </c>
      <c r="F2250" s="4">
        <v>0</v>
      </c>
      <c r="G2250" s="4">
        <v>0</v>
      </c>
      <c r="H2250" s="4">
        <v>0</v>
      </c>
      <c r="I2250" s="4">
        <v>0</v>
      </c>
      <c r="J2250" s="4">
        <v>120</v>
      </c>
      <c r="K2250" s="4">
        <v>0</v>
      </c>
      <c r="L2250" s="4">
        <v>0</v>
      </c>
      <c r="M2250" s="4">
        <v>0</v>
      </c>
      <c r="N2250" s="4">
        <f>SUM(Table1[[#This Row],[2025]:[2018]])</f>
        <v>120</v>
      </c>
      <c r="O2250" s="2">
        <f>Table1[[#This Row],[ttl]]/SUM(Table1[ttl])</f>
        <v>2.4197147792349763E-7</v>
      </c>
      <c r="P2250" s="3">
        <f>SUM($O$2:Table1[[#This Row],[pctAllTimeExp]])</f>
        <v>0.99997174785385434</v>
      </c>
      <c r="Q2250" t="b">
        <f>Table1[[#This Row],[cumPctAllTimeExp]]&lt;0.95</f>
        <v>0</v>
      </c>
    </row>
    <row r="2251" spans="1:17" x14ac:dyDescent="0.25">
      <c r="A2251">
        <v>1601</v>
      </c>
      <c r="C2251" t="s">
        <v>2508</v>
      </c>
      <c r="E2251" t="s">
        <v>1603</v>
      </c>
      <c r="F2251" s="4">
        <v>0</v>
      </c>
      <c r="G2251" s="4">
        <v>0</v>
      </c>
      <c r="H2251" s="4">
        <v>0</v>
      </c>
      <c r="I2251" s="4">
        <v>0</v>
      </c>
      <c r="J2251" s="4">
        <v>120</v>
      </c>
      <c r="K2251" s="4">
        <v>0</v>
      </c>
      <c r="L2251" s="4">
        <v>0</v>
      </c>
      <c r="M2251" s="4">
        <v>0</v>
      </c>
      <c r="N2251" s="4">
        <f>SUM(Table1[[#This Row],[2025]:[2018]])</f>
        <v>120</v>
      </c>
      <c r="O2251" s="2">
        <f>Table1[[#This Row],[ttl]]/SUM(Table1[ttl])</f>
        <v>2.4197147792349763E-7</v>
      </c>
      <c r="P2251" s="3">
        <f>SUM($O$2:Table1[[#This Row],[pctAllTimeExp]])</f>
        <v>0.99997198982533231</v>
      </c>
      <c r="Q2251" t="b">
        <f>Table1[[#This Row],[cumPctAllTimeExp]]&lt;0.95</f>
        <v>0</v>
      </c>
    </row>
    <row r="2252" spans="1:17" x14ac:dyDescent="0.25">
      <c r="A2252">
        <v>1905</v>
      </c>
      <c r="C2252" t="s">
        <v>2508</v>
      </c>
      <c r="E2252" t="s">
        <v>1907</v>
      </c>
      <c r="F2252" s="4">
        <v>0</v>
      </c>
      <c r="G2252" s="4">
        <v>0</v>
      </c>
      <c r="H2252" s="4">
        <v>0</v>
      </c>
      <c r="I2252" s="4">
        <v>0</v>
      </c>
      <c r="J2252" s="4">
        <v>0</v>
      </c>
      <c r="K2252" s="4">
        <v>120</v>
      </c>
      <c r="L2252" s="4">
        <v>0</v>
      </c>
      <c r="M2252" s="4">
        <v>0</v>
      </c>
      <c r="N2252" s="4">
        <f>SUM(Table1[[#This Row],[2025]:[2018]])</f>
        <v>120</v>
      </c>
      <c r="O2252" s="2">
        <f>Table1[[#This Row],[ttl]]/SUM(Table1[ttl])</f>
        <v>2.4197147792349763E-7</v>
      </c>
      <c r="P2252" s="3">
        <f>SUM($O$2:Table1[[#This Row],[pctAllTimeExp]])</f>
        <v>0.99997223179681027</v>
      </c>
      <c r="Q2252" t="b">
        <f>Table1[[#This Row],[cumPctAllTimeExp]]&lt;0.95</f>
        <v>0</v>
      </c>
    </row>
    <row r="2253" spans="1:17" x14ac:dyDescent="0.25">
      <c r="A2253">
        <v>1907</v>
      </c>
      <c r="C2253" t="s">
        <v>2508</v>
      </c>
      <c r="E2253" t="s">
        <v>1909</v>
      </c>
      <c r="F2253" s="4">
        <v>0</v>
      </c>
      <c r="G2253" s="4">
        <v>0</v>
      </c>
      <c r="H2253" s="4">
        <v>0</v>
      </c>
      <c r="I2253" s="4">
        <v>0</v>
      </c>
      <c r="J2253" s="4">
        <v>0</v>
      </c>
      <c r="K2253" s="4">
        <v>120</v>
      </c>
      <c r="L2253" s="4">
        <v>0</v>
      </c>
      <c r="M2253" s="4">
        <v>0</v>
      </c>
      <c r="N2253" s="4">
        <f>SUM(Table1[[#This Row],[2025]:[2018]])</f>
        <v>120</v>
      </c>
      <c r="O2253" s="2">
        <f>Table1[[#This Row],[ttl]]/SUM(Table1[ttl])</f>
        <v>2.4197147792349763E-7</v>
      </c>
      <c r="P2253" s="3">
        <f>SUM($O$2:Table1[[#This Row],[pctAllTimeExp]])</f>
        <v>0.99997247376828824</v>
      </c>
      <c r="Q2253" t="b">
        <f>Table1[[#This Row],[cumPctAllTimeExp]]&lt;0.95</f>
        <v>0</v>
      </c>
    </row>
    <row r="2254" spans="1:17" x14ac:dyDescent="0.25">
      <c r="A2254">
        <v>1908</v>
      </c>
      <c r="C2254" t="s">
        <v>2508</v>
      </c>
      <c r="E2254" t="s">
        <v>1910</v>
      </c>
      <c r="F2254" s="4">
        <v>0</v>
      </c>
      <c r="G2254" s="4">
        <v>0</v>
      </c>
      <c r="H2254" s="4">
        <v>0</v>
      </c>
      <c r="I2254" s="4">
        <v>0</v>
      </c>
      <c r="J2254" s="4">
        <v>0</v>
      </c>
      <c r="K2254" s="4">
        <v>120</v>
      </c>
      <c r="L2254" s="4">
        <v>0</v>
      </c>
      <c r="M2254" s="4">
        <v>0</v>
      </c>
      <c r="N2254" s="4">
        <f>SUM(Table1[[#This Row],[2025]:[2018]])</f>
        <v>120</v>
      </c>
      <c r="O2254" s="2">
        <f>Table1[[#This Row],[ttl]]/SUM(Table1[ttl])</f>
        <v>2.4197147792349763E-7</v>
      </c>
      <c r="P2254" s="3">
        <f>SUM($O$2:Table1[[#This Row],[pctAllTimeExp]])</f>
        <v>0.9999727157397662</v>
      </c>
      <c r="Q2254" t="b">
        <f>Table1[[#This Row],[cumPctAllTimeExp]]&lt;0.95</f>
        <v>0</v>
      </c>
    </row>
    <row r="2255" spans="1:17" x14ac:dyDescent="0.25">
      <c r="A2255">
        <v>2199</v>
      </c>
      <c r="C2255" t="s">
        <v>2508</v>
      </c>
      <c r="E2255" t="s">
        <v>2201</v>
      </c>
      <c r="F2255" s="4">
        <v>0</v>
      </c>
      <c r="G2255" s="4">
        <v>0</v>
      </c>
      <c r="H2255" s="4">
        <v>0</v>
      </c>
      <c r="I2255" s="4">
        <v>0</v>
      </c>
      <c r="J2255" s="4">
        <v>0</v>
      </c>
      <c r="K2255" s="4">
        <v>0</v>
      </c>
      <c r="L2255" s="4">
        <v>120</v>
      </c>
      <c r="M2255" s="4">
        <v>0</v>
      </c>
      <c r="N2255" s="4">
        <f>SUM(Table1[[#This Row],[2025]:[2018]])</f>
        <v>120</v>
      </c>
      <c r="O2255" s="2">
        <f>Table1[[#This Row],[ttl]]/SUM(Table1[ttl])</f>
        <v>2.4197147792349763E-7</v>
      </c>
      <c r="P2255" s="3">
        <f>SUM($O$2:Table1[[#This Row],[pctAllTimeExp]])</f>
        <v>0.99997295771124417</v>
      </c>
      <c r="Q2255" t="b">
        <f>Table1[[#This Row],[cumPctAllTimeExp]]&lt;0.95</f>
        <v>0</v>
      </c>
    </row>
    <row r="2256" spans="1:17" x14ac:dyDescent="0.25">
      <c r="A2256">
        <v>2200</v>
      </c>
      <c r="C2256" t="s">
        <v>2508</v>
      </c>
      <c r="E2256" t="s">
        <v>2202</v>
      </c>
      <c r="F2256" s="4">
        <v>0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  <c r="L2256" s="4">
        <v>120</v>
      </c>
      <c r="M2256" s="4">
        <v>0</v>
      </c>
      <c r="N2256" s="4">
        <f>SUM(Table1[[#This Row],[2025]:[2018]])</f>
        <v>120</v>
      </c>
      <c r="O2256" s="2">
        <f>Table1[[#This Row],[ttl]]/SUM(Table1[ttl])</f>
        <v>2.4197147792349763E-7</v>
      </c>
      <c r="P2256" s="3">
        <f>SUM($O$2:Table1[[#This Row],[pctAllTimeExp]])</f>
        <v>0.99997319968272214</v>
      </c>
      <c r="Q2256" t="b">
        <f>Table1[[#This Row],[cumPctAllTimeExp]]&lt;0.95</f>
        <v>0</v>
      </c>
    </row>
    <row r="2257" spans="1:17" x14ac:dyDescent="0.25">
      <c r="A2257">
        <v>2449</v>
      </c>
      <c r="C2257" t="s">
        <v>2508</v>
      </c>
      <c r="E2257" t="s">
        <v>2451</v>
      </c>
      <c r="F2257" s="4">
        <v>0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0</v>
      </c>
      <c r="M2257" s="4">
        <v>120</v>
      </c>
      <c r="N2257" s="4">
        <f>SUM(Table1[[#This Row],[2025]:[2018]])</f>
        <v>120</v>
      </c>
      <c r="O2257" s="2">
        <f>Table1[[#This Row],[ttl]]/SUM(Table1[ttl])</f>
        <v>2.4197147792349763E-7</v>
      </c>
      <c r="P2257" s="3">
        <f>SUM($O$2:Table1[[#This Row],[pctAllTimeExp]])</f>
        <v>0.9999734416542001</v>
      </c>
      <c r="Q2257" t="b">
        <f>Table1[[#This Row],[cumPctAllTimeExp]]&lt;0.95</f>
        <v>0</v>
      </c>
    </row>
    <row r="2258" spans="1:17" x14ac:dyDescent="0.25">
      <c r="A2258">
        <v>2450</v>
      </c>
      <c r="C2258" t="s">
        <v>2508</v>
      </c>
      <c r="E2258" t="s">
        <v>2452</v>
      </c>
      <c r="F2258" s="4">
        <v>0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  <c r="L2258" s="4">
        <v>0</v>
      </c>
      <c r="M2258" s="4">
        <v>120</v>
      </c>
      <c r="N2258" s="4">
        <f>SUM(Table1[[#This Row],[2025]:[2018]])</f>
        <v>120</v>
      </c>
      <c r="O2258" s="2">
        <f>Table1[[#This Row],[ttl]]/SUM(Table1[ttl])</f>
        <v>2.4197147792349763E-7</v>
      </c>
      <c r="P2258" s="3">
        <f>SUM($O$2:Table1[[#This Row],[pctAllTimeExp]])</f>
        <v>0.99997368362567807</v>
      </c>
      <c r="Q2258" t="b">
        <f>Table1[[#This Row],[cumPctAllTimeExp]]&lt;0.95</f>
        <v>0</v>
      </c>
    </row>
    <row r="2259" spans="1:17" x14ac:dyDescent="0.25">
      <c r="A2259">
        <v>2451</v>
      </c>
      <c r="C2259" t="s">
        <v>2508</v>
      </c>
      <c r="E2259" t="s">
        <v>2453</v>
      </c>
      <c r="F2259" s="4">
        <v>0</v>
      </c>
      <c r="G2259" s="4">
        <v>0</v>
      </c>
      <c r="H2259" s="4">
        <v>0</v>
      </c>
      <c r="I2259" s="4">
        <v>0</v>
      </c>
      <c r="J2259" s="4">
        <v>0</v>
      </c>
      <c r="K2259" s="4">
        <v>0</v>
      </c>
      <c r="L2259" s="4">
        <v>0</v>
      </c>
      <c r="M2259" s="4">
        <v>120</v>
      </c>
      <c r="N2259" s="4">
        <f>SUM(Table1[[#This Row],[2025]:[2018]])</f>
        <v>120</v>
      </c>
      <c r="O2259" s="2">
        <f>Table1[[#This Row],[ttl]]/SUM(Table1[ttl])</f>
        <v>2.4197147792349763E-7</v>
      </c>
      <c r="P2259" s="3">
        <f>SUM($O$2:Table1[[#This Row],[pctAllTimeExp]])</f>
        <v>0.99997392559715603</v>
      </c>
      <c r="Q2259" t="b">
        <f>Table1[[#This Row],[cumPctAllTimeExp]]&lt;0.95</f>
        <v>0</v>
      </c>
    </row>
    <row r="2260" spans="1:17" x14ac:dyDescent="0.25">
      <c r="A2260">
        <v>1603</v>
      </c>
      <c r="C2260" t="s">
        <v>2508</v>
      </c>
      <c r="E2260" t="s">
        <v>1605</v>
      </c>
      <c r="F2260" s="4">
        <v>0</v>
      </c>
      <c r="G2260" s="4">
        <v>0</v>
      </c>
      <c r="H2260" s="4">
        <v>0</v>
      </c>
      <c r="I2260" s="4">
        <v>0</v>
      </c>
      <c r="J2260" s="4">
        <v>115</v>
      </c>
      <c r="K2260" s="4">
        <v>0</v>
      </c>
      <c r="L2260" s="4">
        <v>0</v>
      </c>
      <c r="M2260" s="4">
        <v>0</v>
      </c>
      <c r="N2260" s="4">
        <f>SUM(Table1[[#This Row],[2025]:[2018]])</f>
        <v>115</v>
      </c>
      <c r="O2260" s="2">
        <f>Table1[[#This Row],[ttl]]/SUM(Table1[ttl])</f>
        <v>2.3188933301001856E-7</v>
      </c>
      <c r="P2260" s="3">
        <f>SUM($O$2:Table1[[#This Row],[pctAllTimeExp]])</f>
        <v>0.99997415748648899</v>
      </c>
      <c r="Q2260" t="b">
        <f>Table1[[#This Row],[cumPctAllTimeExp]]&lt;0.95</f>
        <v>0</v>
      </c>
    </row>
    <row r="2261" spans="1:17" x14ac:dyDescent="0.25">
      <c r="A2261">
        <v>1604</v>
      </c>
      <c r="C2261" t="s">
        <v>2508</v>
      </c>
      <c r="E2261" t="s">
        <v>1606</v>
      </c>
      <c r="F2261" s="4">
        <v>0</v>
      </c>
      <c r="G2261" s="4">
        <v>0</v>
      </c>
      <c r="H2261" s="4">
        <v>0</v>
      </c>
      <c r="I2261" s="4">
        <v>0</v>
      </c>
      <c r="J2261" s="4">
        <v>115</v>
      </c>
      <c r="K2261" s="4">
        <v>0</v>
      </c>
      <c r="L2261" s="4">
        <v>0</v>
      </c>
      <c r="M2261" s="4">
        <v>0</v>
      </c>
      <c r="N2261" s="4">
        <f>SUM(Table1[[#This Row],[2025]:[2018]])</f>
        <v>115</v>
      </c>
      <c r="O2261" s="2">
        <f>Table1[[#This Row],[ttl]]/SUM(Table1[ttl])</f>
        <v>2.3188933301001856E-7</v>
      </c>
      <c r="P2261" s="3">
        <f>SUM($O$2:Table1[[#This Row],[pctAllTimeExp]])</f>
        <v>0.99997438937582195</v>
      </c>
      <c r="Q2261" t="b">
        <f>Table1[[#This Row],[cumPctAllTimeExp]]&lt;0.95</f>
        <v>0</v>
      </c>
    </row>
    <row r="2262" spans="1:17" x14ac:dyDescent="0.25">
      <c r="A2262">
        <v>1606</v>
      </c>
      <c r="C2262" t="s">
        <v>2508</v>
      </c>
      <c r="E2262" t="s">
        <v>1608</v>
      </c>
      <c r="F2262" s="4">
        <v>0</v>
      </c>
      <c r="G2262" s="4">
        <v>0</v>
      </c>
      <c r="H2262" s="4">
        <v>0</v>
      </c>
      <c r="I2262" s="4">
        <v>0</v>
      </c>
      <c r="J2262" s="4">
        <v>115</v>
      </c>
      <c r="K2262" s="4">
        <v>0</v>
      </c>
      <c r="L2262" s="4">
        <v>0</v>
      </c>
      <c r="M2262" s="4">
        <v>0</v>
      </c>
      <c r="N2262" s="4">
        <f>SUM(Table1[[#This Row],[2025]:[2018]])</f>
        <v>115</v>
      </c>
      <c r="O2262" s="2">
        <f>Table1[[#This Row],[ttl]]/SUM(Table1[ttl])</f>
        <v>2.3188933301001856E-7</v>
      </c>
      <c r="P2262" s="3">
        <f>SUM($O$2:Table1[[#This Row],[pctAllTimeExp]])</f>
        <v>0.99997462126515491</v>
      </c>
      <c r="Q2262" t="b">
        <f>Table1[[#This Row],[cumPctAllTimeExp]]&lt;0.95</f>
        <v>0</v>
      </c>
    </row>
    <row r="2263" spans="1:17" x14ac:dyDescent="0.25">
      <c r="A2263">
        <v>1607</v>
      </c>
      <c r="C2263" t="s">
        <v>2508</v>
      </c>
      <c r="E2263" t="s">
        <v>1609</v>
      </c>
      <c r="F2263" s="4">
        <v>0</v>
      </c>
      <c r="G2263" s="4">
        <v>0</v>
      </c>
      <c r="H2263" s="4">
        <v>0</v>
      </c>
      <c r="I2263" s="4">
        <v>0</v>
      </c>
      <c r="J2263" s="4">
        <v>115</v>
      </c>
      <c r="K2263" s="4">
        <v>0</v>
      </c>
      <c r="L2263" s="4">
        <v>0</v>
      </c>
      <c r="M2263" s="4">
        <v>0</v>
      </c>
      <c r="N2263" s="4">
        <f>SUM(Table1[[#This Row],[2025]:[2018]])</f>
        <v>115</v>
      </c>
      <c r="O2263" s="2">
        <f>Table1[[#This Row],[ttl]]/SUM(Table1[ttl])</f>
        <v>2.3188933301001856E-7</v>
      </c>
      <c r="P2263" s="3">
        <f>SUM($O$2:Table1[[#This Row],[pctAllTimeExp]])</f>
        <v>0.99997485315448786</v>
      </c>
      <c r="Q2263" t="b">
        <f>Table1[[#This Row],[cumPctAllTimeExp]]&lt;0.95</f>
        <v>0</v>
      </c>
    </row>
    <row r="2264" spans="1:17" x14ac:dyDescent="0.25">
      <c r="A2264">
        <v>1608</v>
      </c>
      <c r="C2264" t="s">
        <v>2508</v>
      </c>
      <c r="E2264" t="s">
        <v>1610</v>
      </c>
      <c r="F2264" s="4">
        <v>0</v>
      </c>
      <c r="G2264" s="4">
        <v>0</v>
      </c>
      <c r="H2264" s="4">
        <v>0</v>
      </c>
      <c r="I2264" s="4">
        <v>0</v>
      </c>
      <c r="J2264" s="4">
        <v>115</v>
      </c>
      <c r="K2264" s="4">
        <v>0</v>
      </c>
      <c r="L2264" s="4">
        <v>0</v>
      </c>
      <c r="M2264" s="4">
        <v>0</v>
      </c>
      <c r="N2264" s="4">
        <f>SUM(Table1[[#This Row],[2025]:[2018]])</f>
        <v>115</v>
      </c>
      <c r="O2264" s="2">
        <f>Table1[[#This Row],[ttl]]/SUM(Table1[ttl])</f>
        <v>2.3188933301001856E-7</v>
      </c>
      <c r="P2264" s="3">
        <f>SUM($O$2:Table1[[#This Row],[pctAllTimeExp]])</f>
        <v>0.99997508504382082</v>
      </c>
      <c r="Q2264" t="b">
        <f>Table1[[#This Row],[cumPctAllTimeExp]]&lt;0.95</f>
        <v>0</v>
      </c>
    </row>
    <row r="2265" spans="1:17" x14ac:dyDescent="0.25">
      <c r="A2265">
        <v>1609</v>
      </c>
      <c r="C2265" t="s">
        <v>2508</v>
      </c>
      <c r="E2265" t="s">
        <v>1611</v>
      </c>
      <c r="F2265" s="4">
        <v>0</v>
      </c>
      <c r="G2265" s="4">
        <v>0</v>
      </c>
      <c r="H2265" s="4">
        <v>0</v>
      </c>
      <c r="I2265" s="4">
        <v>0</v>
      </c>
      <c r="J2265" s="4">
        <v>115</v>
      </c>
      <c r="K2265" s="4">
        <v>0</v>
      </c>
      <c r="L2265" s="4">
        <v>0</v>
      </c>
      <c r="M2265" s="4">
        <v>0</v>
      </c>
      <c r="N2265" s="4">
        <f>SUM(Table1[[#This Row],[2025]:[2018]])</f>
        <v>115</v>
      </c>
      <c r="O2265" s="2">
        <f>Table1[[#This Row],[ttl]]/SUM(Table1[ttl])</f>
        <v>2.3188933301001856E-7</v>
      </c>
      <c r="P2265" s="3">
        <f>SUM($O$2:Table1[[#This Row],[pctAllTimeExp]])</f>
        <v>0.99997531693315378</v>
      </c>
      <c r="Q2265" t="b">
        <f>Table1[[#This Row],[cumPctAllTimeExp]]&lt;0.95</f>
        <v>0</v>
      </c>
    </row>
    <row r="2266" spans="1:17" x14ac:dyDescent="0.25">
      <c r="A2266">
        <v>1909</v>
      </c>
      <c r="C2266" t="s">
        <v>2508</v>
      </c>
      <c r="E2266" t="s">
        <v>1911</v>
      </c>
      <c r="F2266" s="4">
        <v>0</v>
      </c>
      <c r="G2266" s="4">
        <v>0</v>
      </c>
      <c r="H2266" s="4">
        <v>0</v>
      </c>
      <c r="I2266" s="4">
        <v>0</v>
      </c>
      <c r="J2266" s="4">
        <v>0</v>
      </c>
      <c r="K2266" s="4">
        <v>115</v>
      </c>
      <c r="L2266" s="4">
        <v>0</v>
      </c>
      <c r="M2266" s="4">
        <v>0</v>
      </c>
      <c r="N2266" s="4">
        <f>SUM(Table1[[#This Row],[2025]:[2018]])</f>
        <v>115</v>
      </c>
      <c r="O2266" s="2">
        <f>Table1[[#This Row],[ttl]]/SUM(Table1[ttl])</f>
        <v>2.3188933301001856E-7</v>
      </c>
      <c r="P2266" s="3">
        <f>SUM($O$2:Table1[[#This Row],[pctAllTimeExp]])</f>
        <v>0.99997554882248674</v>
      </c>
      <c r="Q2266" t="b">
        <f>Table1[[#This Row],[cumPctAllTimeExp]]&lt;0.95</f>
        <v>0</v>
      </c>
    </row>
    <row r="2267" spans="1:17" x14ac:dyDescent="0.25">
      <c r="A2267">
        <v>1910</v>
      </c>
      <c r="C2267" t="s">
        <v>2508</v>
      </c>
      <c r="E2267" t="s">
        <v>1912</v>
      </c>
      <c r="F2267" s="4">
        <v>0</v>
      </c>
      <c r="G2267" s="4">
        <v>0</v>
      </c>
      <c r="H2267" s="4">
        <v>0</v>
      </c>
      <c r="I2267" s="4">
        <v>0</v>
      </c>
      <c r="J2267" s="4">
        <v>0</v>
      </c>
      <c r="K2267" s="4">
        <v>115</v>
      </c>
      <c r="L2267" s="4">
        <v>0</v>
      </c>
      <c r="M2267" s="4">
        <v>0</v>
      </c>
      <c r="N2267" s="4">
        <f>SUM(Table1[[#This Row],[2025]:[2018]])</f>
        <v>115</v>
      </c>
      <c r="O2267" s="2">
        <f>Table1[[#This Row],[ttl]]/SUM(Table1[ttl])</f>
        <v>2.3188933301001856E-7</v>
      </c>
      <c r="P2267" s="3">
        <f>SUM($O$2:Table1[[#This Row],[pctAllTimeExp]])</f>
        <v>0.9999757807118197</v>
      </c>
      <c r="Q2267" t="b">
        <f>Table1[[#This Row],[cumPctAllTimeExp]]&lt;0.95</f>
        <v>0</v>
      </c>
    </row>
    <row r="2268" spans="1:17" x14ac:dyDescent="0.25">
      <c r="A2268">
        <v>1911</v>
      </c>
      <c r="C2268" t="s">
        <v>2508</v>
      </c>
      <c r="E2268" t="s">
        <v>1913</v>
      </c>
      <c r="F2268" s="4">
        <v>0</v>
      </c>
      <c r="G2268" s="4">
        <v>0</v>
      </c>
      <c r="H2268" s="4">
        <v>0</v>
      </c>
      <c r="I2268" s="4">
        <v>0</v>
      </c>
      <c r="J2268" s="4">
        <v>0</v>
      </c>
      <c r="K2268" s="4">
        <v>114</v>
      </c>
      <c r="L2268" s="4">
        <v>0</v>
      </c>
      <c r="M2268" s="4">
        <v>0</v>
      </c>
      <c r="N2268" s="4">
        <f>SUM(Table1[[#This Row],[2025]:[2018]])</f>
        <v>114</v>
      </c>
      <c r="O2268" s="2">
        <f>Table1[[#This Row],[ttl]]/SUM(Table1[ttl])</f>
        <v>2.2987290402732275E-7</v>
      </c>
      <c r="P2268" s="3">
        <f>SUM($O$2:Table1[[#This Row],[pctAllTimeExp]])</f>
        <v>0.99997601058472374</v>
      </c>
      <c r="Q2268" t="b">
        <f>Table1[[#This Row],[cumPctAllTimeExp]]&lt;0.95</f>
        <v>0</v>
      </c>
    </row>
    <row r="2269" spans="1:17" x14ac:dyDescent="0.25">
      <c r="A2269">
        <v>1376</v>
      </c>
      <c r="C2269" t="s">
        <v>2508</v>
      </c>
      <c r="E2269" t="s">
        <v>1378</v>
      </c>
      <c r="F2269" s="4">
        <v>0</v>
      </c>
      <c r="G2269" s="4">
        <v>0</v>
      </c>
      <c r="H2269" s="4">
        <v>0</v>
      </c>
      <c r="I2269" s="4">
        <v>112.5</v>
      </c>
      <c r="J2269" s="4">
        <v>0</v>
      </c>
      <c r="K2269" s="4">
        <v>0</v>
      </c>
      <c r="L2269" s="4">
        <v>0</v>
      </c>
      <c r="M2269" s="4">
        <v>0</v>
      </c>
      <c r="N2269" s="4">
        <f>SUM(Table1[[#This Row],[2025]:[2018]])</f>
        <v>112.5</v>
      </c>
      <c r="O2269" s="2">
        <f>Table1[[#This Row],[ttl]]/SUM(Table1[ttl])</f>
        <v>2.2684826055327902E-7</v>
      </c>
      <c r="P2269" s="3">
        <f>SUM($O$2:Table1[[#This Row],[pctAllTimeExp]])</f>
        <v>0.99997623743298425</v>
      </c>
      <c r="Q2269" t="b">
        <f>Table1[[#This Row],[cumPctAllTimeExp]]&lt;0.95</f>
        <v>0</v>
      </c>
    </row>
    <row r="2270" spans="1:17" x14ac:dyDescent="0.25">
      <c r="A2270">
        <v>2452</v>
      </c>
      <c r="C2270" t="s">
        <v>2508</v>
      </c>
      <c r="E2270" t="s">
        <v>2454</v>
      </c>
      <c r="F2270" s="4">
        <v>0</v>
      </c>
      <c r="G2270" s="4">
        <v>0</v>
      </c>
      <c r="H2270" s="4">
        <v>0</v>
      </c>
      <c r="I2270" s="4">
        <v>0</v>
      </c>
      <c r="J2270" s="4">
        <v>0</v>
      </c>
      <c r="K2270" s="4">
        <v>0</v>
      </c>
      <c r="L2270" s="4">
        <v>0</v>
      </c>
      <c r="M2270" s="4">
        <v>112.5</v>
      </c>
      <c r="N2270" s="4">
        <f>SUM(Table1[[#This Row],[2025]:[2018]])</f>
        <v>112.5</v>
      </c>
      <c r="O2270" s="2">
        <f>Table1[[#This Row],[ttl]]/SUM(Table1[ttl])</f>
        <v>2.2684826055327902E-7</v>
      </c>
      <c r="P2270" s="3">
        <f>SUM($O$2:Table1[[#This Row],[pctAllTimeExp]])</f>
        <v>0.99997646428124476</v>
      </c>
      <c r="Q2270" t="b">
        <f>Table1[[#This Row],[cumPctAllTimeExp]]&lt;0.95</f>
        <v>0</v>
      </c>
    </row>
    <row r="2271" spans="1:17" x14ac:dyDescent="0.25">
      <c r="A2271">
        <v>1172</v>
      </c>
      <c r="C2271" t="s">
        <v>2508</v>
      </c>
      <c r="E2271" t="s">
        <v>1174</v>
      </c>
      <c r="F2271" s="4">
        <v>0</v>
      </c>
      <c r="G2271" s="4">
        <v>0</v>
      </c>
      <c r="H2271" s="4">
        <v>111.63</v>
      </c>
      <c r="I2271" s="4">
        <v>0</v>
      </c>
      <c r="J2271" s="4">
        <v>0</v>
      </c>
      <c r="K2271" s="4">
        <v>0</v>
      </c>
      <c r="L2271" s="4">
        <v>0</v>
      </c>
      <c r="M2271" s="4">
        <v>0</v>
      </c>
      <c r="N2271" s="4">
        <f>SUM(Table1[[#This Row],[2025]:[2018]])</f>
        <v>111.63</v>
      </c>
      <c r="O2271" s="2">
        <f>Table1[[#This Row],[ttl]]/SUM(Table1[ttl])</f>
        <v>2.2509396733833366E-7</v>
      </c>
      <c r="P2271" s="3">
        <f>SUM($O$2:Table1[[#This Row],[pctAllTimeExp]])</f>
        <v>0.99997668937521211</v>
      </c>
      <c r="Q2271" t="b">
        <f>Table1[[#This Row],[cumPctAllTimeExp]]&lt;0.95</f>
        <v>0</v>
      </c>
    </row>
    <row r="2272" spans="1:17" x14ac:dyDescent="0.25">
      <c r="A2272">
        <v>1610</v>
      </c>
      <c r="C2272" t="s">
        <v>2508</v>
      </c>
      <c r="E2272" t="s">
        <v>1612</v>
      </c>
      <c r="F2272" s="4">
        <v>0</v>
      </c>
      <c r="G2272" s="4">
        <v>0</v>
      </c>
      <c r="H2272" s="4">
        <v>0</v>
      </c>
      <c r="I2272" s="4">
        <v>0</v>
      </c>
      <c r="J2272" s="4">
        <v>110</v>
      </c>
      <c r="K2272" s="4">
        <v>0</v>
      </c>
      <c r="L2272" s="4">
        <v>0</v>
      </c>
      <c r="M2272" s="4">
        <v>0</v>
      </c>
      <c r="N2272" s="4">
        <f>SUM(Table1[[#This Row],[2025]:[2018]])</f>
        <v>110</v>
      </c>
      <c r="O2272" s="2">
        <f>Table1[[#This Row],[ttl]]/SUM(Table1[ttl])</f>
        <v>2.2180718809653948E-7</v>
      </c>
      <c r="P2272" s="3">
        <f>SUM($O$2:Table1[[#This Row],[pctAllTimeExp]])</f>
        <v>0.99997691118240017</v>
      </c>
      <c r="Q2272" t="b">
        <f>Table1[[#This Row],[cumPctAllTimeExp]]&lt;0.95</f>
        <v>0</v>
      </c>
    </row>
    <row r="2273" spans="1:17" x14ac:dyDescent="0.25">
      <c r="A2273">
        <v>1611</v>
      </c>
      <c r="C2273" t="s">
        <v>2508</v>
      </c>
      <c r="E2273" t="s">
        <v>1613</v>
      </c>
      <c r="F2273" s="4">
        <v>0</v>
      </c>
      <c r="G2273" s="4">
        <v>0</v>
      </c>
      <c r="H2273" s="4">
        <v>0</v>
      </c>
      <c r="I2273" s="4">
        <v>0</v>
      </c>
      <c r="J2273" s="4">
        <v>110</v>
      </c>
      <c r="K2273" s="4">
        <v>0</v>
      </c>
      <c r="L2273" s="4">
        <v>0</v>
      </c>
      <c r="M2273" s="4">
        <v>0</v>
      </c>
      <c r="N2273" s="4">
        <f>SUM(Table1[[#This Row],[2025]:[2018]])</f>
        <v>110</v>
      </c>
      <c r="O2273" s="2">
        <f>Table1[[#This Row],[ttl]]/SUM(Table1[ttl])</f>
        <v>2.2180718809653948E-7</v>
      </c>
      <c r="P2273" s="3">
        <f>SUM($O$2:Table1[[#This Row],[pctAllTimeExp]])</f>
        <v>0.99997713298958824</v>
      </c>
      <c r="Q2273" t="b">
        <f>Table1[[#This Row],[cumPctAllTimeExp]]&lt;0.95</f>
        <v>0</v>
      </c>
    </row>
    <row r="2274" spans="1:17" x14ac:dyDescent="0.25">
      <c r="A2274">
        <v>2202</v>
      </c>
      <c r="C2274" t="s">
        <v>2508</v>
      </c>
      <c r="E2274" t="s">
        <v>2204</v>
      </c>
      <c r="F2274" s="4">
        <v>0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  <c r="L2274" s="4">
        <v>110</v>
      </c>
      <c r="M2274" s="4">
        <v>0</v>
      </c>
      <c r="N2274" s="4">
        <f>SUM(Table1[[#This Row],[2025]:[2018]])</f>
        <v>110</v>
      </c>
      <c r="O2274" s="2">
        <f>Table1[[#This Row],[ttl]]/SUM(Table1[ttl])</f>
        <v>2.2180718809653948E-7</v>
      </c>
      <c r="P2274" s="3">
        <f>SUM($O$2:Table1[[#This Row],[pctAllTimeExp]])</f>
        <v>0.9999773547967763</v>
      </c>
      <c r="Q2274" t="b">
        <f>Table1[[#This Row],[cumPctAllTimeExp]]&lt;0.95</f>
        <v>0</v>
      </c>
    </row>
    <row r="2275" spans="1:17" x14ac:dyDescent="0.25">
      <c r="A2275">
        <v>2203</v>
      </c>
      <c r="C2275" t="s">
        <v>2508</v>
      </c>
      <c r="E2275" t="s">
        <v>2205</v>
      </c>
      <c r="F2275" s="4">
        <v>0</v>
      </c>
      <c r="G2275" s="4">
        <v>0</v>
      </c>
      <c r="H2275" s="4">
        <v>0</v>
      </c>
      <c r="I2275" s="4">
        <v>0</v>
      </c>
      <c r="J2275" s="4">
        <v>0</v>
      </c>
      <c r="K2275" s="4">
        <v>0</v>
      </c>
      <c r="L2275" s="4">
        <v>109.36</v>
      </c>
      <c r="M2275" s="4">
        <v>0</v>
      </c>
      <c r="N2275" s="4">
        <f>SUM(Table1[[#This Row],[2025]:[2018]])</f>
        <v>109.36</v>
      </c>
      <c r="O2275" s="2">
        <f>Table1[[#This Row],[ttl]]/SUM(Table1[ttl])</f>
        <v>2.2051667354761415E-7</v>
      </c>
      <c r="P2275" s="3">
        <f>SUM($O$2:Table1[[#This Row],[pctAllTimeExp]])</f>
        <v>0.99997757531344988</v>
      </c>
      <c r="Q2275" t="b">
        <f>Table1[[#This Row],[cumPctAllTimeExp]]&lt;0.95</f>
        <v>0</v>
      </c>
    </row>
    <row r="2276" spans="1:17" x14ac:dyDescent="0.25">
      <c r="A2276">
        <v>1914</v>
      </c>
      <c r="C2276" t="s">
        <v>2508</v>
      </c>
      <c r="E2276" t="s">
        <v>1916</v>
      </c>
      <c r="F2276" s="4">
        <v>0</v>
      </c>
      <c r="G2276" s="4">
        <v>0</v>
      </c>
      <c r="H2276" s="4">
        <v>0</v>
      </c>
      <c r="I2276" s="4">
        <v>0</v>
      </c>
      <c r="J2276" s="4">
        <v>0</v>
      </c>
      <c r="K2276" s="4">
        <v>108.13</v>
      </c>
      <c r="L2276" s="4">
        <v>0</v>
      </c>
      <c r="M2276" s="4">
        <v>0</v>
      </c>
      <c r="N2276" s="4">
        <f>SUM(Table1[[#This Row],[2025]:[2018]])</f>
        <v>108.13</v>
      </c>
      <c r="O2276" s="2">
        <f>Table1[[#This Row],[ttl]]/SUM(Table1[ttl])</f>
        <v>2.1803646589889831E-7</v>
      </c>
      <c r="P2276" s="3">
        <f>SUM($O$2:Table1[[#This Row],[pctAllTimeExp]])</f>
        <v>0.99997779334991577</v>
      </c>
      <c r="Q2276" t="b">
        <f>Table1[[#This Row],[cumPctAllTimeExp]]&lt;0.95</f>
        <v>0</v>
      </c>
    </row>
    <row r="2277" spans="1:17" x14ac:dyDescent="0.25">
      <c r="A2277">
        <v>681</v>
      </c>
      <c r="C2277" t="s">
        <v>2508</v>
      </c>
      <c r="E2277" t="s">
        <v>683</v>
      </c>
      <c r="F2277" s="4">
        <v>44.64</v>
      </c>
      <c r="G2277" s="4">
        <v>63.08</v>
      </c>
      <c r="H2277" s="4">
        <v>0</v>
      </c>
      <c r="I2277" s="4">
        <v>0</v>
      </c>
      <c r="J2277" s="4">
        <v>0</v>
      </c>
      <c r="K2277" s="4">
        <v>0</v>
      </c>
      <c r="L2277" s="4">
        <v>0</v>
      </c>
      <c r="M2277" s="4">
        <v>0</v>
      </c>
      <c r="N2277" s="4">
        <f>SUM(Table1[[#This Row],[2025]:[2018]])</f>
        <v>107.72</v>
      </c>
      <c r="O2277" s="2">
        <f>Table1[[#This Row],[ttl]]/SUM(Table1[ttl])</f>
        <v>2.1720973001599304E-7</v>
      </c>
      <c r="P2277" s="3">
        <f>SUM($O$2:Table1[[#This Row],[pctAllTimeExp]])</f>
        <v>0.99997801055964575</v>
      </c>
      <c r="Q2277" t="b">
        <f>Table1[[#This Row],[cumPctAllTimeExp]]&lt;0.95</f>
        <v>0</v>
      </c>
    </row>
    <row r="2278" spans="1:17" x14ac:dyDescent="0.25">
      <c r="A2278">
        <v>1613</v>
      </c>
      <c r="C2278" t="s">
        <v>2508</v>
      </c>
      <c r="E2278" t="s">
        <v>1615</v>
      </c>
      <c r="F2278" s="4">
        <v>0</v>
      </c>
      <c r="G2278" s="4">
        <v>0</v>
      </c>
      <c r="H2278" s="4">
        <v>0</v>
      </c>
      <c r="I2278" s="4">
        <v>0</v>
      </c>
      <c r="J2278" s="4">
        <v>107</v>
      </c>
      <c r="K2278" s="4">
        <v>0</v>
      </c>
      <c r="L2278" s="4">
        <v>0</v>
      </c>
      <c r="M2278" s="4">
        <v>0</v>
      </c>
      <c r="N2278" s="4">
        <f>SUM(Table1[[#This Row],[2025]:[2018]])</f>
        <v>107</v>
      </c>
      <c r="O2278" s="2">
        <f>Table1[[#This Row],[ttl]]/SUM(Table1[ttl])</f>
        <v>2.1575790114845203E-7</v>
      </c>
      <c r="P2278" s="3">
        <f>SUM($O$2:Table1[[#This Row],[pctAllTimeExp]])</f>
        <v>0.99997822631754685</v>
      </c>
      <c r="Q2278" t="b">
        <f>Table1[[#This Row],[cumPctAllTimeExp]]&lt;0.95</f>
        <v>0</v>
      </c>
    </row>
    <row r="2279" spans="1:17" x14ac:dyDescent="0.25">
      <c r="A2279">
        <v>663</v>
      </c>
      <c r="C2279" t="s">
        <v>2508</v>
      </c>
      <c r="E2279" t="s">
        <v>665</v>
      </c>
      <c r="F2279" s="4">
        <v>100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  <c r="L2279" s="4">
        <v>0</v>
      </c>
      <c r="M2279" s="4">
        <v>0</v>
      </c>
      <c r="N2279" s="4">
        <f>SUM(Table1[[#This Row],[2025]:[2018]])</f>
        <v>100</v>
      </c>
      <c r="O2279" s="2">
        <f>Table1[[#This Row],[ttl]]/SUM(Table1[ttl])</f>
        <v>2.0164289826958134E-7</v>
      </c>
      <c r="P2279" s="3">
        <f>SUM($O$2:Table1[[#This Row],[pctAllTimeExp]])</f>
        <v>0.99997842796044512</v>
      </c>
      <c r="Q2279" t="b">
        <f>Table1[[#This Row],[cumPctAllTimeExp]]&lt;0.95</f>
        <v>0</v>
      </c>
    </row>
    <row r="2280" spans="1:17" x14ac:dyDescent="0.25">
      <c r="A2280">
        <v>680</v>
      </c>
      <c r="C2280" t="s">
        <v>2508</v>
      </c>
      <c r="E2280" t="s">
        <v>682</v>
      </c>
      <c r="F2280" s="4">
        <v>50</v>
      </c>
      <c r="G2280" s="4">
        <v>50</v>
      </c>
      <c r="H2280" s="4">
        <v>0</v>
      </c>
      <c r="I2280" s="4">
        <v>0</v>
      </c>
      <c r="J2280" s="4">
        <v>0</v>
      </c>
      <c r="K2280" s="4">
        <v>0</v>
      </c>
      <c r="L2280" s="4">
        <v>0</v>
      </c>
      <c r="M2280" s="4">
        <v>0</v>
      </c>
      <c r="N2280" s="4">
        <f>SUM(Table1[[#This Row],[2025]:[2018]])</f>
        <v>100</v>
      </c>
      <c r="O2280" s="2">
        <f>Table1[[#This Row],[ttl]]/SUM(Table1[ttl])</f>
        <v>2.0164289826958134E-7</v>
      </c>
      <c r="P2280" s="3">
        <f>SUM($O$2:Table1[[#This Row],[pctAllTimeExp]])</f>
        <v>0.99997862960334338</v>
      </c>
      <c r="Q2280" t="b">
        <f>Table1[[#This Row],[cumPctAllTimeExp]]&lt;0.95</f>
        <v>0</v>
      </c>
    </row>
    <row r="2281" spans="1:17" x14ac:dyDescent="0.25">
      <c r="A2281">
        <v>1177</v>
      </c>
      <c r="C2281" t="s">
        <v>2508</v>
      </c>
      <c r="E2281" t="s">
        <v>1179</v>
      </c>
      <c r="F2281" s="4">
        <v>0</v>
      </c>
      <c r="G2281" s="4">
        <v>0</v>
      </c>
      <c r="H2281" s="4">
        <v>100</v>
      </c>
      <c r="I2281" s="4">
        <v>0</v>
      </c>
      <c r="J2281" s="4">
        <v>0</v>
      </c>
      <c r="K2281" s="4">
        <v>0</v>
      </c>
      <c r="L2281" s="4">
        <v>0</v>
      </c>
      <c r="M2281" s="4">
        <v>0</v>
      </c>
      <c r="N2281" s="4">
        <f>SUM(Table1[[#This Row],[2025]:[2018]])</f>
        <v>100</v>
      </c>
      <c r="O2281" s="2">
        <f>Table1[[#This Row],[ttl]]/SUM(Table1[ttl])</f>
        <v>2.0164289826958134E-7</v>
      </c>
      <c r="P2281" s="3">
        <f>SUM($O$2:Table1[[#This Row],[pctAllTimeExp]])</f>
        <v>0.99997883124624165</v>
      </c>
      <c r="Q2281" t="b">
        <f>Table1[[#This Row],[cumPctAllTimeExp]]&lt;0.95</f>
        <v>0</v>
      </c>
    </row>
    <row r="2282" spans="1:17" x14ac:dyDescent="0.25">
      <c r="A2282">
        <v>1377</v>
      </c>
      <c r="C2282" t="s">
        <v>2508</v>
      </c>
      <c r="E2282" t="s">
        <v>1379</v>
      </c>
      <c r="F2282" s="4">
        <v>0</v>
      </c>
      <c r="G2282" s="4">
        <v>0</v>
      </c>
      <c r="H2282" s="4">
        <v>0</v>
      </c>
      <c r="I2282" s="4">
        <v>100</v>
      </c>
      <c r="J2282" s="4">
        <v>0</v>
      </c>
      <c r="K2282" s="4">
        <v>0</v>
      </c>
      <c r="L2282" s="4">
        <v>0</v>
      </c>
      <c r="M2282" s="4">
        <v>0</v>
      </c>
      <c r="N2282" s="4">
        <f>SUM(Table1[[#This Row],[2025]:[2018]])</f>
        <v>100</v>
      </c>
      <c r="O2282" s="2">
        <f>Table1[[#This Row],[ttl]]/SUM(Table1[ttl])</f>
        <v>2.0164289826958134E-7</v>
      </c>
      <c r="P2282" s="3">
        <f>SUM($O$2:Table1[[#This Row],[pctAllTimeExp]])</f>
        <v>0.99997903288913992</v>
      </c>
      <c r="Q2282" t="b">
        <f>Table1[[#This Row],[cumPctAllTimeExp]]&lt;0.95</f>
        <v>0</v>
      </c>
    </row>
    <row r="2283" spans="1:17" x14ac:dyDescent="0.25">
      <c r="A2283">
        <v>1378</v>
      </c>
      <c r="C2283" t="s">
        <v>2508</v>
      </c>
      <c r="E2283" t="s">
        <v>1380</v>
      </c>
      <c r="F2283" s="4">
        <v>0</v>
      </c>
      <c r="G2283" s="4">
        <v>0</v>
      </c>
      <c r="H2283" s="4">
        <v>0</v>
      </c>
      <c r="I2283" s="4">
        <v>100</v>
      </c>
      <c r="J2283" s="4">
        <v>0</v>
      </c>
      <c r="K2283" s="4">
        <v>0</v>
      </c>
      <c r="L2283" s="4">
        <v>0</v>
      </c>
      <c r="M2283" s="4">
        <v>0</v>
      </c>
      <c r="N2283" s="4">
        <f>SUM(Table1[[#This Row],[2025]:[2018]])</f>
        <v>100</v>
      </c>
      <c r="O2283" s="2">
        <f>Table1[[#This Row],[ttl]]/SUM(Table1[ttl])</f>
        <v>2.0164289826958134E-7</v>
      </c>
      <c r="P2283" s="3">
        <f>SUM($O$2:Table1[[#This Row],[pctAllTimeExp]])</f>
        <v>0.99997923453203819</v>
      </c>
      <c r="Q2283" t="b">
        <f>Table1[[#This Row],[cumPctAllTimeExp]]&lt;0.95</f>
        <v>0</v>
      </c>
    </row>
    <row r="2284" spans="1:17" x14ac:dyDescent="0.25">
      <c r="A2284">
        <v>1379</v>
      </c>
      <c r="C2284" t="s">
        <v>2508</v>
      </c>
      <c r="E2284" t="s">
        <v>1381</v>
      </c>
      <c r="F2284" s="4">
        <v>0</v>
      </c>
      <c r="G2284" s="4">
        <v>0</v>
      </c>
      <c r="H2284" s="4">
        <v>0</v>
      </c>
      <c r="I2284" s="4">
        <v>100</v>
      </c>
      <c r="J2284" s="4">
        <v>0</v>
      </c>
      <c r="K2284" s="4">
        <v>0</v>
      </c>
      <c r="L2284" s="4">
        <v>0</v>
      </c>
      <c r="M2284" s="4">
        <v>0</v>
      </c>
      <c r="N2284" s="4">
        <f>SUM(Table1[[#This Row],[2025]:[2018]])</f>
        <v>100</v>
      </c>
      <c r="O2284" s="2">
        <f>Table1[[#This Row],[ttl]]/SUM(Table1[ttl])</f>
        <v>2.0164289826958134E-7</v>
      </c>
      <c r="P2284" s="3">
        <f>SUM($O$2:Table1[[#This Row],[pctAllTimeExp]])</f>
        <v>0.99997943617493645</v>
      </c>
      <c r="Q2284" t="b">
        <f>Table1[[#This Row],[cumPctAllTimeExp]]&lt;0.95</f>
        <v>0</v>
      </c>
    </row>
    <row r="2285" spans="1:17" x14ac:dyDescent="0.25">
      <c r="A2285">
        <v>1381</v>
      </c>
      <c r="C2285" t="s">
        <v>2508</v>
      </c>
      <c r="E2285" t="s">
        <v>1383</v>
      </c>
      <c r="F2285" s="4">
        <v>0</v>
      </c>
      <c r="G2285" s="4">
        <v>0</v>
      </c>
      <c r="H2285" s="4">
        <v>0</v>
      </c>
      <c r="I2285" s="4">
        <v>100</v>
      </c>
      <c r="J2285" s="4">
        <v>0</v>
      </c>
      <c r="K2285" s="4">
        <v>0</v>
      </c>
      <c r="L2285" s="4">
        <v>0</v>
      </c>
      <c r="M2285" s="4">
        <v>0</v>
      </c>
      <c r="N2285" s="4">
        <f>SUM(Table1[[#This Row],[2025]:[2018]])</f>
        <v>100</v>
      </c>
      <c r="O2285" s="2">
        <f>Table1[[#This Row],[ttl]]/SUM(Table1[ttl])</f>
        <v>2.0164289826958134E-7</v>
      </c>
      <c r="P2285" s="3">
        <f>SUM($O$2:Table1[[#This Row],[pctAllTimeExp]])</f>
        <v>0.99997963781783472</v>
      </c>
      <c r="Q2285" t="b">
        <f>Table1[[#This Row],[cumPctAllTimeExp]]&lt;0.95</f>
        <v>0</v>
      </c>
    </row>
    <row r="2286" spans="1:17" x14ac:dyDescent="0.25">
      <c r="A2286">
        <v>1382</v>
      </c>
      <c r="C2286" t="s">
        <v>2508</v>
      </c>
      <c r="E2286" t="s">
        <v>1384</v>
      </c>
      <c r="F2286" s="4">
        <v>0</v>
      </c>
      <c r="G2286" s="4">
        <v>0</v>
      </c>
      <c r="H2286" s="4">
        <v>0</v>
      </c>
      <c r="I2286" s="4">
        <v>100</v>
      </c>
      <c r="J2286" s="4">
        <v>0</v>
      </c>
      <c r="K2286" s="4">
        <v>0</v>
      </c>
      <c r="L2286" s="4">
        <v>0</v>
      </c>
      <c r="M2286" s="4">
        <v>0</v>
      </c>
      <c r="N2286" s="4">
        <f>SUM(Table1[[#This Row],[2025]:[2018]])</f>
        <v>100</v>
      </c>
      <c r="O2286" s="2">
        <f>Table1[[#This Row],[ttl]]/SUM(Table1[ttl])</f>
        <v>2.0164289826958134E-7</v>
      </c>
      <c r="P2286" s="3">
        <f>SUM($O$2:Table1[[#This Row],[pctAllTimeExp]])</f>
        <v>0.99997983946073299</v>
      </c>
      <c r="Q2286" t="b">
        <f>Table1[[#This Row],[cumPctAllTimeExp]]&lt;0.95</f>
        <v>0</v>
      </c>
    </row>
    <row r="2287" spans="1:17" x14ac:dyDescent="0.25">
      <c r="A2287">
        <v>1383</v>
      </c>
      <c r="C2287" t="s">
        <v>2508</v>
      </c>
      <c r="E2287" t="s">
        <v>1385</v>
      </c>
      <c r="F2287" s="4">
        <v>0</v>
      </c>
      <c r="G2287" s="4">
        <v>0</v>
      </c>
      <c r="H2287" s="4">
        <v>0</v>
      </c>
      <c r="I2287" s="4">
        <v>100</v>
      </c>
      <c r="J2287" s="4">
        <v>0</v>
      </c>
      <c r="K2287" s="4">
        <v>0</v>
      </c>
      <c r="L2287" s="4">
        <v>0</v>
      </c>
      <c r="M2287" s="4">
        <v>0</v>
      </c>
      <c r="N2287" s="4">
        <f>SUM(Table1[[#This Row],[2025]:[2018]])</f>
        <v>100</v>
      </c>
      <c r="O2287" s="2">
        <f>Table1[[#This Row],[ttl]]/SUM(Table1[ttl])</f>
        <v>2.0164289826958134E-7</v>
      </c>
      <c r="P2287" s="3">
        <f>SUM($O$2:Table1[[#This Row],[pctAllTimeExp]])</f>
        <v>0.99998004110363126</v>
      </c>
      <c r="Q2287" t="b">
        <f>Table1[[#This Row],[cumPctAllTimeExp]]&lt;0.95</f>
        <v>0</v>
      </c>
    </row>
    <row r="2288" spans="1:17" x14ac:dyDescent="0.25">
      <c r="A2288">
        <v>1384</v>
      </c>
      <c r="C2288" t="s">
        <v>2508</v>
      </c>
      <c r="E2288" t="s">
        <v>1386</v>
      </c>
      <c r="F2288" s="4">
        <v>0</v>
      </c>
      <c r="G2288" s="4">
        <v>0</v>
      </c>
      <c r="H2288" s="4">
        <v>0</v>
      </c>
      <c r="I2288" s="4">
        <v>100</v>
      </c>
      <c r="J2288" s="4">
        <v>0</v>
      </c>
      <c r="K2288" s="4">
        <v>0</v>
      </c>
      <c r="L2288" s="4">
        <v>0</v>
      </c>
      <c r="M2288" s="4">
        <v>0</v>
      </c>
      <c r="N2288" s="4">
        <f>SUM(Table1[[#This Row],[2025]:[2018]])</f>
        <v>100</v>
      </c>
      <c r="O2288" s="2">
        <f>Table1[[#This Row],[ttl]]/SUM(Table1[ttl])</f>
        <v>2.0164289826958134E-7</v>
      </c>
      <c r="P2288" s="3">
        <f>SUM($O$2:Table1[[#This Row],[pctAllTimeExp]])</f>
        <v>0.99998024274652952</v>
      </c>
      <c r="Q2288" t="b">
        <f>Table1[[#This Row],[cumPctAllTimeExp]]&lt;0.95</f>
        <v>0</v>
      </c>
    </row>
    <row r="2289" spans="1:17" x14ac:dyDescent="0.25">
      <c r="A2289">
        <v>1385</v>
      </c>
      <c r="C2289" t="s">
        <v>2508</v>
      </c>
      <c r="E2289" t="s">
        <v>1387</v>
      </c>
      <c r="F2289" s="4">
        <v>0</v>
      </c>
      <c r="G2289" s="4">
        <v>0</v>
      </c>
      <c r="H2289" s="4">
        <v>0</v>
      </c>
      <c r="I2289" s="4">
        <v>100</v>
      </c>
      <c r="J2289" s="4">
        <v>0</v>
      </c>
      <c r="K2289" s="4">
        <v>0</v>
      </c>
      <c r="L2289" s="4">
        <v>0</v>
      </c>
      <c r="M2289" s="4">
        <v>0</v>
      </c>
      <c r="N2289" s="4">
        <f>SUM(Table1[[#This Row],[2025]:[2018]])</f>
        <v>100</v>
      </c>
      <c r="O2289" s="2">
        <f>Table1[[#This Row],[ttl]]/SUM(Table1[ttl])</f>
        <v>2.0164289826958134E-7</v>
      </c>
      <c r="P2289" s="3">
        <f>SUM($O$2:Table1[[#This Row],[pctAllTimeExp]])</f>
        <v>0.99998044438942779</v>
      </c>
      <c r="Q2289" t="b">
        <f>Table1[[#This Row],[cumPctAllTimeExp]]&lt;0.95</f>
        <v>0</v>
      </c>
    </row>
    <row r="2290" spans="1:17" x14ac:dyDescent="0.25">
      <c r="A2290">
        <v>1614</v>
      </c>
      <c r="C2290" t="s">
        <v>2508</v>
      </c>
      <c r="E2290" t="s">
        <v>1616</v>
      </c>
      <c r="F2290" s="4">
        <v>0</v>
      </c>
      <c r="G2290" s="4">
        <v>0</v>
      </c>
      <c r="H2290" s="4">
        <v>0</v>
      </c>
      <c r="I2290" s="4">
        <v>0</v>
      </c>
      <c r="J2290" s="4">
        <v>100</v>
      </c>
      <c r="K2290" s="4">
        <v>0</v>
      </c>
      <c r="L2290" s="4">
        <v>0</v>
      </c>
      <c r="M2290" s="4">
        <v>0</v>
      </c>
      <c r="N2290" s="4">
        <f>SUM(Table1[[#This Row],[2025]:[2018]])</f>
        <v>100</v>
      </c>
      <c r="O2290" s="2">
        <f>Table1[[#This Row],[ttl]]/SUM(Table1[ttl])</f>
        <v>2.0164289826958134E-7</v>
      </c>
      <c r="P2290" s="3">
        <f>SUM($O$2:Table1[[#This Row],[pctAllTimeExp]])</f>
        <v>0.99998064603232606</v>
      </c>
      <c r="Q2290" t="b">
        <f>Table1[[#This Row],[cumPctAllTimeExp]]&lt;0.95</f>
        <v>0</v>
      </c>
    </row>
    <row r="2291" spans="1:17" x14ac:dyDescent="0.25">
      <c r="A2291">
        <v>1615</v>
      </c>
      <c r="C2291" t="s">
        <v>2508</v>
      </c>
      <c r="E2291" t="s">
        <v>1617</v>
      </c>
      <c r="F2291" s="4">
        <v>0</v>
      </c>
      <c r="G2291" s="4">
        <v>0</v>
      </c>
      <c r="H2291" s="4">
        <v>0</v>
      </c>
      <c r="I2291" s="4">
        <v>0</v>
      </c>
      <c r="J2291" s="4">
        <v>100</v>
      </c>
      <c r="K2291" s="4">
        <v>0</v>
      </c>
      <c r="L2291" s="4">
        <v>0</v>
      </c>
      <c r="M2291" s="4">
        <v>0</v>
      </c>
      <c r="N2291" s="4">
        <f>SUM(Table1[[#This Row],[2025]:[2018]])</f>
        <v>100</v>
      </c>
      <c r="O2291" s="2">
        <f>Table1[[#This Row],[ttl]]/SUM(Table1[ttl])</f>
        <v>2.0164289826958134E-7</v>
      </c>
      <c r="P2291" s="3">
        <f>SUM($O$2:Table1[[#This Row],[pctAllTimeExp]])</f>
        <v>0.99998084767522433</v>
      </c>
      <c r="Q2291" t="b">
        <f>Table1[[#This Row],[cumPctAllTimeExp]]&lt;0.95</f>
        <v>0</v>
      </c>
    </row>
    <row r="2292" spans="1:17" x14ac:dyDescent="0.25">
      <c r="A2292">
        <v>1915</v>
      </c>
      <c r="C2292" t="s">
        <v>2508</v>
      </c>
      <c r="E2292" t="s">
        <v>1917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4">
        <v>100</v>
      </c>
      <c r="L2292" s="4">
        <v>0</v>
      </c>
      <c r="M2292" s="4">
        <v>0</v>
      </c>
      <c r="N2292" s="4">
        <f>SUM(Table1[[#This Row],[2025]:[2018]])</f>
        <v>100</v>
      </c>
      <c r="O2292" s="2">
        <f>Table1[[#This Row],[ttl]]/SUM(Table1[ttl])</f>
        <v>2.0164289826958134E-7</v>
      </c>
      <c r="P2292" s="3">
        <f>SUM($O$2:Table1[[#This Row],[pctAllTimeExp]])</f>
        <v>0.99998104931812259</v>
      </c>
      <c r="Q2292" t="b">
        <f>Table1[[#This Row],[cumPctAllTimeExp]]&lt;0.95</f>
        <v>0</v>
      </c>
    </row>
    <row r="2293" spans="1:17" x14ac:dyDescent="0.25">
      <c r="A2293">
        <v>1916</v>
      </c>
      <c r="C2293" t="s">
        <v>2508</v>
      </c>
      <c r="E2293" t="s">
        <v>1918</v>
      </c>
      <c r="F2293" s="4">
        <v>0</v>
      </c>
      <c r="G2293" s="4">
        <v>0</v>
      </c>
      <c r="H2293" s="4">
        <v>0</v>
      </c>
      <c r="I2293" s="4">
        <v>0</v>
      </c>
      <c r="J2293" s="4">
        <v>0</v>
      </c>
      <c r="K2293" s="4">
        <v>100</v>
      </c>
      <c r="L2293" s="4">
        <v>0</v>
      </c>
      <c r="M2293" s="4">
        <v>0</v>
      </c>
      <c r="N2293" s="4">
        <f>SUM(Table1[[#This Row],[2025]:[2018]])</f>
        <v>100</v>
      </c>
      <c r="O2293" s="2">
        <f>Table1[[#This Row],[ttl]]/SUM(Table1[ttl])</f>
        <v>2.0164289826958134E-7</v>
      </c>
      <c r="P2293" s="3">
        <f>SUM($O$2:Table1[[#This Row],[pctAllTimeExp]])</f>
        <v>0.99998125096102086</v>
      </c>
      <c r="Q2293" t="b">
        <f>Table1[[#This Row],[cumPctAllTimeExp]]&lt;0.95</f>
        <v>0</v>
      </c>
    </row>
    <row r="2294" spans="1:17" x14ac:dyDescent="0.25">
      <c r="A2294">
        <v>2206</v>
      </c>
      <c r="C2294" t="s">
        <v>2508</v>
      </c>
      <c r="E2294" t="s">
        <v>2208</v>
      </c>
      <c r="F2294" s="4">
        <v>0</v>
      </c>
      <c r="G2294" s="4">
        <v>0</v>
      </c>
      <c r="H2294" s="4">
        <v>0</v>
      </c>
      <c r="I2294" s="4">
        <v>0</v>
      </c>
      <c r="J2294" s="4">
        <v>0</v>
      </c>
      <c r="K2294" s="4">
        <v>0</v>
      </c>
      <c r="L2294" s="4">
        <v>100</v>
      </c>
      <c r="M2294" s="4">
        <v>0</v>
      </c>
      <c r="N2294" s="4">
        <f>SUM(Table1[[#This Row],[2025]:[2018]])</f>
        <v>100</v>
      </c>
      <c r="O2294" s="2">
        <f>Table1[[#This Row],[ttl]]/SUM(Table1[ttl])</f>
        <v>2.0164289826958134E-7</v>
      </c>
      <c r="P2294" s="3">
        <f>SUM($O$2:Table1[[#This Row],[pctAllTimeExp]])</f>
        <v>0.99998145260391913</v>
      </c>
      <c r="Q2294" t="b">
        <f>Table1[[#This Row],[cumPctAllTimeExp]]&lt;0.95</f>
        <v>0</v>
      </c>
    </row>
    <row r="2295" spans="1:17" x14ac:dyDescent="0.25">
      <c r="A2295">
        <v>2207</v>
      </c>
      <c r="C2295" t="s">
        <v>2508</v>
      </c>
      <c r="E2295" t="s">
        <v>2209</v>
      </c>
      <c r="F2295" s="4">
        <v>0</v>
      </c>
      <c r="G2295" s="4">
        <v>0</v>
      </c>
      <c r="H2295" s="4">
        <v>0</v>
      </c>
      <c r="I2295" s="4">
        <v>0</v>
      </c>
      <c r="J2295" s="4">
        <v>0</v>
      </c>
      <c r="K2295" s="4">
        <v>0</v>
      </c>
      <c r="L2295" s="4">
        <v>100</v>
      </c>
      <c r="M2295" s="4">
        <v>0</v>
      </c>
      <c r="N2295" s="4">
        <f>SUM(Table1[[#This Row],[2025]:[2018]])</f>
        <v>100</v>
      </c>
      <c r="O2295" s="2">
        <f>Table1[[#This Row],[ttl]]/SUM(Table1[ttl])</f>
        <v>2.0164289826958134E-7</v>
      </c>
      <c r="P2295" s="3">
        <f>SUM($O$2:Table1[[#This Row],[pctAllTimeExp]])</f>
        <v>0.9999816542468174</v>
      </c>
      <c r="Q2295" t="b">
        <f>Table1[[#This Row],[cumPctAllTimeExp]]&lt;0.95</f>
        <v>0</v>
      </c>
    </row>
    <row r="2296" spans="1:17" x14ac:dyDescent="0.25">
      <c r="A2296">
        <v>2221</v>
      </c>
      <c r="C2296" t="s">
        <v>2508</v>
      </c>
      <c r="E2296" t="s">
        <v>2223</v>
      </c>
      <c r="F2296" s="4">
        <v>0</v>
      </c>
      <c r="G2296" s="4">
        <v>0</v>
      </c>
      <c r="H2296" s="4">
        <v>0</v>
      </c>
      <c r="I2296" s="4">
        <v>0</v>
      </c>
      <c r="J2296" s="4">
        <v>0</v>
      </c>
      <c r="K2296" s="4">
        <v>0</v>
      </c>
      <c r="L2296" s="4">
        <v>60</v>
      </c>
      <c r="M2296" s="4">
        <v>40</v>
      </c>
      <c r="N2296" s="4">
        <f>SUM(Table1[[#This Row],[2025]:[2018]])</f>
        <v>100</v>
      </c>
      <c r="O2296" s="2">
        <f>Table1[[#This Row],[ttl]]/SUM(Table1[ttl])</f>
        <v>2.0164289826958134E-7</v>
      </c>
      <c r="P2296" s="3">
        <f>SUM($O$2:Table1[[#This Row],[pctAllTimeExp]])</f>
        <v>0.99998185588971567</v>
      </c>
      <c r="Q2296" t="b">
        <f>Table1[[#This Row],[cumPctAllTimeExp]]&lt;0.95</f>
        <v>0</v>
      </c>
    </row>
    <row r="2297" spans="1:17" x14ac:dyDescent="0.25">
      <c r="A2297">
        <v>2453</v>
      </c>
      <c r="C2297" t="s">
        <v>2508</v>
      </c>
      <c r="E2297" t="s">
        <v>2455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  <c r="L2297" s="4">
        <v>0</v>
      </c>
      <c r="M2297" s="4">
        <v>100</v>
      </c>
      <c r="N2297" s="4">
        <f>SUM(Table1[[#This Row],[2025]:[2018]])</f>
        <v>100</v>
      </c>
      <c r="O2297" s="2">
        <f>Table1[[#This Row],[ttl]]/SUM(Table1[ttl])</f>
        <v>2.0164289826958134E-7</v>
      </c>
      <c r="P2297" s="3">
        <f>SUM($O$2:Table1[[#This Row],[pctAllTimeExp]])</f>
        <v>0.99998205753261393</v>
      </c>
      <c r="Q2297" t="b">
        <f>Table1[[#This Row],[cumPctAllTimeExp]]&lt;0.95</f>
        <v>0</v>
      </c>
    </row>
    <row r="2298" spans="1:17" x14ac:dyDescent="0.25">
      <c r="A2298">
        <v>2454</v>
      </c>
      <c r="C2298" t="s">
        <v>2508</v>
      </c>
      <c r="E2298" t="s">
        <v>2456</v>
      </c>
      <c r="F2298" s="4">
        <v>0</v>
      </c>
      <c r="G2298" s="4">
        <v>0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100</v>
      </c>
      <c r="N2298" s="4">
        <f>SUM(Table1[[#This Row],[2025]:[2018]])</f>
        <v>100</v>
      </c>
      <c r="O2298" s="2">
        <f>Table1[[#This Row],[ttl]]/SUM(Table1[ttl])</f>
        <v>2.0164289826958134E-7</v>
      </c>
      <c r="P2298" s="3">
        <f>SUM($O$2:Table1[[#This Row],[pctAllTimeExp]])</f>
        <v>0.9999822591755122</v>
      </c>
      <c r="Q2298" t="b">
        <f>Table1[[#This Row],[cumPctAllTimeExp]]&lt;0.95</f>
        <v>0</v>
      </c>
    </row>
    <row r="2299" spans="1:17" x14ac:dyDescent="0.25">
      <c r="A2299">
        <v>2455</v>
      </c>
      <c r="C2299" t="s">
        <v>2508</v>
      </c>
      <c r="E2299" t="s">
        <v>2457</v>
      </c>
      <c r="F2299" s="4">
        <v>0</v>
      </c>
      <c r="G2299" s="4">
        <v>0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4">
        <v>100</v>
      </c>
      <c r="N2299" s="4">
        <f>SUM(Table1[[#This Row],[2025]:[2018]])</f>
        <v>100</v>
      </c>
      <c r="O2299" s="2">
        <f>Table1[[#This Row],[ttl]]/SUM(Table1[ttl])</f>
        <v>2.0164289826958134E-7</v>
      </c>
      <c r="P2299" s="3">
        <f>SUM($O$2:Table1[[#This Row],[pctAllTimeExp]])</f>
        <v>0.99998246081841047</v>
      </c>
      <c r="Q2299" t="b">
        <f>Table1[[#This Row],[cumPctAllTimeExp]]&lt;0.95</f>
        <v>0</v>
      </c>
    </row>
    <row r="2300" spans="1:17" x14ac:dyDescent="0.25">
      <c r="A2300">
        <v>2456</v>
      </c>
      <c r="C2300" t="s">
        <v>2508</v>
      </c>
      <c r="E2300" t="s">
        <v>2458</v>
      </c>
      <c r="F2300" s="4">
        <v>0</v>
      </c>
      <c r="G2300" s="4">
        <v>0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100</v>
      </c>
      <c r="N2300" s="4">
        <f>SUM(Table1[[#This Row],[2025]:[2018]])</f>
        <v>100</v>
      </c>
      <c r="O2300" s="2">
        <f>Table1[[#This Row],[ttl]]/SUM(Table1[ttl])</f>
        <v>2.0164289826958134E-7</v>
      </c>
      <c r="P2300" s="3">
        <f>SUM($O$2:Table1[[#This Row],[pctAllTimeExp]])</f>
        <v>0.99998266246130874</v>
      </c>
      <c r="Q2300" t="b">
        <f>Table1[[#This Row],[cumPctAllTimeExp]]&lt;0.95</f>
        <v>0</v>
      </c>
    </row>
    <row r="2301" spans="1:17" x14ac:dyDescent="0.25">
      <c r="A2301">
        <v>669</v>
      </c>
      <c r="C2301" t="s">
        <v>2508</v>
      </c>
      <c r="E2301" t="s">
        <v>671</v>
      </c>
      <c r="F2301" s="4">
        <v>99.64</v>
      </c>
      <c r="G2301" s="4">
        <v>0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f>SUM(Table1[[#This Row],[2025]:[2018]])</f>
        <v>99.64</v>
      </c>
      <c r="O2301" s="2">
        <f>Table1[[#This Row],[ttl]]/SUM(Table1[ttl])</f>
        <v>2.0091698383581086E-7</v>
      </c>
      <c r="P2301" s="3">
        <f>SUM($O$2:Table1[[#This Row],[pctAllTimeExp]])</f>
        <v>0.99998286337829256</v>
      </c>
      <c r="Q2301" t="b">
        <f>Table1[[#This Row],[cumPctAllTimeExp]]&lt;0.95</f>
        <v>0</v>
      </c>
    </row>
    <row r="2302" spans="1:17" x14ac:dyDescent="0.25">
      <c r="A2302">
        <v>1386</v>
      </c>
      <c r="C2302" t="s">
        <v>2508</v>
      </c>
      <c r="E2302" t="s">
        <v>1388</v>
      </c>
      <c r="F2302" s="4">
        <v>0</v>
      </c>
      <c r="G2302" s="4">
        <v>0</v>
      </c>
      <c r="H2302" s="4">
        <v>0</v>
      </c>
      <c r="I2302" s="4">
        <v>95</v>
      </c>
      <c r="J2302" s="4">
        <v>0</v>
      </c>
      <c r="K2302" s="4">
        <v>0</v>
      </c>
      <c r="L2302" s="4">
        <v>0</v>
      </c>
      <c r="M2302" s="4">
        <v>0</v>
      </c>
      <c r="N2302" s="4">
        <f>SUM(Table1[[#This Row],[2025]:[2018]])</f>
        <v>95</v>
      </c>
      <c r="O2302" s="2">
        <f>Table1[[#This Row],[ttl]]/SUM(Table1[ttl])</f>
        <v>1.9156075335610229E-7</v>
      </c>
      <c r="P2302" s="3">
        <f>SUM($O$2:Table1[[#This Row],[pctAllTimeExp]])</f>
        <v>0.99998305493904593</v>
      </c>
      <c r="Q2302" t="b">
        <f>Table1[[#This Row],[cumPctAllTimeExp]]&lt;0.95</f>
        <v>0</v>
      </c>
    </row>
    <row r="2303" spans="1:17" x14ac:dyDescent="0.25">
      <c r="A2303">
        <v>937</v>
      </c>
      <c r="C2303" t="s">
        <v>2508</v>
      </c>
      <c r="E2303" t="s">
        <v>939</v>
      </c>
      <c r="F2303" s="4">
        <v>0</v>
      </c>
      <c r="G2303" s="4">
        <v>93.5</v>
      </c>
      <c r="H2303" s="4">
        <v>0</v>
      </c>
      <c r="I2303" s="4">
        <v>0</v>
      </c>
      <c r="J2303" s="4">
        <v>0</v>
      </c>
      <c r="K2303" s="4">
        <v>0</v>
      </c>
      <c r="L2303" s="4">
        <v>0</v>
      </c>
      <c r="M2303" s="4">
        <v>0</v>
      </c>
      <c r="N2303" s="4">
        <f>SUM(Table1[[#This Row],[2025]:[2018]])</f>
        <v>93.5</v>
      </c>
      <c r="O2303" s="2">
        <f>Table1[[#This Row],[ttl]]/SUM(Table1[ttl])</f>
        <v>1.8853610988205857E-7</v>
      </c>
      <c r="P2303" s="3">
        <f>SUM($O$2:Table1[[#This Row],[pctAllTimeExp]])</f>
        <v>0.99998324347515577</v>
      </c>
      <c r="Q2303" t="b">
        <f>Table1[[#This Row],[cumPctAllTimeExp]]&lt;0.95</f>
        <v>0</v>
      </c>
    </row>
    <row r="2304" spans="1:17" x14ac:dyDescent="0.25">
      <c r="A2304">
        <v>1178</v>
      </c>
      <c r="C2304" t="s">
        <v>2508</v>
      </c>
      <c r="E2304" t="s">
        <v>1180</v>
      </c>
      <c r="F2304" s="4">
        <v>0</v>
      </c>
      <c r="G2304" s="4">
        <v>0</v>
      </c>
      <c r="H2304" s="4">
        <v>90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f>SUM(Table1[[#This Row],[2025]:[2018]])</f>
        <v>90</v>
      </c>
      <c r="O2304" s="2">
        <f>Table1[[#This Row],[ttl]]/SUM(Table1[ttl])</f>
        <v>1.8147860844262322E-7</v>
      </c>
      <c r="P2304" s="3">
        <f>SUM($O$2:Table1[[#This Row],[pctAllTimeExp]])</f>
        <v>0.99998342495376424</v>
      </c>
      <c r="Q2304" t="b">
        <f>Table1[[#This Row],[cumPctAllTimeExp]]&lt;0.95</f>
        <v>0</v>
      </c>
    </row>
    <row r="2305" spans="1:17" x14ac:dyDescent="0.25">
      <c r="A2305">
        <v>1617</v>
      </c>
      <c r="C2305" t="s">
        <v>2508</v>
      </c>
      <c r="E2305" t="s">
        <v>1619</v>
      </c>
      <c r="F2305" s="4">
        <v>0</v>
      </c>
      <c r="G2305" s="4">
        <v>0</v>
      </c>
      <c r="H2305" s="4">
        <v>0</v>
      </c>
      <c r="I2305" s="4">
        <v>0</v>
      </c>
      <c r="J2305" s="4">
        <v>90</v>
      </c>
      <c r="K2305" s="4">
        <v>0</v>
      </c>
      <c r="L2305" s="4">
        <v>0</v>
      </c>
      <c r="M2305" s="4">
        <v>0</v>
      </c>
      <c r="N2305" s="4">
        <f>SUM(Table1[[#This Row],[2025]:[2018]])</f>
        <v>90</v>
      </c>
      <c r="O2305" s="2">
        <f>Table1[[#This Row],[ttl]]/SUM(Table1[ttl])</f>
        <v>1.8147860844262322E-7</v>
      </c>
      <c r="P2305" s="3">
        <f>SUM($O$2:Table1[[#This Row],[pctAllTimeExp]])</f>
        <v>0.99998360643237272</v>
      </c>
      <c r="Q2305" t="b">
        <f>Table1[[#This Row],[cumPctAllTimeExp]]&lt;0.95</f>
        <v>0</v>
      </c>
    </row>
    <row r="2306" spans="1:17" x14ac:dyDescent="0.25">
      <c r="A2306">
        <v>2209</v>
      </c>
      <c r="C2306" t="s">
        <v>2508</v>
      </c>
      <c r="E2306" t="s">
        <v>2211</v>
      </c>
      <c r="F2306" s="4">
        <v>0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  <c r="L2306" s="4">
        <v>90</v>
      </c>
      <c r="M2306" s="4">
        <v>0</v>
      </c>
      <c r="N2306" s="4">
        <f>SUM(Table1[[#This Row],[2025]:[2018]])</f>
        <v>90</v>
      </c>
      <c r="O2306" s="2">
        <f>Table1[[#This Row],[ttl]]/SUM(Table1[ttl])</f>
        <v>1.8147860844262322E-7</v>
      </c>
      <c r="P2306" s="3">
        <f>SUM($O$2:Table1[[#This Row],[pctAllTimeExp]])</f>
        <v>0.99998378791098119</v>
      </c>
      <c r="Q2306" t="b">
        <f>Table1[[#This Row],[cumPctAllTimeExp]]&lt;0.95</f>
        <v>0</v>
      </c>
    </row>
    <row r="2307" spans="1:17" x14ac:dyDescent="0.25">
      <c r="A2307">
        <v>2223</v>
      </c>
      <c r="C2307" t="s">
        <v>2508</v>
      </c>
      <c r="E2307" t="s">
        <v>2225</v>
      </c>
      <c r="F2307" s="4">
        <v>0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45</v>
      </c>
      <c r="M2307" s="4">
        <v>45</v>
      </c>
      <c r="N2307" s="4">
        <f>SUM(Table1[[#This Row],[2025]:[2018]])</f>
        <v>90</v>
      </c>
      <c r="O2307" s="2">
        <f>Table1[[#This Row],[ttl]]/SUM(Table1[ttl])</f>
        <v>1.8147860844262322E-7</v>
      </c>
      <c r="P2307" s="3">
        <f>SUM($O$2:Table1[[#This Row],[pctAllTimeExp]])</f>
        <v>0.99998396938958967</v>
      </c>
      <c r="Q2307" t="b">
        <f>Table1[[#This Row],[cumPctAllTimeExp]]&lt;0.95</f>
        <v>0</v>
      </c>
    </row>
    <row r="2308" spans="1:17" x14ac:dyDescent="0.25">
      <c r="A2308">
        <v>2457</v>
      </c>
      <c r="C2308" t="s">
        <v>2508</v>
      </c>
      <c r="E2308" t="s">
        <v>2459</v>
      </c>
      <c r="F2308" s="4">
        <v>0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  <c r="L2308" s="4">
        <v>0</v>
      </c>
      <c r="M2308" s="4">
        <v>90</v>
      </c>
      <c r="N2308" s="4">
        <f>SUM(Table1[[#This Row],[2025]:[2018]])</f>
        <v>90</v>
      </c>
      <c r="O2308" s="2">
        <f>Table1[[#This Row],[ttl]]/SUM(Table1[ttl])</f>
        <v>1.8147860844262322E-7</v>
      </c>
      <c r="P2308" s="3">
        <f>SUM($O$2:Table1[[#This Row],[pctAllTimeExp]])</f>
        <v>0.99998415086819814</v>
      </c>
      <c r="Q2308" t="b">
        <f>Table1[[#This Row],[cumPctAllTimeExp]]&lt;0.95</f>
        <v>0</v>
      </c>
    </row>
    <row r="2309" spans="1:17" x14ac:dyDescent="0.25">
      <c r="A2309">
        <v>2458</v>
      </c>
      <c r="C2309" t="s">
        <v>2508</v>
      </c>
      <c r="E2309" t="s">
        <v>2460</v>
      </c>
      <c r="F2309" s="4">
        <v>0</v>
      </c>
      <c r="G2309" s="4">
        <v>0</v>
      </c>
      <c r="H2309" s="4">
        <v>0</v>
      </c>
      <c r="I2309" s="4">
        <v>0</v>
      </c>
      <c r="J2309" s="4">
        <v>0</v>
      </c>
      <c r="K2309" s="4">
        <v>0</v>
      </c>
      <c r="L2309" s="4">
        <v>0</v>
      </c>
      <c r="M2309" s="4">
        <v>90</v>
      </c>
      <c r="N2309" s="4">
        <f>SUM(Table1[[#This Row],[2025]:[2018]])</f>
        <v>90</v>
      </c>
      <c r="O2309" s="2">
        <f>Table1[[#This Row],[ttl]]/SUM(Table1[ttl])</f>
        <v>1.8147860844262322E-7</v>
      </c>
      <c r="P2309" s="3">
        <f>SUM($O$2:Table1[[#This Row],[pctAllTimeExp]])</f>
        <v>0.99998433234680661</v>
      </c>
      <c r="Q2309" t="b">
        <f>Table1[[#This Row],[cumPctAllTimeExp]]&lt;0.95</f>
        <v>0</v>
      </c>
    </row>
    <row r="2310" spans="1:17" x14ac:dyDescent="0.25">
      <c r="A2310">
        <v>1919</v>
      </c>
      <c r="C2310" t="s">
        <v>2508</v>
      </c>
      <c r="E2310" t="s">
        <v>1921</v>
      </c>
      <c r="F2310" s="4">
        <v>0</v>
      </c>
      <c r="G2310" s="4">
        <v>0</v>
      </c>
      <c r="H2310" s="4">
        <v>0</v>
      </c>
      <c r="I2310" s="4">
        <v>0</v>
      </c>
      <c r="J2310" s="4">
        <v>0</v>
      </c>
      <c r="K2310" s="4">
        <v>88.12</v>
      </c>
      <c r="L2310" s="4">
        <v>0</v>
      </c>
      <c r="M2310" s="4">
        <v>0</v>
      </c>
      <c r="N2310" s="4">
        <f>SUM(Table1[[#This Row],[2025]:[2018]])</f>
        <v>88.12</v>
      </c>
      <c r="O2310" s="2">
        <f>Table1[[#This Row],[ttl]]/SUM(Table1[ttl])</f>
        <v>1.776877219551551E-7</v>
      </c>
      <c r="P2310" s="3">
        <f>SUM($O$2:Table1[[#This Row],[pctAllTimeExp]])</f>
        <v>0.9999845100345286</v>
      </c>
      <c r="Q2310" t="b">
        <f>Table1[[#This Row],[cumPctAllTimeExp]]&lt;0.95</f>
        <v>0</v>
      </c>
    </row>
    <row r="2311" spans="1:17" x14ac:dyDescent="0.25">
      <c r="A2311">
        <v>1618</v>
      </c>
      <c r="C2311" t="s">
        <v>2508</v>
      </c>
      <c r="E2311" t="s">
        <v>1620</v>
      </c>
      <c r="F2311" s="4">
        <v>0</v>
      </c>
      <c r="G2311" s="4">
        <v>0</v>
      </c>
      <c r="H2311" s="4">
        <v>0</v>
      </c>
      <c r="I2311" s="4">
        <v>0</v>
      </c>
      <c r="J2311" s="4">
        <v>83.5</v>
      </c>
      <c r="K2311" s="4">
        <v>0</v>
      </c>
      <c r="L2311" s="4">
        <v>0</v>
      </c>
      <c r="M2311" s="4">
        <v>0</v>
      </c>
      <c r="N2311" s="4">
        <f>SUM(Table1[[#This Row],[2025]:[2018]])</f>
        <v>83.5</v>
      </c>
      <c r="O2311" s="2">
        <f>Table1[[#This Row],[ttl]]/SUM(Table1[ttl])</f>
        <v>1.6837182005510042E-7</v>
      </c>
      <c r="P2311" s="3">
        <f>SUM($O$2:Table1[[#This Row],[pctAllTimeExp]])</f>
        <v>0.99998467840634864</v>
      </c>
      <c r="Q2311" t="b">
        <f>Table1[[#This Row],[cumPctAllTimeExp]]&lt;0.95</f>
        <v>0</v>
      </c>
    </row>
    <row r="2312" spans="1:17" x14ac:dyDescent="0.25">
      <c r="A2312">
        <v>938</v>
      </c>
      <c r="C2312" t="s">
        <v>2508</v>
      </c>
      <c r="E2312" t="s">
        <v>940</v>
      </c>
      <c r="F2312" s="4">
        <v>0</v>
      </c>
      <c r="G2312" s="4">
        <v>82</v>
      </c>
      <c r="H2312" s="4">
        <v>0</v>
      </c>
      <c r="I2312" s="4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f>SUM(Table1[[#This Row],[2025]:[2018]])</f>
        <v>82</v>
      </c>
      <c r="O2312" s="2">
        <f>Table1[[#This Row],[ttl]]/SUM(Table1[ttl])</f>
        <v>1.653471765810567E-7</v>
      </c>
      <c r="P2312" s="3">
        <f>SUM($O$2:Table1[[#This Row],[pctAllTimeExp]])</f>
        <v>0.99998484375352525</v>
      </c>
      <c r="Q2312" t="b">
        <f>Table1[[#This Row],[cumPctAllTimeExp]]&lt;0.95</f>
        <v>0</v>
      </c>
    </row>
    <row r="2313" spans="1:17" x14ac:dyDescent="0.25">
      <c r="A2313">
        <v>2459</v>
      </c>
      <c r="C2313" t="s">
        <v>2508</v>
      </c>
      <c r="E2313" t="s">
        <v>2461</v>
      </c>
      <c r="F2313" s="4">
        <v>0</v>
      </c>
      <c r="G2313" s="4">
        <v>0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81.900000000000006</v>
      </c>
      <c r="N2313" s="4">
        <f>SUM(Table1[[#This Row],[2025]:[2018]])</f>
        <v>81.900000000000006</v>
      </c>
      <c r="O2313" s="2">
        <f>Table1[[#This Row],[ttl]]/SUM(Table1[ttl])</f>
        <v>1.6514553368278713E-7</v>
      </c>
      <c r="P2313" s="3">
        <f>SUM($O$2:Table1[[#This Row],[pctAllTimeExp]])</f>
        <v>0.99998500889905895</v>
      </c>
      <c r="Q2313" t="b">
        <f>Table1[[#This Row],[cumPctAllTimeExp]]&lt;0.95</f>
        <v>0</v>
      </c>
    </row>
    <row r="2314" spans="1:17" x14ac:dyDescent="0.25">
      <c r="A2314">
        <v>2460</v>
      </c>
      <c r="C2314" t="s">
        <v>2508</v>
      </c>
      <c r="E2314" t="s">
        <v>2462</v>
      </c>
      <c r="F2314" s="4">
        <v>0</v>
      </c>
      <c r="G2314" s="4">
        <v>0</v>
      </c>
      <c r="H2314" s="4">
        <v>0</v>
      </c>
      <c r="I2314" s="4">
        <v>0</v>
      </c>
      <c r="J2314" s="4">
        <v>0</v>
      </c>
      <c r="K2314" s="4">
        <v>0</v>
      </c>
      <c r="L2314" s="4">
        <v>0</v>
      </c>
      <c r="M2314" s="4">
        <v>80.39</v>
      </c>
      <c r="N2314" s="4">
        <f>SUM(Table1[[#This Row],[2025]:[2018]])</f>
        <v>80.39</v>
      </c>
      <c r="O2314" s="2">
        <f>Table1[[#This Row],[ttl]]/SUM(Table1[ttl])</f>
        <v>1.6210072591891644E-7</v>
      </c>
      <c r="P2314" s="3">
        <f>SUM($O$2:Table1[[#This Row],[pctAllTimeExp]])</f>
        <v>0.9999851709997849</v>
      </c>
      <c r="Q2314" t="b">
        <f>Table1[[#This Row],[cumPctAllTimeExp]]&lt;0.95</f>
        <v>0</v>
      </c>
    </row>
    <row r="2315" spans="1:17" x14ac:dyDescent="0.25">
      <c r="A2315">
        <v>672</v>
      </c>
      <c r="C2315" t="s">
        <v>2508</v>
      </c>
      <c r="E2315" t="s">
        <v>674</v>
      </c>
      <c r="F2315" s="4">
        <v>80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f>SUM(Table1[[#This Row],[2025]:[2018]])</f>
        <v>80</v>
      </c>
      <c r="O2315" s="2">
        <f>Table1[[#This Row],[ttl]]/SUM(Table1[ttl])</f>
        <v>1.6131431861566508E-7</v>
      </c>
      <c r="P2315" s="3">
        <f>SUM($O$2:Table1[[#This Row],[pctAllTimeExp]])</f>
        <v>0.99998533231410347</v>
      </c>
      <c r="Q2315" t="b">
        <f>Table1[[#This Row],[cumPctAllTimeExp]]&lt;0.95</f>
        <v>0</v>
      </c>
    </row>
    <row r="2316" spans="1:17" x14ac:dyDescent="0.25">
      <c r="A2316">
        <v>673</v>
      </c>
      <c r="C2316" t="s">
        <v>2508</v>
      </c>
      <c r="E2316" t="s">
        <v>675</v>
      </c>
      <c r="F2316" s="4">
        <v>80</v>
      </c>
      <c r="G2316" s="4">
        <v>0</v>
      </c>
      <c r="H2316" s="4">
        <v>0</v>
      </c>
      <c r="I2316" s="4">
        <v>0</v>
      </c>
      <c r="J2316" s="4">
        <v>0</v>
      </c>
      <c r="K2316" s="4">
        <v>0</v>
      </c>
      <c r="L2316" s="4">
        <v>0</v>
      </c>
      <c r="M2316" s="4">
        <v>0</v>
      </c>
      <c r="N2316" s="4">
        <f>SUM(Table1[[#This Row],[2025]:[2018]])</f>
        <v>80</v>
      </c>
      <c r="O2316" s="2">
        <f>Table1[[#This Row],[ttl]]/SUM(Table1[ttl])</f>
        <v>1.6131431861566508E-7</v>
      </c>
      <c r="P2316" s="3">
        <f>SUM($O$2:Table1[[#This Row],[pctAllTimeExp]])</f>
        <v>0.99998549362842204</v>
      </c>
      <c r="Q2316" t="b">
        <f>Table1[[#This Row],[cumPctAllTimeExp]]&lt;0.95</f>
        <v>0</v>
      </c>
    </row>
    <row r="2317" spans="1:17" x14ac:dyDescent="0.25">
      <c r="A2317">
        <v>1179</v>
      </c>
      <c r="C2317" t="s">
        <v>2508</v>
      </c>
      <c r="E2317" t="s">
        <v>1181</v>
      </c>
      <c r="F2317" s="4">
        <v>0</v>
      </c>
      <c r="G2317" s="4">
        <v>0</v>
      </c>
      <c r="H2317" s="4">
        <v>80</v>
      </c>
      <c r="I2317" s="4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f>SUM(Table1[[#This Row],[2025]:[2018]])</f>
        <v>80</v>
      </c>
      <c r="O2317" s="2">
        <f>Table1[[#This Row],[ttl]]/SUM(Table1[ttl])</f>
        <v>1.6131431861566508E-7</v>
      </c>
      <c r="P2317" s="3">
        <f>SUM($O$2:Table1[[#This Row],[pctAllTimeExp]])</f>
        <v>0.99998565494274061</v>
      </c>
      <c r="Q2317" t="b">
        <f>Table1[[#This Row],[cumPctAllTimeExp]]&lt;0.95</f>
        <v>0</v>
      </c>
    </row>
    <row r="2318" spans="1:17" x14ac:dyDescent="0.25">
      <c r="A2318">
        <v>1619</v>
      </c>
      <c r="C2318" t="s">
        <v>2508</v>
      </c>
      <c r="E2318" t="s">
        <v>1621</v>
      </c>
      <c r="F2318" s="4">
        <v>0</v>
      </c>
      <c r="G2318" s="4">
        <v>0</v>
      </c>
      <c r="H2318" s="4">
        <v>0</v>
      </c>
      <c r="I2318" s="4">
        <v>0</v>
      </c>
      <c r="J2318" s="4">
        <v>80</v>
      </c>
      <c r="K2318" s="4">
        <v>0</v>
      </c>
      <c r="L2318" s="4">
        <v>0</v>
      </c>
      <c r="M2318" s="4">
        <v>0</v>
      </c>
      <c r="N2318" s="4">
        <f>SUM(Table1[[#This Row],[2025]:[2018]])</f>
        <v>80</v>
      </c>
      <c r="O2318" s="2">
        <f>Table1[[#This Row],[ttl]]/SUM(Table1[ttl])</f>
        <v>1.6131431861566508E-7</v>
      </c>
      <c r="P2318" s="3">
        <f>SUM($O$2:Table1[[#This Row],[pctAllTimeExp]])</f>
        <v>0.99998581625705918</v>
      </c>
      <c r="Q2318" t="b">
        <f>Table1[[#This Row],[cumPctAllTimeExp]]&lt;0.95</f>
        <v>0</v>
      </c>
    </row>
    <row r="2319" spans="1:17" x14ac:dyDescent="0.25">
      <c r="A2319">
        <v>1920</v>
      </c>
      <c r="C2319" t="s">
        <v>2508</v>
      </c>
      <c r="E2319" t="s">
        <v>1922</v>
      </c>
      <c r="F2319" s="4">
        <v>0</v>
      </c>
      <c r="G2319" s="4">
        <v>0</v>
      </c>
      <c r="H2319" s="4">
        <v>0</v>
      </c>
      <c r="I2319" s="4">
        <v>0</v>
      </c>
      <c r="J2319" s="4">
        <v>0</v>
      </c>
      <c r="K2319" s="4">
        <v>80</v>
      </c>
      <c r="L2319" s="4">
        <v>0</v>
      </c>
      <c r="M2319" s="4">
        <v>0</v>
      </c>
      <c r="N2319" s="4">
        <f>SUM(Table1[[#This Row],[2025]:[2018]])</f>
        <v>80</v>
      </c>
      <c r="O2319" s="2">
        <f>Table1[[#This Row],[ttl]]/SUM(Table1[ttl])</f>
        <v>1.6131431861566508E-7</v>
      </c>
      <c r="P2319" s="3">
        <f>SUM($O$2:Table1[[#This Row],[pctAllTimeExp]])</f>
        <v>0.99998597757137775</v>
      </c>
      <c r="Q2319" t="b">
        <f>Table1[[#This Row],[cumPctAllTimeExp]]&lt;0.95</f>
        <v>0</v>
      </c>
    </row>
    <row r="2320" spans="1:17" x14ac:dyDescent="0.25">
      <c r="A2320">
        <v>2211</v>
      </c>
      <c r="C2320" t="s">
        <v>2508</v>
      </c>
      <c r="E2320" t="s">
        <v>2213</v>
      </c>
      <c r="F2320" s="4">
        <v>0</v>
      </c>
      <c r="G2320" s="4">
        <v>0</v>
      </c>
      <c r="H2320" s="4">
        <v>0</v>
      </c>
      <c r="I2320" s="4">
        <v>0</v>
      </c>
      <c r="J2320" s="4">
        <v>0</v>
      </c>
      <c r="K2320" s="4">
        <v>0</v>
      </c>
      <c r="L2320" s="4">
        <v>80</v>
      </c>
      <c r="M2320" s="4">
        <v>0</v>
      </c>
      <c r="N2320" s="4">
        <f>SUM(Table1[[#This Row],[2025]:[2018]])</f>
        <v>80</v>
      </c>
      <c r="O2320" s="2">
        <f>Table1[[#This Row],[ttl]]/SUM(Table1[ttl])</f>
        <v>1.6131431861566508E-7</v>
      </c>
      <c r="P2320" s="3">
        <f>SUM($O$2:Table1[[#This Row],[pctAllTimeExp]])</f>
        <v>0.99998613888569632</v>
      </c>
      <c r="Q2320" t="b">
        <f>Table1[[#This Row],[cumPctAllTimeExp]]&lt;0.95</f>
        <v>0</v>
      </c>
    </row>
    <row r="2321" spans="1:17" x14ac:dyDescent="0.25">
      <c r="A2321">
        <v>674</v>
      </c>
      <c r="C2321" t="s">
        <v>2508</v>
      </c>
      <c r="E2321" t="s">
        <v>676</v>
      </c>
      <c r="F2321" s="4">
        <v>79</v>
      </c>
      <c r="G2321" s="4">
        <v>0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f>SUM(Table1[[#This Row],[2025]:[2018]])</f>
        <v>79</v>
      </c>
      <c r="O2321" s="2">
        <f>Table1[[#This Row],[ttl]]/SUM(Table1[ttl])</f>
        <v>1.5929788963296927E-7</v>
      </c>
      <c r="P2321" s="3">
        <f>SUM($O$2:Table1[[#This Row],[pctAllTimeExp]])</f>
        <v>0.99998629818358598</v>
      </c>
      <c r="Q2321" t="b">
        <f>Table1[[#This Row],[cumPctAllTimeExp]]&lt;0.95</f>
        <v>0</v>
      </c>
    </row>
    <row r="2322" spans="1:17" x14ac:dyDescent="0.25">
      <c r="A2322">
        <v>1620</v>
      </c>
      <c r="C2322" t="s">
        <v>2508</v>
      </c>
      <c r="E2322" t="s">
        <v>1622</v>
      </c>
      <c r="F2322" s="4">
        <v>0</v>
      </c>
      <c r="G2322" s="4">
        <v>0</v>
      </c>
      <c r="H2322" s="4">
        <v>0</v>
      </c>
      <c r="I2322" s="4">
        <v>0</v>
      </c>
      <c r="J2322" s="4">
        <v>79</v>
      </c>
      <c r="K2322" s="4">
        <v>0</v>
      </c>
      <c r="L2322" s="4">
        <v>0</v>
      </c>
      <c r="M2322" s="4">
        <v>0</v>
      </c>
      <c r="N2322" s="4">
        <f>SUM(Table1[[#This Row],[2025]:[2018]])</f>
        <v>79</v>
      </c>
      <c r="O2322" s="2">
        <f>Table1[[#This Row],[ttl]]/SUM(Table1[ttl])</f>
        <v>1.5929788963296927E-7</v>
      </c>
      <c r="P2322" s="3">
        <f>SUM($O$2:Table1[[#This Row],[pctAllTimeExp]])</f>
        <v>0.99998645748147563</v>
      </c>
      <c r="Q2322" t="b">
        <f>Table1[[#This Row],[cumPctAllTimeExp]]&lt;0.95</f>
        <v>0</v>
      </c>
    </row>
    <row r="2323" spans="1:17" x14ac:dyDescent="0.25">
      <c r="A2323">
        <v>939</v>
      </c>
      <c r="C2323" t="s">
        <v>2508</v>
      </c>
      <c r="E2323" t="s">
        <v>941</v>
      </c>
      <c r="F2323" s="4">
        <v>0</v>
      </c>
      <c r="G2323" s="4">
        <v>78.14</v>
      </c>
      <c r="H2323" s="4">
        <v>0</v>
      </c>
      <c r="I2323" s="4">
        <v>0</v>
      </c>
      <c r="J2323" s="4">
        <v>0</v>
      </c>
      <c r="K2323" s="4">
        <v>0</v>
      </c>
      <c r="L2323" s="4">
        <v>0</v>
      </c>
      <c r="M2323" s="4">
        <v>0</v>
      </c>
      <c r="N2323" s="4">
        <f>SUM(Table1[[#This Row],[2025]:[2018]])</f>
        <v>78.14</v>
      </c>
      <c r="O2323" s="2">
        <f>Table1[[#This Row],[ttl]]/SUM(Table1[ttl])</f>
        <v>1.5756376070785087E-7</v>
      </c>
      <c r="P2323" s="3">
        <f>SUM($O$2:Table1[[#This Row],[pctAllTimeExp]])</f>
        <v>0.99998661504523634</v>
      </c>
      <c r="Q2323" t="b">
        <f>Table1[[#This Row],[cumPctAllTimeExp]]&lt;0.95</f>
        <v>0</v>
      </c>
    </row>
    <row r="2324" spans="1:17" x14ac:dyDescent="0.25">
      <c r="A2324">
        <v>1622</v>
      </c>
      <c r="C2324" t="s">
        <v>2508</v>
      </c>
      <c r="E2324" t="s">
        <v>1624</v>
      </c>
      <c r="F2324" s="4">
        <v>0</v>
      </c>
      <c r="G2324" s="4">
        <v>0</v>
      </c>
      <c r="H2324" s="4">
        <v>0</v>
      </c>
      <c r="I2324" s="4">
        <v>0</v>
      </c>
      <c r="J2324" s="4">
        <v>77</v>
      </c>
      <c r="K2324" s="4">
        <v>0</v>
      </c>
      <c r="L2324" s="4">
        <v>0</v>
      </c>
      <c r="M2324" s="4">
        <v>0</v>
      </c>
      <c r="N2324" s="4">
        <f>SUM(Table1[[#This Row],[2025]:[2018]])</f>
        <v>77</v>
      </c>
      <c r="O2324" s="2">
        <f>Table1[[#This Row],[ttl]]/SUM(Table1[ttl])</f>
        <v>1.5526503166757765E-7</v>
      </c>
      <c r="P2324" s="3">
        <f>SUM($O$2:Table1[[#This Row],[pctAllTimeExp]])</f>
        <v>0.99998677031026806</v>
      </c>
      <c r="Q2324" t="b">
        <f>Table1[[#This Row],[cumPctAllTimeExp]]&lt;0.95</f>
        <v>0</v>
      </c>
    </row>
    <row r="2325" spans="1:17" x14ac:dyDescent="0.25">
      <c r="A2325">
        <v>2461</v>
      </c>
      <c r="C2325" t="s">
        <v>2508</v>
      </c>
      <c r="E2325" t="s">
        <v>2463</v>
      </c>
      <c r="F2325" s="4">
        <v>0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0</v>
      </c>
      <c r="M2325" s="4">
        <v>76.64</v>
      </c>
      <c r="N2325" s="4">
        <f>SUM(Table1[[#This Row],[2025]:[2018]])</f>
        <v>76.64</v>
      </c>
      <c r="O2325" s="2">
        <f>Table1[[#This Row],[ttl]]/SUM(Table1[ttl])</f>
        <v>1.5453911723380715E-7</v>
      </c>
      <c r="P2325" s="3">
        <f>SUM($O$2:Table1[[#This Row],[pctAllTimeExp]])</f>
        <v>0.99998692484938534</v>
      </c>
      <c r="Q2325" t="b">
        <f>Table1[[#This Row],[cumPctAllTimeExp]]&lt;0.95</f>
        <v>0</v>
      </c>
    </row>
    <row r="2326" spans="1:17" x14ac:dyDescent="0.25">
      <c r="A2326">
        <v>2462</v>
      </c>
      <c r="C2326" t="s">
        <v>2508</v>
      </c>
      <c r="E2326" t="s">
        <v>2464</v>
      </c>
      <c r="F2326" s="4">
        <v>0</v>
      </c>
      <c r="G2326" s="4">
        <v>0</v>
      </c>
      <c r="H2326" s="4">
        <v>0</v>
      </c>
      <c r="I2326" s="4">
        <v>0</v>
      </c>
      <c r="J2326" s="4">
        <v>0</v>
      </c>
      <c r="K2326" s="4">
        <v>0</v>
      </c>
      <c r="L2326" s="4">
        <v>0</v>
      </c>
      <c r="M2326" s="4">
        <v>75.540000000000006</v>
      </c>
      <c r="N2326" s="4">
        <f>SUM(Table1[[#This Row],[2025]:[2018]])</f>
        <v>75.540000000000006</v>
      </c>
      <c r="O2326" s="2">
        <f>Table1[[#This Row],[ttl]]/SUM(Table1[ttl])</f>
        <v>1.5232104535284177E-7</v>
      </c>
      <c r="P2326" s="3">
        <f>SUM($O$2:Table1[[#This Row],[pctAllTimeExp]])</f>
        <v>0.99998707717043067</v>
      </c>
      <c r="Q2326" t="b">
        <f>Table1[[#This Row],[cumPctAllTimeExp]]&lt;0.95</f>
        <v>0</v>
      </c>
    </row>
    <row r="2327" spans="1:17" x14ac:dyDescent="0.25">
      <c r="A2327">
        <v>1623</v>
      </c>
      <c r="C2327" t="s">
        <v>2508</v>
      </c>
      <c r="E2327" t="s">
        <v>1625</v>
      </c>
      <c r="F2327" s="4">
        <v>0</v>
      </c>
      <c r="G2327" s="4">
        <v>0</v>
      </c>
      <c r="H2327" s="4">
        <v>0</v>
      </c>
      <c r="I2327" s="4">
        <v>0</v>
      </c>
      <c r="J2327" s="4">
        <v>75</v>
      </c>
      <c r="K2327" s="4">
        <v>0</v>
      </c>
      <c r="L2327" s="4">
        <v>0</v>
      </c>
      <c r="M2327" s="4">
        <v>0</v>
      </c>
      <c r="N2327" s="4">
        <f>SUM(Table1[[#This Row],[2025]:[2018]])</f>
        <v>75</v>
      </c>
      <c r="O2327" s="2">
        <f>Table1[[#This Row],[ttl]]/SUM(Table1[ttl])</f>
        <v>1.51232173702186E-7</v>
      </c>
      <c r="P2327" s="3">
        <f>SUM($O$2:Table1[[#This Row],[pctAllTimeExp]])</f>
        <v>0.99998722840260434</v>
      </c>
      <c r="Q2327" t="b">
        <f>Table1[[#This Row],[cumPctAllTimeExp]]&lt;0.95</f>
        <v>0</v>
      </c>
    </row>
    <row r="2328" spans="1:17" x14ac:dyDescent="0.25">
      <c r="A2328">
        <v>2212</v>
      </c>
      <c r="C2328" t="s">
        <v>2508</v>
      </c>
      <c r="E2328" t="s">
        <v>2214</v>
      </c>
      <c r="F2328" s="4">
        <v>0</v>
      </c>
      <c r="G2328" s="4">
        <v>0</v>
      </c>
      <c r="H2328" s="4">
        <v>0</v>
      </c>
      <c r="I2328" s="4">
        <v>0</v>
      </c>
      <c r="J2328" s="4">
        <v>0</v>
      </c>
      <c r="K2328" s="4">
        <v>0</v>
      </c>
      <c r="L2328" s="4">
        <v>75</v>
      </c>
      <c r="M2328" s="4">
        <v>0</v>
      </c>
      <c r="N2328" s="4">
        <f>SUM(Table1[[#This Row],[2025]:[2018]])</f>
        <v>75</v>
      </c>
      <c r="O2328" s="2">
        <f>Table1[[#This Row],[ttl]]/SUM(Table1[ttl])</f>
        <v>1.51232173702186E-7</v>
      </c>
      <c r="P2328" s="3">
        <f>SUM($O$2:Table1[[#This Row],[pctAllTimeExp]])</f>
        <v>0.99998737963477802</v>
      </c>
      <c r="Q2328" t="b">
        <f>Table1[[#This Row],[cumPctAllTimeExp]]&lt;0.95</f>
        <v>0</v>
      </c>
    </row>
    <row r="2329" spans="1:17" x14ac:dyDescent="0.25">
      <c r="A2329">
        <v>2213</v>
      </c>
      <c r="C2329" t="s">
        <v>2508</v>
      </c>
      <c r="E2329" t="s">
        <v>2215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75</v>
      </c>
      <c r="M2329" s="4">
        <v>0</v>
      </c>
      <c r="N2329" s="4">
        <f>SUM(Table1[[#This Row],[2025]:[2018]])</f>
        <v>75</v>
      </c>
      <c r="O2329" s="2">
        <f>Table1[[#This Row],[ttl]]/SUM(Table1[ttl])</f>
        <v>1.51232173702186E-7</v>
      </c>
      <c r="P2329" s="3">
        <f>SUM($O$2:Table1[[#This Row],[pctAllTimeExp]])</f>
        <v>0.99998753086695169</v>
      </c>
      <c r="Q2329" t="b">
        <f>Table1[[#This Row],[cumPctAllTimeExp]]&lt;0.95</f>
        <v>0</v>
      </c>
    </row>
    <row r="2330" spans="1:17" x14ac:dyDescent="0.25">
      <c r="A2330">
        <v>2214</v>
      </c>
      <c r="C2330" t="s">
        <v>2508</v>
      </c>
      <c r="E2330" t="s">
        <v>2216</v>
      </c>
      <c r="F2330" s="4">
        <v>0</v>
      </c>
      <c r="G2330" s="4">
        <v>0</v>
      </c>
      <c r="H2330" s="4">
        <v>0</v>
      </c>
      <c r="I2330" s="4">
        <v>0</v>
      </c>
      <c r="J2330" s="4">
        <v>0</v>
      </c>
      <c r="K2330" s="4">
        <v>0</v>
      </c>
      <c r="L2330" s="4">
        <v>75</v>
      </c>
      <c r="M2330" s="4">
        <v>0</v>
      </c>
      <c r="N2330" s="4">
        <f>SUM(Table1[[#This Row],[2025]:[2018]])</f>
        <v>75</v>
      </c>
      <c r="O2330" s="2">
        <f>Table1[[#This Row],[ttl]]/SUM(Table1[ttl])</f>
        <v>1.51232173702186E-7</v>
      </c>
      <c r="P2330" s="3">
        <f>SUM($O$2:Table1[[#This Row],[pctAllTimeExp]])</f>
        <v>0.99998768209912536</v>
      </c>
      <c r="Q2330" t="b">
        <f>Table1[[#This Row],[cumPctAllTimeExp]]&lt;0.95</f>
        <v>0</v>
      </c>
    </row>
    <row r="2331" spans="1:17" x14ac:dyDescent="0.25">
      <c r="A2331">
        <v>2215</v>
      </c>
      <c r="C2331" t="s">
        <v>2508</v>
      </c>
      <c r="E2331" t="s">
        <v>2217</v>
      </c>
      <c r="F2331" s="4">
        <v>0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4">
        <v>75</v>
      </c>
      <c r="M2331" s="4">
        <v>0</v>
      </c>
      <c r="N2331" s="4">
        <f>SUM(Table1[[#This Row],[2025]:[2018]])</f>
        <v>75</v>
      </c>
      <c r="O2331" s="2">
        <f>Table1[[#This Row],[ttl]]/SUM(Table1[ttl])</f>
        <v>1.51232173702186E-7</v>
      </c>
      <c r="P2331" s="3">
        <f>SUM($O$2:Table1[[#This Row],[pctAllTimeExp]])</f>
        <v>0.99998783333129904</v>
      </c>
      <c r="Q2331" t="b">
        <f>Table1[[#This Row],[cumPctAllTimeExp]]&lt;0.95</f>
        <v>0</v>
      </c>
    </row>
    <row r="2332" spans="1:17" x14ac:dyDescent="0.25">
      <c r="A2332">
        <v>2216</v>
      </c>
      <c r="C2332" t="s">
        <v>2508</v>
      </c>
      <c r="E2332" t="s">
        <v>2218</v>
      </c>
      <c r="F2332" s="4">
        <v>0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75</v>
      </c>
      <c r="M2332" s="4">
        <v>0</v>
      </c>
      <c r="N2332" s="4">
        <f>SUM(Table1[[#This Row],[2025]:[2018]])</f>
        <v>75</v>
      </c>
      <c r="O2332" s="2">
        <f>Table1[[#This Row],[ttl]]/SUM(Table1[ttl])</f>
        <v>1.51232173702186E-7</v>
      </c>
      <c r="P2332" s="3">
        <f>SUM($O$2:Table1[[#This Row],[pctAllTimeExp]])</f>
        <v>0.99998798456347271</v>
      </c>
      <c r="Q2332" t="b">
        <f>Table1[[#This Row],[cumPctAllTimeExp]]&lt;0.95</f>
        <v>0</v>
      </c>
    </row>
    <row r="2333" spans="1:17" x14ac:dyDescent="0.25">
      <c r="A2333">
        <v>2217</v>
      </c>
      <c r="C2333" t="s">
        <v>2508</v>
      </c>
      <c r="E2333" t="s">
        <v>2219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4">
        <v>75</v>
      </c>
      <c r="M2333" s="4">
        <v>0</v>
      </c>
      <c r="N2333" s="4">
        <f>SUM(Table1[[#This Row],[2025]:[2018]])</f>
        <v>75</v>
      </c>
      <c r="O2333" s="2">
        <f>Table1[[#This Row],[ttl]]/SUM(Table1[ttl])</f>
        <v>1.51232173702186E-7</v>
      </c>
      <c r="P2333" s="3">
        <f>SUM($O$2:Table1[[#This Row],[pctAllTimeExp]])</f>
        <v>0.99998813579564638</v>
      </c>
      <c r="Q2333" t="b">
        <f>Table1[[#This Row],[cumPctAllTimeExp]]&lt;0.95</f>
        <v>0</v>
      </c>
    </row>
    <row r="2334" spans="1:17" x14ac:dyDescent="0.25">
      <c r="A2334">
        <v>2463</v>
      </c>
      <c r="C2334" t="s">
        <v>2508</v>
      </c>
      <c r="E2334" t="s">
        <v>2465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75</v>
      </c>
      <c r="N2334" s="4">
        <f>SUM(Table1[[#This Row],[2025]:[2018]])</f>
        <v>75</v>
      </c>
      <c r="O2334" s="2">
        <f>Table1[[#This Row],[ttl]]/SUM(Table1[ttl])</f>
        <v>1.51232173702186E-7</v>
      </c>
      <c r="P2334" s="3">
        <f>SUM($O$2:Table1[[#This Row],[pctAllTimeExp]])</f>
        <v>0.99998828702782006</v>
      </c>
      <c r="Q2334" t="b">
        <f>Table1[[#This Row],[cumPctAllTimeExp]]&lt;0.95</f>
        <v>0</v>
      </c>
    </row>
    <row r="2335" spans="1:17" x14ac:dyDescent="0.25">
      <c r="A2335">
        <v>1923</v>
      </c>
      <c r="C2335" t="s">
        <v>2508</v>
      </c>
      <c r="E2335" t="s">
        <v>1925</v>
      </c>
      <c r="F2335" s="4">
        <v>0</v>
      </c>
      <c r="G2335" s="4">
        <v>0</v>
      </c>
      <c r="H2335" s="4">
        <v>0</v>
      </c>
      <c r="I2335" s="4">
        <v>0</v>
      </c>
      <c r="J2335" s="4">
        <v>0</v>
      </c>
      <c r="K2335" s="4">
        <v>73.849999999999994</v>
      </c>
      <c r="L2335" s="4">
        <v>0</v>
      </c>
      <c r="M2335" s="4">
        <v>0</v>
      </c>
      <c r="N2335" s="4">
        <f>SUM(Table1[[#This Row],[2025]:[2018]])</f>
        <v>73.849999999999994</v>
      </c>
      <c r="O2335" s="2">
        <f>Table1[[#This Row],[ttl]]/SUM(Table1[ttl])</f>
        <v>1.4891328037208581E-7</v>
      </c>
      <c r="P2335" s="3">
        <f>SUM($O$2:Table1[[#This Row],[pctAllTimeExp]])</f>
        <v>0.99998843594110043</v>
      </c>
      <c r="Q2335" t="b">
        <f>Table1[[#This Row],[cumPctAllTimeExp]]&lt;0.95</f>
        <v>0</v>
      </c>
    </row>
    <row r="2336" spans="1:17" x14ac:dyDescent="0.25">
      <c r="A2336">
        <v>1387</v>
      </c>
      <c r="C2336" t="s">
        <v>2508</v>
      </c>
      <c r="E2336" t="s">
        <v>1389</v>
      </c>
      <c r="F2336" s="4">
        <v>0</v>
      </c>
      <c r="G2336" s="4">
        <v>0</v>
      </c>
      <c r="H2336" s="4">
        <v>0</v>
      </c>
      <c r="I2336" s="4">
        <v>73.53</v>
      </c>
      <c r="J2336" s="4">
        <v>0</v>
      </c>
      <c r="K2336" s="4">
        <v>0</v>
      </c>
      <c r="L2336" s="4">
        <v>0</v>
      </c>
      <c r="M2336" s="4">
        <v>0</v>
      </c>
      <c r="N2336" s="4">
        <f>SUM(Table1[[#This Row],[2025]:[2018]])</f>
        <v>73.53</v>
      </c>
      <c r="O2336" s="2">
        <f>Table1[[#This Row],[ttl]]/SUM(Table1[ttl])</f>
        <v>1.4826802309762316E-7</v>
      </c>
      <c r="P2336" s="3">
        <f>SUM($O$2:Table1[[#This Row],[pctAllTimeExp]])</f>
        <v>0.99998858420912351</v>
      </c>
      <c r="Q2336" t="b">
        <f>Table1[[#This Row],[cumPctAllTimeExp]]&lt;0.95</f>
        <v>0</v>
      </c>
    </row>
    <row r="2337" spans="1:17" x14ac:dyDescent="0.25">
      <c r="A2337">
        <v>1624</v>
      </c>
      <c r="C2337" t="s">
        <v>2508</v>
      </c>
      <c r="E2337" t="s">
        <v>1626</v>
      </c>
      <c r="F2337" s="4">
        <v>0</v>
      </c>
      <c r="G2337" s="4">
        <v>0</v>
      </c>
      <c r="H2337" s="4">
        <v>0</v>
      </c>
      <c r="I2337" s="4">
        <v>0</v>
      </c>
      <c r="J2337" s="4">
        <v>72</v>
      </c>
      <c r="K2337" s="4">
        <v>0</v>
      </c>
      <c r="L2337" s="4">
        <v>0</v>
      </c>
      <c r="M2337" s="4">
        <v>0</v>
      </c>
      <c r="N2337" s="4">
        <f>SUM(Table1[[#This Row],[2025]:[2018]])</f>
        <v>72</v>
      </c>
      <c r="O2337" s="2">
        <f>Table1[[#This Row],[ttl]]/SUM(Table1[ttl])</f>
        <v>1.4518288675409858E-7</v>
      </c>
      <c r="P2337" s="3">
        <f>SUM($O$2:Table1[[#This Row],[pctAllTimeExp]])</f>
        <v>0.99998872939201022</v>
      </c>
      <c r="Q2337" t="b">
        <f>Table1[[#This Row],[cumPctAllTimeExp]]&lt;0.95</f>
        <v>0</v>
      </c>
    </row>
    <row r="2338" spans="1:17" x14ac:dyDescent="0.25">
      <c r="A2338">
        <v>1924</v>
      </c>
      <c r="C2338" t="s">
        <v>2508</v>
      </c>
      <c r="E2338" t="s">
        <v>1926</v>
      </c>
      <c r="F2338" s="4">
        <v>0</v>
      </c>
      <c r="G2338" s="4">
        <v>0</v>
      </c>
      <c r="H2338" s="4">
        <v>0</v>
      </c>
      <c r="I2338" s="4">
        <v>0</v>
      </c>
      <c r="J2338" s="4">
        <v>0</v>
      </c>
      <c r="K2338" s="4">
        <v>72</v>
      </c>
      <c r="L2338" s="4">
        <v>0</v>
      </c>
      <c r="M2338" s="4">
        <v>0</v>
      </c>
      <c r="N2338" s="4">
        <f>SUM(Table1[[#This Row],[2025]:[2018]])</f>
        <v>72</v>
      </c>
      <c r="O2338" s="2">
        <f>Table1[[#This Row],[ttl]]/SUM(Table1[ttl])</f>
        <v>1.4518288675409858E-7</v>
      </c>
      <c r="P2338" s="3">
        <f>SUM($O$2:Table1[[#This Row],[pctAllTimeExp]])</f>
        <v>0.99998887457489694</v>
      </c>
      <c r="Q2338" t="b">
        <f>Table1[[#This Row],[cumPctAllTimeExp]]&lt;0.95</f>
        <v>0</v>
      </c>
    </row>
    <row r="2339" spans="1:17" x14ac:dyDescent="0.25">
      <c r="A2339">
        <v>1181</v>
      </c>
      <c r="C2339" t="s">
        <v>2508</v>
      </c>
      <c r="E2339" t="s">
        <v>1183</v>
      </c>
      <c r="F2339" s="4">
        <v>0</v>
      </c>
      <c r="G2339" s="4">
        <v>0</v>
      </c>
      <c r="H2339" s="4">
        <v>70.010000000000005</v>
      </c>
      <c r="I2339" s="4">
        <v>0</v>
      </c>
      <c r="J2339" s="4">
        <v>0</v>
      </c>
      <c r="K2339" s="4">
        <v>0</v>
      </c>
      <c r="L2339" s="4">
        <v>0</v>
      </c>
      <c r="M2339" s="4">
        <v>0</v>
      </c>
      <c r="N2339" s="4">
        <f>SUM(Table1[[#This Row],[2025]:[2018]])</f>
        <v>70.010000000000005</v>
      </c>
      <c r="O2339" s="2">
        <f>Table1[[#This Row],[ttl]]/SUM(Table1[ttl])</f>
        <v>1.411701930785339E-7</v>
      </c>
      <c r="P2339" s="3">
        <f>SUM($O$2:Table1[[#This Row],[pctAllTimeExp]])</f>
        <v>0.99998901574509003</v>
      </c>
      <c r="Q2339" t="b">
        <f>Table1[[#This Row],[cumPctAllTimeExp]]&lt;0.95</f>
        <v>0</v>
      </c>
    </row>
    <row r="2340" spans="1:17" x14ac:dyDescent="0.25">
      <c r="A2340">
        <v>676</v>
      </c>
      <c r="C2340" t="s">
        <v>2508</v>
      </c>
      <c r="E2340" t="s">
        <v>678</v>
      </c>
      <c r="F2340" s="4">
        <v>70</v>
      </c>
      <c r="G2340" s="4">
        <v>0</v>
      </c>
      <c r="H2340" s="4">
        <v>0</v>
      </c>
      <c r="I2340" s="4">
        <v>0</v>
      </c>
      <c r="J2340" s="4">
        <v>0</v>
      </c>
      <c r="K2340" s="4">
        <v>0</v>
      </c>
      <c r="L2340" s="4">
        <v>0</v>
      </c>
      <c r="M2340" s="4">
        <v>0</v>
      </c>
      <c r="N2340" s="4">
        <f>SUM(Table1[[#This Row],[2025]:[2018]])</f>
        <v>70</v>
      </c>
      <c r="O2340" s="2">
        <f>Table1[[#This Row],[ttl]]/SUM(Table1[ttl])</f>
        <v>1.4115002878870693E-7</v>
      </c>
      <c r="P2340" s="3">
        <f>SUM($O$2:Table1[[#This Row],[pctAllTimeExp]])</f>
        <v>0.9999891568951188</v>
      </c>
      <c r="Q2340" t="b">
        <f>Table1[[#This Row],[cumPctAllTimeExp]]&lt;0.95</f>
        <v>0</v>
      </c>
    </row>
    <row r="2341" spans="1:17" x14ac:dyDescent="0.25">
      <c r="A2341">
        <v>2464</v>
      </c>
      <c r="C2341" t="s">
        <v>2508</v>
      </c>
      <c r="E2341" t="s">
        <v>2466</v>
      </c>
      <c r="F2341" s="4">
        <v>0</v>
      </c>
      <c r="G2341" s="4">
        <v>0</v>
      </c>
      <c r="H2341" s="4">
        <v>0</v>
      </c>
      <c r="I2341" s="4">
        <v>0</v>
      </c>
      <c r="J2341" s="4">
        <v>0</v>
      </c>
      <c r="K2341" s="4">
        <v>0</v>
      </c>
      <c r="L2341" s="4">
        <v>0</v>
      </c>
      <c r="M2341" s="4">
        <v>70</v>
      </c>
      <c r="N2341" s="4">
        <f>SUM(Table1[[#This Row],[2025]:[2018]])</f>
        <v>70</v>
      </c>
      <c r="O2341" s="2">
        <f>Table1[[#This Row],[ttl]]/SUM(Table1[ttl])</f>
        <v>1.4115002878870693E-7</v>
      </c>
      <c r="P2341" s="3">
        <f>SUM($O$2:Table1[[#This Row],[pctAllTimeExp]])</f>
        <v>0.99998929804514758</v>
      </c>
      <c r="Q2341" t="b">
        <f>Table1[[#This Row],[cumPctAllTimeExp]]&lt;0.95</f>
        <v>0</v>
      </c>
    </row>
    <row r="2342" spans="1:17" x14ac:dyDescent="0.25">
      <c r="A2342">
        <v>2465</v>
      </c>
      <c r="C2342" t="s">
        <v>2508</v>
      </c>
      <c r="E2342" t="s">
        <v>2467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70</v>
      </c>
      <c r="N2342" s="4">
        <f>SUM(Table1[[#This Row],[2025]:[2018]])</f>
        <v>70</v>
      </c>
      <c r="O2342" s="2">
        <f>Table1[[#This Row],[ttl]]/SUM(Table1[ttl])</f>
        <v>1.4115002878870693E-7</v>
      </c>
      <c r="P2342" s="3">
        <f>SUM($O$2:Table1[[#This Row],[pctAllTimeExp]])</f>
        <v>0.99998943919517636</v>
      </c>
      <c r="Q2342" t="b">
        <f>Table1[[#This Row],[cumPctAllTimeExp]]&lt;0.95</f>
        <v>0</v>
      </c>
    </row>
    <row r="2343" spans="1:17" x14ac:dyDescent="0.25">
      <c r="A2343">
        <v>2466</v>
      </c>
      <c r="C2343" t="s">
        <v>2508</v>
      </c>
      <c r="E2343" t="s">
        <v>2468</v>
      </c>
      <c r="F2343" s="4">
        <v>0</v>
      </c>
      <c r="G2343" s="4">
        <v>0</v>
      </c>
      <c r="H2343" s="4">
        <v>0</v>
      </c>
      <c r="I2343" s="4">
        <v>0</v>
      </c>
      <c r="J2343" s="4">
        <v>0</v>
      </c>
      <c r="K2343" s="4">
        <v>0</v>
      </c>
      <c r="L2343" s="4">
        <v>0</v>
      </c>
      <c r="M2343" s="4">
        <v>70</v>
      </c>
      <c r="N2343" s="4">
        <f>SUM(Table1[[#This Row],[2025]:[2018]])</f>
        <v>70</v>
      </c>
      <c r="O2343" s="2">
        <f>Table1[[#This Row],[ttl]]/SUM(Table1[ttl])</f>
        <v>1.4115002878870693E-7</v>
      </c>
      <c r="P2343" s="3">
        <f>SUM($O$2:Table1[[#This Row],[pctAllTimeExp]])</f>
        <v>0.99998958034520513</v>
      </c>
      <c r="Q2343" t="b">
        <f>Table1[[#This Row],[cumPctAllTimeExp]]&lt;0.95</f>
        <v>0</v>
      </c>
    </row>
    <row r="2344" spans="1:17" x14ac:dyDescent="0.25">
      <c r="A2344">
        <v>2467</v>
      </c>
      <c r="C2344" t="s">
        <v>2508</v>
      </c>
      <c r="E2344" t="s">
        <v>2469</v>
      </c>
      <c r="F2344" s="4">
        <v>0</v>
      </c>
      <c r="G2344" s="4">
        <v>0</v>
      </c>
      <c r="H2344" s="4">
        <v>0</v>
      </c>
      <c r="I2344" s="4">
        <v>0</v>
      </c>
      <c r="J2344" s="4">
        <v>0</v>
      </c>
      <c r="K2344" s="4">
        <v>0</v>
      </c>
      <c r="L2344" s="4">
        <v>0</v>
      </c>
      <c r="M2344" s="4">
        <v>70</v>
      </c>
      <c r="N2344" s="4">
        <f>SUM(Table1[[#This Row],[2025]:[2018]])</f>
        <v>70</v>
      </c>
      <c r="O2344" s="2">
        <f>Table1[[#This Row],[ttl]]/SUM(Table1[ttl])</f>
        <v>1.4115002878870693E-7</v>
      </c>
      <c r="P2344" s="3">
        <f>SUM($O$2:Table1[[#This Row],[pctAllTimeExp]])</f>
        <v>0.99998972149523391</v>
      </c>
      <c r="Q2344" t="b">
        <f>Table1[[#This Row],[cumPctAllTimeExp]]&lt;0.95</f>
        <v>0</v>
      </c>
    </row>
    <row r="2345" spans="1:17" x14ac:dyDescent="0.25">
      <c r="A2345">
        <v>1625</v>
      </c>
      <c r="C2345" t="s">
        <v>2508</v>
      </c>
      <c r="E2345" t="s">
        <v>1627</v>
      </c>
      <c r="F2345" s="4">
        <v>0</v>
      </c>
      <c r="G2345" s="4">
        <v>0</v>
      </c>
      <c r="H2345" s="4">
        <v>0</v>
      </c>
      <c r="I2345" s="4">
        <v>0</v>
      </c>
      <c r="J2345" s="4">
        <v>69</v>
      </c>
      <c r="K2345" s="4">
        <v>0</v>
      </c>
      <c r="L2345" s="4">
        <v>0</v>
      </c>
      <c r="M2345" s="4">
        <v>0</v>
      </c>
      <c r="N2345" s="4">
        <f>SUM(Table1[[#This Row],[2025]:[2018]])</f>
        <v>69</v>
      </c>
      <c r="O2345" s="2">
        <f>Table1[[#This Row],[ttl]]/SUM(Table1[ttl])</f>
        <v>1.3913359980601112E-7</v>
      </c>
      <c r="P2345" s="3">
        <f>SUM($O$2:Table1[[#This Row],[pctAllTimeExp]])</f>
        <v>0.99998986062883366</v>
      </c>
      <c r="Q2345" t="b">
        <f>Table1[[#This Row],[cumPctAllTimeExp]]&lt;0.95</f>
        <v>0</v>
      </c>
    </row>
    <row r="2346" spans="1:17" x14ac:dyDescent="0.25">
      <c r="A2346">
        <v>2218</v>
      </c>
      <c r="C2346" t="s">
        <v>2508</v>
      </c>
      <c r="E2346" t="s">
        <v>2220</v>
      </c>
      <c r="F2346" s="4">
        <v>0</v>
      </c>
      <c r="G2346" s="4">
        <v>0</v>
      </c>
      <c r="H2346" s="4">
        <v>0</v>
      </c>
      <c r="I2346" s="4">
        <v>0</v>
      </c>
      <c r="J2346" s="4">
        <v>0</v>
      </c>
      <c r="K2346" s="4">
        <v>0</v>
      </c>
      <c r="L2346" s="4">
        <v>65</v>
      </c>
      <c r="M2346" s="4">
        <v>0</v>
      </c>
      <c r="N2346" s="4">
        <f>SUM(Table1[[#This Row],[2025]:[2018]])</f>
        <v>65</v>
      </c>
      <c r="O2346" s="2">
        <f>Table1[[#This Row],[ttl]]/SUM(Table1[ttl])</f>
        <v>1.3106788387522789E-7</v>
      </c>
      <c r="P2346" s="3">
        <f>SUM($O$2:Table1[[#This Row],[pctAllTimeExp]])</f>
        <v>0.99998999169671754</v>
      </c>
      <c r="Q2346" t="b">
        <f>Table1[[#This Row],[cumPctAllTimeExp]]&lt;0.95</f>
        <v>0</v>
      </c>
    </row>
    <row r="2347" spans="1:17" x14ac:dyDescent="0.25">
      <c r="A2347">
        <v>2468</v>
      </c>
      <c r="C2347" t="s">
        <v>2508</v>
      </c>
      <c r="E2347" t="s">
        <v>2470</v>
      </c>
      <c r="F2347" s="4">
        <v>0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65</v>
      </c>
      <c r="N2347" s="4">
        <f>SUM(Table1[[#This Row],[2025]:[2018]])</f>
        <v>65</v>
      </c>
      <c r="O2347" s="2">
        <f>Table1[[#This Row],[ttl]]/SUM(Table1[ttl])</f>
        <v>1.3106788387522789E-7</v>
      </c>
      <c r="P2347" s="3">
        <f>SUM($O$2:Table1[[#This Row],[pctAllTimeExp]])</f>
        <v>0.99999012276460142</v>
      </c>
      <c r="Q2347" t="b">
        <f>Table1[[#This Row],[cumPctAllTimeExp]]&lt;0.95</f>
        <v>0</v>
      </c>
    </row>
    <row r="2348" spans="1:17" x14ac:dyDescent="0.25">
      <c r="A2348">
        <v>2220</v>
      </c>
      <c r="C2348" t="s">
        <v>2508</v>
      </c>
      <c r="E2348" t="s">
        <v>2222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  <c r="L2348" s="4">
        <v>64.23</v>
      </c>
      <c r="M2348" s="4">
        <v>0</v>
      </c>
      <c r="N2348" s="4">
        <f>SUM(Table1[[#This Row],[2025]:[2018]])</f>
        <v>64.23</v>
      </c>
      <c r="O2348" s="2">
        <f>Table1[[#This Row],[ttl]]/SUM(Table1[ttl])</f>
        <v>1.2951523355855211E-7</v>
      </c>
      <c r="P2348" s="3">
        <f>SUM($O$2:Table1[[#This Row],[pctAllTimeExp]])</f>
        <v>0.99999025227983496</v>
      </c>
      <c r="Q2348" t="b">
        <f>Table1[[#This Row],[cumPctAllTimeExp]]&lt;0.95</f>
        <v>0</v>
      </c>
    </row>
    <row r="2349" spans="1:17" x14ac:dyDescent="0.25">
      <c r="A2349">
        <v>677</v>
      </c>
      <c r="C2349" t="s">
        <v>2508</v>
      </c>
      <c r="E2349" t="s">
        <v>679</v>
      </c>
      <c r="F2349" s="4">
        <v>64</v>
      </c>
      <c r="G2349" s="4">
        <v>0</v>
      </c>
      <c r="H2349" s="4">
        <v>0</v>
      </c>
      <c r="I2349" s="4">
        <v>0</v>
      </c>
      <c r="J2349" s="4">
        <v>0</v>
      </c>
      <c r="K2349" s="4">
        <v>0</v>
      </c>
      <c r="L2349" s="4">
        <v>0</v>
      </c>
      <c r="M2349" s="4">
        <v>0</v>
      </c>
      <c r="N2349" s="4">
        <f>SUM(Table1[[#This Row],[2025]:[2018]])</f>
        <v>64</v>
      </c>
      <c r="O2349" s="2">
        <f>Table1[[#This Row],[ttl]]/SUM(Table1[ttl])</f>
        <v>1.2905145489253205E-7</v>
      </c>
      <c r="P2349" s="3">
        <f>SUM($O$2:Table1[[#This Row],[pctAllTimeExp]])</f>
        <v>0.99999038133128981</v>
      </c>
      <c r="Q2349" t="b">
        <f>Table1[[#This Row],[cumPctAllTimeExp]]&lt;0.95</f>
        <v>0</v>
      </c>
    </row>
    <row r="2350" spans="1:17" x14ac:dyDescent="0.25">
      <c r="A2350">
        <v>941</v>
      </c>
      <c r="C2350" t="s">
        <v>2508</v>
      </c>
      <c r="E2350" t="s">
        <v>943</v>
      </c>
      <c r="F2350" s="4">
        <v>0</v>
      </c>
      <c r="G2350" s="4">
        <v>64</v>
      </c>
      <c r="H2350" s="4">
        <v>0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f>SUM(Table1[[#This Row],[2025]:[2018]])</f>
        <v>64</v>
      </c>
      <c r="O2350" s="2">
        <f>Table1[[#This Row],[ttl]]/SUM(Table1[ttl])</f>
        <v>1.2905145489253205E-7</v>
      </c>
      <c r="P2350" s="3">
        <f>SUM($O$2:Table1[[#This Row],[pctAllTimeExp]])</f>
        <v>0.99999051038274467</v>
      </c>
      <c r="Q2350" t="b">
        <f>Table1[[#This Row],[cumPctAllTimeExp]]&lt;0.95</f>
        <v>0</v>
      </c>
    </row>
    <row r="2351" spans="1:17" x14ac:dyDescent="0.25">
      <c r="A2351">
        <v>1626</v>
      </c>
      <c r="C2351" t="s">
        <v>2508</v>
      </c>
      <c r="E2351" t="s">
        <v>1628</v>
      </c>
      <c r="F2351" s="4">
        <v>0</v>
      </c>
      <c r="G2351" s="4">
        <v>0</v>
      </c>
      <c r="H2351" s="4">
        <v>0</v>
      </c>
      <c r="I2351" s="4">
        <v>0</v>
      </c>
      <c r="J2351" s="4">
        <v>63.67</v>
      </c>
      <c r="K2351" s="4">
        <v>0</v>
      </c>
      <c r="L2351" s="4">
        <v>0</v>
      </c>
      <c r="M2351" s="4">
        <v>0</v>
      </c>
      <c r="N2351" s="4">
        <f>SUM(Table1[[#This Row],[2025]:[2018]])</f>
        <v>63.67</v>
      </c>
      <c r="O2351" s="2">
        <f>Table1[[#This Row],[ttl]]/SUM(Table1[ttl])</f>
        <v>1.2838603332824246E-7</v>
      </c>
      <c r="P2351" s="3">
        <f>SUM($O$2:Table1[[#This Row],[pctAllTimeExp]])</f>
        <v>0.99999063876877803</v>
      </c>
      <c r="Q2351" t="b">
        <f>Table1[[#This Row],[cumPctAllTimeExp]]&lt;0.95</f>
        <v>0</v>
      </c>
    </row>
    <row r="2352" spans="1:17" x14ac:dyDescent="0.25">
      <c r="A2352">
        <v>1182</v>
      </c>
      <c r="C2352" t="s">
        <v>2508</v>
      </c>
      <c r="E2352" t="s">
        <v>1184</v>
      </c>
      <c r="F2352" s="4">
        <v>0</v>
      </c>
      <c r="G2352" s="4">
        <v>0</v>
      </c>
      <c r="H2352" s="4">
        <v>62.99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f>SUM(Table1[[#This Row],[2025]:[2018]])</f>
        <v>62.99</v>
      </c>
      <c r="O2352" s="2">
        <f>Table1[[#This Row],[ttl]]/SUM(Table1[ttl])</f>
        <v>1.270148616200093E-7</v>
      </c>
      <c r="P2352" s="3">
        <f>SUM($O$2:Table1[[#This Row],[pctAllTimeExp]])</f>
        <v>0.99999076578363966</v>
      </c>
      <c r="Q2352" t="b">
        <f>Table1[[#This Row],[cumPctAllTimeExp]]&lt;0.95</f>
        <v>0</v>
      </c>
    </row>
    <row r="2353" spans="1:17" x14ac:dyDescent="0.25">
      <c r="A2353">
        <v>942</v>
      </c>
      <c r="C2353" t="s">
        <v>2508</v>
      </c>
      <c r="E2353" t="s">
        <v>944</v>
      </c>
      <c r="F2353" s="4">
        <v>0</v>
      </c>
      <c r="G2353" s="4">
        <v>62.63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f>SUM(Table1[[#This Row],[2025]:[2018]])</f>
        <v>62.63</v>
      </c>
      <c r="O2353" s="2">
        <f>Table1[[#This Row],[ttl]]/SUM(Table1[ttl])</f>
        <v>1.2628894718623879E-7</v>
      </c>
      <c r="P2353" s="3">
        <f>SUM($O$2:Table1[[#This Row],[pctAllTimeExp]])</f>
        <v>0.99999089207258685</v>
      </c>
      <c r="Q2353" t="b">
        <f>Table1[[#This Row],[cumPctAllTimeExp]]&lt;0.95</f>
        <v>0</v>
      </c>
    </row>
    <row r="2354" spans="1:17" x14ac:dyDescent="0.25">
      <c r="A2354">
        <v>1927</v>
      </c>
      <c r="C2354" t="s">
        <v>2508</v>
      </c>
      <c r="E2354" t="s">
        <v>1929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60.99</v>
      </c>
      <c r="L2354" s="4">
        <v>0</v>
      </c>
      <c r="M2354" s="4">
        <v>0</v>
      </c>
      <c r="N2354" s="4">
        <f>SUM(Table1[[#This Row],[2025]:[2018]])</f>
        <v>60.99</v>
      </c>
      <c r="O2354" s="2">
        <f>Table1[[#This Row],[ttl]]/SUM(Table1[ttl])</f>
        <v>1.2298200365461768E-7</v>
      </c>
      <c r="P2354" s="3">
        <f>SUM($O$2:Table1[[#This Row],[pctAllTimeExp]])</f>
        <v>0.99999101505459054</v>
      </c>
      <c r="Q2354" t="b">
        <f>Table1[[#This Row],[cumPctAllTimeExp]]&lt;0.95</f>
        <v>0</v>
      </c>
    </row>
    <row r="2355" spans="1:17" x14ac:dyDescent="0.25">
      <c r="A2355">
        <v>944</v>
      </c>
      <c r="C2355" t="s">
        <v>2508</v>
      </c>
      <c r="E2355" t="s">
        <v>946</v>
      </c>
      <c r="F2355" s="4">
        <v>0</v>
      </c>
      <c r="G2355" s="4">
        <v>60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f>SUM(Table1[[#This Row],[2025]:[2018]])</f>
        <v>60</v>
      </c>
      <c r="O2355" s="2">
        <f>Table1[[#This Row],[ttl]]/SUM(Table1[ttl])</f>
        <v>1.2098573896174881E-7</v>
      </c>
      <c r="P2355" s="3">
        <f>SUM($O$2:Table1[[#This Row],[pctAllTimeExp]])</f>
        <v>0.99999113604032952</v>
      </c>
      <c r="Q2355" t="b">
        <f>Table1[[#This Row],[cumPctAllTimeExp]]&lt;0.95</f>
        <v>0</v>
      </c>
    </row>
    <row r="2356" spans="1:17" x14ac:dyDescent="0.25">
      <c r="A2356">
        <v>1183</v>
      </c>
      <c r="C2356" t="s">
        <v>2508</v>
      </c>
      <c r="E2356" t="s">
        <v>1185</v>
      </c>
      <c r="F2356" s="4">
        <v>0</v>
      </c>
      <c r="G2356" s="4">
        <v>0</v>
      </c>
      <c r="H2356" s="4">
        <v>60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f>SUM(Table1[[#This Row],[2025]:[2018]])</f>
        <v>60</v>
      </c>
      <c r="O2356" s="2">
        <f>Table1[[#This Row],[ttl]]/SUM(Table1[ttl])</f>
        <v>1.2098573896174881E-7</v>
      </c>
      <c r="P2356" s="3">
        <f>SUM($O$2:Table1[[#This Row],[pctAllTimeExp]])</f>
        <v>0.9999912570260685</v>
      </c>
      <c r="Q2356" t="b">
        <f>Table1[[#This Row],[cumPctAllTimeExp]]&lt;0.95</f>
        <v>0</v>
      </c>
    </row>
    <row r="2357" spans="1:17" x14ac:dyDescent="0.25">
      <c r="A2357">
        <v>1389</v>
      </c>
      <c r="C2357" t="s">
        <v>2508</v>
      </c>
      <c r="E2357" t="s">
        <v>1391</v>
      </c>
      <c r="F2357" s="4">
        <v>0</v>
      </c>
      <c r="G2357" s="4">
        <v>0</v>
      </c>
      <c r="H2357" s="4">
        <v>0</v>
      </c>
      <c r="I2357" s="4">
        <v>60</v>
      </c>
      <c r="J2357" s="4">
        <v>0</v>
      </c>
      <c r="K2357" s="4">
        <v>0</v>
      </c>
      <c r="L2357" s="4">
        <v>0</v>
      </c>
      <c r="M2357" s="4">
        <v>0</v>
      </c>
      <c r="N2357" s="4">
        <f>SUM(Table1[[#This Row],[2025]:[2018]])</f>
        <v>60</v>
      </c>
      <c r="O2357" s="2">
        <f>Table1[[#This Row],[ttl]]/SUM(Table1[ttl])</f>
        <v>1.2098573896174881E-7</v>
      </c>
      <c r="P2357" s="3">
        <f>SUM($O$2:Table1[[#This Row],[pctAllTimeExp]])</f>
        <v>0.99999137801180749</v>
      </c>
      <c r="Q2357" t="b">
        <f>Table1[[#This Row],[cumPctAllTimeExp]]&lt;0.95</f>
        <v>0</v>
      </c>
    </row>
    <row r="2358" spans="1:17" x14ac:dyDescent="0.25">
      <c r="A2358">
        <v>1928</v>
      </c>
      <c r="C2358" t="s">
        <v>2508</v>
      </c>
      <c r="E2358" t="s">
        <v>1930</v>
      </c>
      <c r="F2358" s="4">
        <v>0</v>
      </c>
      <c r="G2358" s="4">
        <v>0</v>
      </c>
      <c r="H2358" s="4">
        <v>0</v>
      </c>
      <c r="I2358" s="4">
        <v>0</v>
      </c>
      <c r="J2358" s="4">
        <v>0</v>
      </c>
      <c r="K2358" s="4">
        <v>60</v>
      </c>
      <c r="L2358" s="4">
        <v>0</v>
      </c>
      <c r="M2358" s="4">
        <v>0</v>
      </c>
      <c r="N2358" s="4">
        <f>SUM(Table1[[#This Row],[2025]:[2018]])</f>
        <v>60</v>
      </c>
      <c r="O2358" s="2">
        <f>Table1[[#This Row],[ttl]]/SUM(Table1[ttl])</f>
        <v>1.2098573896174881E-7</v>
      </c>
      <c r="P2358" s="3">
        <f>SUM($O$2:Table1[[#This Row],[pctAllTimeExp]])</f>
        <v>0.99999149899754647</v>
      </c>
      <c r="Q2358" t="b">
        <f>Table1[[#This Row],[cumPctAllTimeExp]]&lt;0.95</f>
        <v>0</v>
      </c>
    </row>
    <row r="2359" spans="1:17" x14ac:dyDescent="0.25">
      <c r="A2359">
        <v>2469</v>
      </c>
      <c r="C2359" t="s">
        <v>2508</v>
      </c>
      <c r="E2359" t="s">
        <v>2471</v>
      </c>
      <c r="F2359" s="4">
        <v>0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60</v>
      </c>
      <c r="N2359" s="4">
        <f>SUM(Table1[[#This Row],[2025]:[2018]])</f>
        <v>60</v>
      </c>
      <c r="O2359" s="2">
        <f>Table1[[#This Row],[ttl]]/SUM(Table1[ttl])</f>
        <v>1.2098573896174881E-7</v>
      </c>
      <c r="P2359" s="3">
        <f>SUM($O$2:Table1[[#This Row],[pctAllTimeExp]])</f>
        <v>0.99999161998328545</v>
      </c>
      <c r="Q2359" t="b">
        <f>Table1[[#This Row],[cumPctAllTimeExp]]&lt;0.95</f>
        <v>0</v>
      </c>
    </row>
    <row r="2360" spans="1:17" x14ac:dyDescent="0.25">
      <c r="A2360">
        <v>2470</v>
      </c>
      <c r="C2360" t="s">
        <v>2508</v>
      </c>
      <c r="E2360" t="s">
        <v>2472</v>
      </c>
      <c r="F2360" s="4">
        <v>0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  <c r="L2360" s="4">
        <v>0</v>
      </c>
      <c r="M2360" s="4">
        <v>60</v>
      </c>
      <c r="N2360" s="4">
        <f>SUM(Table1[[#This Row],[2025]:[2018]])</f>
        <v>60</v>
      </c>
      <c r="O2360" s="2">
        <f>Table1[[#This Row],[ttl]]/SUM(Table1[ttl])</f>
        <v>1.2098573896174881E-7</v>
      </c>
      <c r="P2360" s="3">
        <f>SUM($O$2:Table1[[#This Row],[pctAllTimeExp]])</f>
        <v>0.99999174096902443</v>
      </c>
      <c r="Q2360" t="b">
        <f>Table1[[#This Row],[cumPctAllTimeExp]]&lt;0.95</f>
        <v>0</v>
      </c>
    </row>
    <row r="2361" spans="1:17" x14ac:dyDescent="0.25">
      <c r="A2361">
        <v>1929</v>
      </c>
      <c r="C2361" t="s">
        <v>2508</v>
      </c>
      <c r="E2361" t="s">
        <v>1931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4">
        <v>59.5</v>
      </c>
      <c r="L2361" s="4">
        <v>0</v>
      </c>
      <c r="M2361" s="4">
        <v>0</v>
      </c>
      <c r="N2361" s="4">
        <f>SUM(Table1[[#This Row],[2025]:[2018]])</f>
        <v>59.5</v>
      </c>
      <c r="O2361" s="2">
        <f>Table1[[#This Row],[ttl]]/SUM(Table1[ttl])</f>
        <v>1.199775244704009E-7</v>
      </c>
      <c r="P2361" s="3">
        <f>SUM($O$2:Table1[[#This Row],[pctAllTimeExp]])</f>
        <v>0.9999918609465489</v>
      </c>
      <c r="Q2361" t="b">
        <f>Table1[[#This Row],[cumPctAllTimeExp]]&lt;0.95</f>
        <v>0</v>
      </c>
    </row>
    <row r="2362" spans="1:17" x14ac:dyDescent="0.25">
      <c r="A2362">
        <v>1390</v>
      </c>
      <c r="C2362" t="s">
        <v>2508</v>
      </c>
      <c r="E2362" t="s">
        <v>1392</v>
      </c>
      <c r="F2362" s="4">
        <v>0</v>
      </c>
      <c r="G2362" s="4">
        <v>0</v>
      </c>
      <c r="H2362" s="4">
        <v>0</v>
      </c>
      <c r="I2362" s="4">
        <v>58.94</v>
      </c>
      <c r="J2362" s="4">
        <v>0</v>
      </c>
      <c r="K2362" s="4">
        <v>0</v>
      </c>
      <c r="L2362" s="4">
        <v>0</v>
      </c>
      <c r="M2362" s="4">
        <v>0</v>
      </c>
      <c r="N2362" s="4">
        <f>SUM(Table1[[#This Row],[2025]:[2018]])</f>
        <v>58.94</v>
      </c>
      <c r="O2362" s="2">
        <f>Table1[[#This Row],[ttl]]/SUM(Table1[ttl])</f>
        <v>1.1884832424009124E-7</v>
      </c>
      <c r="P2362" s="3">
        <f>SUM($O$2:Table1[[#This Row],[pctAllTimeExp]])</f>
        <v>0.9999919797948732</v>
      </c>
      <c r="Q2362" t="b">
        <f>Table1[[#This Row],[cumPctAllTimeExp]]&lt;0.95</f>
        <v>0</v>
      </c>
    </row>
    <row r="2363" spans="1:17" x14ac:dyDescent="0.25">
      <c r="A2363">
        <v>678</v>
      </c>
      <c r="C2363" t="s">
        <v>2508</v>
      </c>
      <c r="E2363" t="s">
        <v>680</v>
      </c>
      <c r="F2363" s="4">
        <v>56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f>SUM(Table1[[#This Row],[2025]:[2018]])</f>
        <v>56</v>
      </c>
      <c r="O2363" s="2">
        <f>Table1[[#This Row],[ttl]]/SUM(Table1[ttl])</f>
        <v>1.1292002303096555E-7</v>
      </c>
      <c r="P2363" s="3">
        <f>SUM($O$2:Table1[[#This Row],[pctAllTimeExp]])</f>
        <v>0.9999920927148962</v>
      </c>
      <c r="Q2363" t="b">
        <f>Table1[[#This Row],[cumPctAllTimeExp]]&lt;0.95</f>
        <v>0</v>
      </c>
    </row>
    <row r="2364" spans="1:17" x14ac:dyDescent="0.25">
      <c r="A2364">
        <v>945</v>
      </c>
      <c r="C2364" t="s">
        <v>2508</v>
      </c>
      <c r="E2364" t="s">
        <v>947</v>
      </c>
      <c r="F2364" s="4">
        <v>0</v>
      </c>
      <c r="G2364" s="4">
        <v>54.66</v>
      </c>
      <c r="H2364" s="4">
        <v>0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f>SUM(Table1[[#This Row],[2025]:[2018]])</f>
        <v>54.66</v>
      </c>
      <c r="O2364" s="2">
        <f>Table1[[#This Row],[ttl]]/SUM(Table1[ttl])</f>
        <v>1.1021800819415316E-7</v>
      </c>
      <c r="P2364" s="3">
        <f>SUM($O$2:Table1[[#This Row],[pctAllTimeExp]])</f>
        <v>0.99999220293290436</v>
      </c>
      <c r="Q2364" t="b">
        <f>Table1[[#This Row],[cumPctAllTimeExp]]&lt;0.95</f>
        <v>0</v>
      </c>
    </row>
    <row r="2365" spans="1:17" x14ac:dyDescent="0.25">
      <c r="A2365">
        <v>1627</v>
      </c>
      <c r="C2365" t="s">
        <v>2508</v>
      </c>
      <c r="E2365" t="s">
        <v>1629</v>
      </c>
      <c r="F2365" s="4">
        <v>0</v>
      </c>
      <c r="G2365" s="4">
        <v>0</v>
      </c>
      <c r="H2365" s="4">
        <v>0</v>
      </c>
      <c r="I2365" s="4">
        <v>0</v>
      </c>
      <c r="J2365" s="4">
        <v>54.44</v>
      </c>
      <c r="K2365" s="4">
        <v>0</v>
      </c>
      <c r="L2365" s="4">
        <v>0</v>
      </c>
      <c r="M2365" s="4">
        <v>0</v>
      </c>
      <c r="N2365" s="4">
        <f>SUM(Table1[[#This Row],[2025]:[2018]])</f>
        <v>54.44</v>
      </c>
      <c r="O2365" s="2">
        <f>Table1[[#This Row],[ttl]]/SUM(Table1[ttl])</f>
        <v>1.0977439381796009E-7</v>
      </c>
      <c r="P2365" s="3">
        <f>SUM($O$2:Table1[[#This Row],[pctAllTimeExp]])</f>
        <v>0.99999231270729816</v>
      </c>
      <c r="Q2365" t="b">
        <f>Table1[[#This Row],[cumPctAllTimeExp]]&lt;0.95</f>
        <v>0</v>
      </c>
    </row>
    <row r="2366" spans="1:17" x14ac:dyDescent="0.25">
      <c r="A2366">
        <v>2234</v>
      </c>
      <c r="C2366" t="s">
        <v>2508</v>
      </c>
      <c r="E2366" t="s">
        <v>2236</v>
      </c>
      <c r="F2366" s="4">
        <v>0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  <c r="L2366" s="4">
        <v>18.989999999999998</v>
      </c>
      <c r="M2366" s="4">
        <v>34.99</v>
      </c>
      <c r="N2366" s="4">
        <f>SUM(Table1[[#This Row],[2025]:[2018]])</f>
        <v>53.980000000000004</v>
      </c>
      <c r="O2366" s="2">
        <f>Table1[[#This Row],[ttl]]/SUM(Table1[ttl])</f>
        <v>1.0884683648592002E-7</v>
      </c>
      <c r="P2366" s="3">
        <f>SUM($O$2:Table1[[#This Row],[pctAllTimeExp]])</f>
        <v>0.99999242155413459</v>
      </c>
      <c r="Q2366" t="b">
        <f>Table1[[#This Row],[cumPctAllTimeExp]]&lt;0.95</f>
        <v>0</v>
      </c>
    </row>
    <row r="2367" spans="1:17" x14ac:dyDescent="0.25">
      <c r="A2367">
        <v>679</v>
      </c>
      <c r="C2367" t="s">
        <v>2508</v>
      </c>
      <c r="E2367" t="s">
        <v>681</v>
      </c>
      <c r="F2367" s="4">
        <v>52.5</v>
      </c>
      <c r="G2367" s="4">
        <v>0</v>
      </c>
      <c r="H2367" s="4">
        <v>0</v>
      </c>
      <c r="I2367" s="4">
        <v>0</v>
      </c>
      <c r="J2367" s="4">
        <v>0</v>
      </c>
      <c r="K2367" s="4">
        <v>0</v>
      </c>
      <c r="L2367" s="4">
        <v>0</v>
      </c>
      <c r="M2367" s="4">
        <v>0</v>
      </c>
      <c r="N2367" s="4">
        <f>SUM(Table1[[#This Row],[2025]:[2018]])</f>
        <v>52.5</v>
      </c>
      <c r="O2367" s="2">
        <f>Table1[[#This Row],[ttl]]/SUM(Table1[ttl])</f>
        <v>1.0586252159153021E-7</v>
      </c>
      <c r="P2367" s="3">
        <f>SUM($O$2:Table1[[#This Row],[pctAllTimeExp]])</f>
        <v>0.99999252741665623</v>
      </c>
      <c r="Q2367" t="b">
        <f>Table1[[#This Row],[cumPctAllTimeExp]]&lt;0.95</f>
        <v>0</v>
      </c>
    </row>
    <row r="2368" spans="1:17" x14ac:dyDescent="0.25">
      <c r="A2368">
        <v>946</v>
      </c>
      <c r="C2368" t="s">
        <v>2508</v>
      </c>
      <c r="E2368" t="s">
        <v>948</v>
      </c>
      <c r="F2368" s="4">
        <v>0</v>
      </c>
      <c r="G2368" s="4">
        <v>52</v>
      </c>
      <c r="H2368" s="4">
        <v>0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f>SUM(Table1[[#This Row],[2025]:[2018]])</f>
        <v>52</v>
      </c>
      <c r="O2368" s="2">
        <f>Table1[[#This Row],[ttl]]/SUM(Table1[ttl])</f>
        <v>1.048543071001823E-7</v>
      </c>
      <c r="P2368" s="3">
        <f>SUM($O$2:Table1[[#This Row],[pctAllTimeExp]])</f>
        <v>0.99999263227096336</v>
      </c>
      <c r="Q2368" t="b">
        <f>Table1[[#This Row],[cumPctAllTimeExp]]&lt;0.95</f>
        <v>0</v>
      </c>
    </row>
    <row r="2369" spans="1:17" x14ac:dyDescent="0.25">
      <c r="A2369">
        <v>1391</v>
      </c>
      <c r="C2369" t="s">
        <v>2508</v>
      </c>
      <c r="E2369" t="s">
        <v>1393</v>
      </c>
      <c r="F2369" s="4">
        <v>0</v>
      </c>
      <c r="G2369" s="4">
        <v>0</v>
      </c>
      <c r="H2369" s="4">
        <v>0</v>
      </c>
      <c r="I2369" s="4">
        <v>50.84</v>
      </c>
      <c r="J2369" s="4">
        <v>0</v>
      </c>
      <c r="K2369" s="4">
        <v>0</v>
      </c>
      <c r="L2369" s="4">
        <v>0</v>
      </c>
      <c r="M2369" s="4">
        <v>0</v>
      </c>
      <c r="N2369" s="4">
        <f>SUM(Table1[[#This Row],[2025]:[2018]])</f>
        <v>50.84</v>
      </c>
      <c r="O2369" s="2">
        <f>Table1[[#This Row],[ttl]]/SUM(Table1[ttl])</f>
        <v>1.0251524948025517E-7</v>
      </c>
      <c r="P2369" s="3">
        <f>SUM($O$2:Table1[[#This Row],[pctAllTimeExp]])</f>
        <v>0.99999273478621287</v>
      </c>
      <c r="Q2369" t="b">
        <f>Table1[[#This Row],[cumPctAllTimeExp]]&lt;0.95</f>
        <v>0</v>
      </c>
    </row>
    <row r="2370" spans="1:17" x14ac:dyDescent="0.25">
      <c r="A2370">
        <v>1185</v>
      </c>
      <c r="C2370" t="s">
        <v>2508</v>
      </c>
      <c r="E2370" t="s">
        <v>1187</v>
      </c>
      <c r="F2370" s="4">
        <v>0</v>
      </c>
      <c r="G2370" s="4">
        <v>0</v>
      </c>
      <c r="H2370" s="4">
        <v>50</v>
      </c>
      <c r="I2370" s="4">
        <v>0</v>
      </c>
      <c r="J2370" s="4">
        <v>0</v>
      </c>
      <c r="K2370" s="4">
        <v>0</v>
      </c>
      <c r="L2370" s="4">
        <v>0</v>
      </c>
      <c r="M2370" s="4">
        <v>0</v>
      </c>
      <c r="N2370" s="4">
        <f>SUM(Table1[[#This Row],[2025]:[2018]])</f>
        <v>50</v>
      </c>
      <c r="O2370" s="2">
        <f>Table1[[#This Row],[ttl]]/SUM(Table1[ttl])</f>
        <v>1.0082144913479067E-7</v>
      </c>
      <c r="P2370" s="3">
        <f>SUM($O$2:Table1[[#This Row],[pctAllTimeExp]])</f>
        <v>0.99999283560766206</v>
      </c>
      <c r="Q2370" t="b">
        <f>Table1[[#This Row],[cumPctAllTimeExp]]&lt;0.95</f>
        <v>0</v>
      </c>
    </row>
    <row r="2371" spans="1:17" x14ac:dyDescent="0.25">
      <c r="A2371">
        <v>1930</v>
      </c>
      <c r="C2371" t="s">
        <v>2508</v>
      </c>
      <c r="E2371" t="s">
        <v>1932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4">
        <v>50</v>
      </c>
      <c r="L2371" s="4">
        <v>0</v>
      </c>
      <c r="M2371" s="4">
        <v>0</v>
      </c>
      <c r="N2371" s="4">
        <f>SUM(Table1[[#This Row],[2025]:[2018]])</f>
        <v>50</v>
      </c>
      <c r="O2371" s="2">
        <f>Table1[[#This Row],[ttl]]/SUM(Table1[ttl])</f>
        <v>1.0082144913479067E-7</v>
      </c>
      <c r="P2371" s="3">
        <f>SUM($O$2:Table1[[#This Row],[pctAllTimeExp]])</f>
        <v>0.99999293642911125</v>
      </c>
      <c r="Q2371" t="b">
        <f>Table1[[#This Row],[cumPctAllTimeExp]]&lt;0.95</f>
        <v>0</v>
      </c>
    </row>
    <row r="2372" spans="1:17" x14ac:dyDescent="0.25">
      <c r="A2372">
        <v>2222</v>
      </c>
      <c r="C2372" t="s">
        <v>2508</v>
      </c>
      <c r="E2372" t="s">
        <v>2224</v>
      </c>
      <c r="F2372" s="4">
        <v>0</v>
      </c>
      <c r="G2372" s="4">
        <v>0</v>
      </c>
      <c r="H2372" s="4">
        <v>0</v>
      </c>
      <c r="I2372" s="4">
        <v>0</v>
      </c>
      <c r="J2372" s="4">
        <v>0</v>
      </c>
      <c r="K2372" s="4">
        <v>0</v>
      </c>
      <c r="L2372" s="4">
        <v>50</v>
      </c>
      <c r="M2372" s="4">
        <v>0</v>
      </c>
      <c r="N2372" s="4">
        <f>SUM(Table1[[#This Row],[2025]:[2018]])</f>
        <v>50</v>
      </c>
      <c r="O2372" s="2">
        <f>Table1[[#This Row],[ttl]]/SUM(Table1[ttl])</f>
        <v>1.0082144913479067E-7</v>
      </c>
      <c r="P2372" s="3">
        <f>SUM($O$2:Table1[[#This Row],[pctAllTimeExp]])</f>
        <v>0.99999303725056043</v>
      </c>
      <c r="Q2372" t="b">
        <f>Table1[[#This Row],[cumPctAllTimeExp]]&lt;0.95</f>
        <v>0</v>
      </c>
    </row>
    <row r="2373" spans="1:17" x14ac:dyDescent="0.25">
      <c r="A2373">
        <v>2471</v>
      </c>
      <c r="C2373" t="s">
        <v>2508</v>
      </c>
      <c r="E2373" t="s">
        <v>2473</v>
      </c>
      <c r="F2373" s="4">
        <v>0</v>
      </c>
      <c r="G2373" s="4">
        <v>0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4">
        <v>50</v>
      </c>
      <c r="N2373" s="4">
        <f>SUM(Table1[[#This Row],[2025]:[2018]])</f>
        <v>50</v>
      </c>
      <c r="O2373" s="2">
        <f>Table1[[#This Row],[ttl]]/SUM(Table1[ttl])</f>
        <v>1.0082144913479067E-7</v>
      </c>
      <c r="P2373" s="3">
        <f>SUM($O$2:Table1[[#This Row],[pctAllTimeExp]])</f>
        <v>0.99999313807200962</v>
      </c>
      <c r="Q2373" t="b">
        <f>Table1[[#This Row],[cumPctAllTimeExp]]&lt;0.95</f>
        <v>0</v>
      </c>
    </row>
    <row r="2374" spans="1:17" x14ac:dyDescent="0.25">
      <c r="A2374">
        <v>2472</v>
      </c>
      <c r="C2374" t="s">
        <v>2508</v>
      </c>
      <c r="E2374" t="s">
        <v>2474</v>
      </c>
      <c r="F2374" s="4">
        <v>0</v>
      </c>
      <c r="G2374" s="4">
        <v>0</v>
      </c>
      <c r="H2374" s="4">
        <v>0</v>
      </c>
      <c r="I2374" s="4">
        <v>0</v>
      </c>
      <c r="J2374" s="4">
        <v>0</v>
      </c>
      <c r="K2374" s="4">
        <v>0</v>
      </c>
      <c r="L2374" s="4">
        <v>0</v>
      </c>
      <c r="M2374" s="4">
        <v>50</v>
      </c>
      <c r="N2374" s="4">
        <f>SUM(Table1[[#This Row],[2025]:[2018]])</f>
        <v>50</v>
      </c>
      <c r="O2374" s="2">
        <f>Table1[[#This Row],[ttl]]/SUM(Table1[ttl])</f>
        <v>1.0082144913479067E-7</v>
      </c>
      <c r="P2374" s="3">
        <f>SUM($O$2:Table1[[#This Row],[pctAllTimeExp]])</f>
        <v>0.99999323889345881</v>
      </c>
      <c r="Q2374" t="b">
        <f>Table1[[#This Row],[cumPctAllTimeExp]]&lt;0.95</f>
        <v>0</v>
      </c>
    </row>
    <row r="2375" spans="1:17" x14ac:dyDescent="0.25">
      <c r="A2375">
        <v>2473</v>
      </c>
      <c r="C2375" t="s">
        <v>2508</v>
      </c>
      <c r="E2375" t="s">
        <v>2475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50</v>
      </c>
      <c r="N2375" s="4">
        <f>SUM(Table1[[#This Row],[2025]:[2018]])</f>
        <v>50</v>
      </c>
      <c r="O2375" s="2">
        <f>Table1[[#This Row],[ttl]]/SUM(Table1[ttl])</f>
        <v>1.0082144913479067E-7</v>
      </c>
      <c r="P2375" s="3">
        <f>SUM($O$2:Table1[[#This Row],[pctAllTimeExp]])</f>
        <v>0.999993339714908</v>
      </c>
      <c r="Q2375" t="b">
        <f>Table1[[#This Row],[cumPctAllTimeExp]]&lt;0.95</f>
        <v>0</v>
      </c>
    </row>
    <row r="2376" spans="1:17" x14ac:dyDescent="0.25">
      <c r="A2376">
        <v>947</v>
      </c>
      <c r="C2376" t="s">
        <v>2508</v>
      </c>
      <c r="E2376" t="s">
        <v>949</v>
      </c>
      <c r="F2376" s="4">
        <v>0</v>
      </c>
      <c r="G2376" s="4">
        <v>49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4">
        <f>SUM(Table1[[#This Row],[2025]:[2018]])</f>
        <v>49</v>
      </c>
      <c r="O2376" s="2">
        <f>Table1[[#This Row],[ttl]]/SUM(Table1[ttl])</f>
        <v>9.8805020152094861E-8</v>
      </c>
      <c r="P2376" s="3">
        <f>SUM($O$2:Table1[[#This Row],[pctAllTimeExp]])</f>
        <v>0.99999343851992817</v>
      </c>
      <c r="Q2376" t="b">
        <f>Table1[[#This Row],[cumPctAllTimeExp]]&lt;0.95</f>
        <v>0</v>
      </c>
    </row>
    <row r="2377" spans="1:17" x14ac:dyDescent="0.25">
      <c r="A2377">
        <v>1628</v>
      </c>
      <c r="C2377" t="s">
        <v>2508</v>
      </c>
      <c r="E2377" t="s">
        <v>1630</v>
      </c>
      <c r="F2377" s="4">
        <v>0</v>
      </c>
      <c r="G2377" s="4">
        <v>0</v>
      </c>
      <c r="H2377" s="4">
        <v>0</v>
      </c>
      <c r="I2377" s="4">
        <v>0</v>
      </c>
      <c r="J2377" s="4">
        <v>44</v>
      </c>
      <c r="K2377" s="4">
        <v>0</v>
      </c>
      <c r="L2377" s="4">
        <v>0</v>
      </c>
      <c r="M2377" s="4">
        <v>0</v>
      </c>
      <c r="N2377" s="4">
        <f>SUM(Table1[[#This Row],[2025]:[2018]])</f>
        <v>44</v>
      </c>
      <c r="O2377" s="2">
        <f>Table1[[#This Row],[ttl]]/SUM(Table1[ttl])</f>
        <v>8.8722875238615788E-8</v>
      </c>
      <c r="P2377" s="3">
        <f>SUM($O$2:Table1[[#This Row],[pctAllTimeExp]])</f>
        <v>0.99999352724280344</v>
      </c>
      <c r="Q2377" t="b">
        <f>Table1[[#This Row],[cumPctAllTimeExp]]&lt;0.95</f>
        <v>0</v>
      </c>
    </row>
    <row r="2378" spans="1:17" x14ac:dyDescent="0.25">
      <c r="A2378">
        <v>1932</v>
      </c>
      <c r="C2378" t="s">
        <v>2508</v>
      </c>
      <c r="E2378" t="s">
        <v>1934</v>
      </c>
      <c r="F2378" s="4">
        <v>0</v>
      </c>
      <c r="G2378" s="4">
        <v>0</v>
      </c>
      <c r="H2378" s="4">
        <v>0</v>
      </c>
      <c r="I2378" s="4">
        <v>0</v>
      </c>
      <c r="J2378" s="4">
        <v>0</v>
      </c>
      <c r="K2378" s="4">
        <v>44</v>
      </c>
      <c r="L2378" s="4">
        <v>0</v>
      </c>
      <c r="M2378" s="4">
        <v>0</v>
      </c>
      <c r="N2378" s="4">
        <f>SUM(Table1[[#This Row],[2025]:[2018]])</f>
        <v>44</v>
      </c>
      <c r="O2378" s="2">
        <f>Table1[[#This Row],[ttl]]/SUM(Table1[ttl])</f>
        <v>8.8722875238615788E-8</v>
      </c>
      <c r="P2378" s="3">
        <f>SUM($O$2:Table1[[#This Row],[pctAllTimeExp]])</f>
        <v>0.99999361596567871</v>
      </c>
      <c r="Q2378" t="b">
        <f>Table1[[#This Row],[cumPctAllTimeExp]]&lt;0.95</f>
        <v>0</v>
      </c>
    </row>
    <row r="2379" spans="1:17" x14ac:dyDescent="0.25">
      <c r="A2379">
        <v>2474</v>
      </c>
      <c r="C2379" t="s">
        <v>2508</v>
      </c>
      <c r="E2379" t="s">
        <v>2476</v>
      </c>
      <c r="F2379" s="4">
        <v>0</v>
      </c>
      <c r="G2379" s="4">
        <v>0</v>
      </c>
      <c r="H2379" s="4">
        <v>0</v>
      </c>
      <c r="I2379" s="4">
        <v>0</v>
      </c>
      <c r="J2379" s="4">
        <v>0</v>
      </c>
      <c r="K2379" s="4">
        <v>0</v>
      </c>
      <c r="L2379" s="4">
        <v>0</v>
      </c>
      <c r="M2379" s="4">
        <v>43.66</v>
      </c>
      <c r="N2379" s="4">
        <f>SUM(Table1[[#This Row],[2025]:[2018]])</f>
        <v>43.66</v>
      </c>
      <c r="O2379" s="2">
        <f>Table1[[#This Row],[ttl]]/SUM(Table1[ttl])</f>
        <v>8.803728938449921E-8</v>
      </c>
      <c r="P2379" s="3">
        <f>SUM($O$2:Table1[[#This Row],[pctAllTimeExp]])</f>
        <v>0.99999370400296805</v>
      </c>
      <c r="Q2379" t="b">
        <f>Table1[[#This Row],[cumPctAllTimeExp]]&lt;0.95</f>
        <v>0</v>
      </c>
    </row>
    <row r="2380" spans="1:17" x14ac:dyDescent="0.25">
      <c r="A2380">
        <v>2475</v>
      </c>
      <c r="C2380" t="s">
        <v>2508</v>
      </c>
      <c r="E2380" t="s">
        <v>2477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0</v>
      </c>
      <c r="L2380" s="4">
        <v>0</v>
      </c>
      <c r="M2380" s="4">
        <v>43.56</v>
      </c>
      <c r="N2380" s="4">
        <f>SUM(Table1[[#This Row],[2025]:[2018]])</f>
        <v>43.56</v>
      </c>
      <c r="O2380" s="2">
        <f>Table1[[#This Row],[ttl]]/SUM(Table1[ttl])</f>
        <v>8.7835646486229634E-8</v>
      </c>
      <c r="P2380" s="3">
        <f>SUM($O$2:Table1[[#This Row],[pctAllTimeExp]])</f>
        <v>0.99999379183861459</v>
      </c>
      <c r="Q2380" t="b">
        <f>Table1[[#This Row],[cumPctAllTimeExp]]&lt;0.95</f>
        <v>0</v>
      </c>
    </row>
    <row r="2381" spans="1:17" x14ac:dyDescent="0.25">
      <c r="A2381">
        <v>1186</v>
      </c>
      <c r="C2381" t="s">
        <v>2508</v>
      </c>
      <c r="E2381" t="s">
        <v>1188</v>
      </c>
      <c r="F2381" s="4">
        <v>0</v>
      </c>
      <c r="G2381" s="4">
        <v>0</v>
      </c>
      <c r="H2381" s="4">
        <v>43.23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f>SUM(Table1[[#This Row],[2025]:[2018]])</f>
        <v>43.23</v>
      </c>
      <c r="O2381" s="2">
        <f>Table1[[#This Row],[ttl]]/SUM(Table1[ttl])</f>
        <v>8.7170224921940012E-8</v>
      </c>
      <c r="P2381" s="3">
        <f>SUM($O$2:Table1[[#This Row],[pctAllTimeExp]])</f>
        <v>0.99999387900883951</v>
      </c>
      <c r="Q2381" t="b">
        <f>Table1[[#This Row],[cumPctAllTimeExp]]&lt;0.95</f>
        <v>0</v>
      </c>
    </row>
    <row r="2382" spans="1:17" x14ac:dyDescent="0.25">
      <c r="A2382">
        <v>1933</v>
      </c>
      <c r="C2382" t="s">
        <v>2508</v>
      </c>
      <c r="E2382" t="s">
        <v>1935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42.5</v>
      </c>
      <c r="L2382" s="4">
        <v>0</v>
      </c>
      <c r="M2382" s="4">
        <v>0</v>
      </c>
      <c r="N2382" s="4">
        <f>SUM(Table1[[#This Row],[2025]:[2018]])</f>
        <v>42.5</v>
      </c>
      <c r="O2382" s="2">
        <f>Table1[[#This Row],[ttl]]/SUM(Table1[ttl])</f>
        <v>8.5698231764572075E-8</v>
      </c>
      <c r="P2382" s="3">
        <f>SUM($O$2:Table1[[#This Row],[pctAllTimeExp]])</f>
        <v>0.99999396470707125</v>
      </c>
      <c r="Q2382" t="b">
        <f>Table1[[#This Row],[cumPctAllTimeExp]]&lt;0.95</f>
        <v>0</v>
      </c>
    </row>
    <row r="2383" spans="1:17" x14ac:dyDescent="0.25">
      <c r="A2383">
        <v>1934</v>
      </c>
      <c r="C2383" t="s">
        <v>2508</v>
      </c>
      <c r="E2383" t="s">
        <v>1936</v>
      </c>
      <c r="F2383" s="4">
        <v>0</v>
      </c>
      <c r="G2383" s="4">
        <v>0</v>
      </c>
      <c r="H2383" s="4">
        <v>0</v>
      </c>
      <c r="I2383" s="4">
        <v>0</v>
      </c>
      <c r="J2383" s="4">
        <v>0</v>
      </c>
      <c r="K2383" s="4">
        <v>42.5</v>
      </c>
      <c r="L2383" s="4">
        <v>0</v>
      </c>
      <c r="M2383" s="4">
        <v>0</v>
      </c>
      <c r="N2383" s="4">
        <f>SUM(Table1[[#This Row],[2025]:[2018]])</f>
        <v>42.5</v>
      </c>
      <c r="O2383" s="2">
        <f>Table1[[#This Row],[ttl]]/SUM(Table1[ttl])</f>
        <v>8.5698231764572075E-8</v>
      </c>
      <c r="P2383" s="3">
        <f>SUM($O$2:Table1[[#This Row],[pctAllTimeExp]])</f>
        <v>0.99999405040530298</v>
      </c>
      <c r="Q2383" t="b">
        <f>Table1[[#This Row],[cumPctAllTimeExp]]&lt;0.95</f>
        <v>0</v>
      </c>
    </row>
    <row r="2384" spans="1:17" x14ac:dyDescent="0.25">
      <c r="A2384">
        <v>948</v>
      </c>
      <c r="C2384" t="s">
        <v>2508</v>
      </c>
      <c r="E2384" t="s">
        <v>950</v>
      </c>
      <c r="F2384" s="4">
        <v>0</v>
      </c>
      <c r="G2384" s="4">
        <v>42</v>
      </c>
      <c r="H2384" s="4">
        <v>0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4">
        <f>SUM(Table1[[#This Row],[2025]:[2018]])</f>
        <v>42</v>
      </c>
      <c r="O2384" s="2">
        <f>Table1[[#This Row],[ttl]]/SUM(Table1[ttl])</f>
        <v>8.469001727322417E-8</v>
      </c>
      <c r="P2384" s="3">
        <f>SUM($O$2:Table1[[#This Row],[pctAllTimeExp]])</f>
        <v>0.9999941350953202</v>
      </c>
      <c r="Q2384" t="b">
        <f>Table1[[#This Row],[cumPctAllTimeExp]]&lt;0.95</f>
        <v>0</v>
      </c>
    </row>
    <row r="2385" spans="1:17" x14ac:dyDescent="0.25">
      <c r="A2385">
        <v>1392</v>
      </c>
      <c r="C2385" t="s">
        <v>2508</v>
      </c>
      <c r="E2385" t="s">
        <v>1394</v>
      </c>
      <c r="F2385" s="4">
        <v>0</v>
      </c>
      <c r="G2385" s="4">
        <v>0</v>
      </c>
      <c r="H2385" s="4">
        <v>0</v>
      </c>
      <c r="I2385" s="4">
        <v>40</v>
      </c>
      <c r="J2385" s="4">
        <v>0</v>
      </c>
      <c r="K2385" s="4">
        <v>0</v>
      </c>
      <c r="L2385" s="4">
        <v>0</v>
      </c>
      <c r="M2385" s="4">
        <v>0</v>
      </c>
      <c r="N2385" s="4">
        <f>SUM(Table1[[#This Row],[2025]:[2018]])</f>
        <v>40</v>
      </c>
      <c r="O2385" s="2">
        <f>Table1[[#This Row],[ttl]]/SUM(Table1[ttl])</f>
        <v>8.0657159307832539E-8</v>
      </c>
      <c r="P2385" s="3">
        <f>SUM($O$2:Table1[[#This Row],[pctAllTimeExp]])</f>
        <v>0.99999421575247949</v>
      </c>
      <c r="Q2385" t="b">
        <f>Table1[[#This Row],[cumPctAllTimeExp]]&lt;0.95</f>
        <v>0</v>
      </c>
    </row>
    <row r="2386" spans="1:17" x14ac:dyDescent="0.25">
      <c r="A2386">
        <v>1629</v>
      </c>
      <c r="C2386" t="s">
        <v>2508</v>
      </c>
      <c r="E2386" t="s">
        <v>1631</v>
      </c>
      <c r="F2386" s="4">
        <v>0</v>
      </c>
      <c r="G2386" s="4">
        <v>0</v>
      </c>
      <c r="H2386" s="4">
        <v>0</v>
      </c>
      <c r="I2386" s="4">
        <v>0</v>
      </c>
      <c r="J2386" s="4">
        <v>40</v>
      </c>
      <c r="K2386" s="4">
        <v>0</v>
      </c>
      <c r="L2386" s="4">
        <v>0</v>
      </c>
      <c r="M2386" s="4">
        <v>0</v>
      </c>
      <c r="N2386" s="4">
        <f>SUM(Table1[[#This Row],[2025]:[2018]])</f>
        <v>40</v>
      </c>
      <c r="O2386" s="2">
        <f>Table1[[#This Row],[ttl]]/SUM(Table1[ttl])</f>
        <v>8.0657159307832539E-8</v>
      </c>
      <c r="P2386" s="3">
        <f>SUM($O$2:Table1[[#This Row],[pctAllTimeExp]])</f>
        <v>0.99999429640963877</v>
      </c>
      <c r="Q2386" t="b">
        <f>Table1[[#This Row],[cumPctAllTimeExp]]&lt;0.95</f>
        <v>0</v>
      </c>
    </row>
    <row r="2387" spans="1:17" x14ac:dyDescent="0.25">
      <c r="A2387">
        <v>1630</v>
      </c>
      <c r="C2387" t="s">
        <v>2508</v>
      </c>
      <c r="E2387" t="s">
        <v>1632</v>
      </c>
      <c r="F2387" s="4">
        <v>0</v>
      </c>
      <c r="G2387" s="4">
        <v>0</v>
      </c>
      <c r="H2387" s="4">
        <v>0</v>
      </c>
      <c r="I2387" s="4">
        <v>0</v>
      </c>
      <c r="J2387" s="4">
        <v>40</v>
      </c>
      <c r="K2387" s="4">
        <v>0</v>
      </c>
      <c r="L2387" s="4">
        <v>0</v>
      </c>
      <c r="M2387" s="4">
        <v>0</v>
      </c>
      <c r="N2387" s="4">
        <f>SUM(Table1[[#This Row],[2025]:[2018]])</f>
        <v>40</v>
      </c>
      <c r="O2387" s="2">
        <f>Table1[[#This Row],[ttl]]/SUM(Table1[ttl])</f>
        <v>8.0657159307832539E-8</v>
      </c>
      <c r="P2387" s="3">
        <f>SUM($O$2:Table1[[#This Row],[pctAllTimeExp]])</f>
        <v>0.99999437706679806</v>
      </c>
      <c r="Q2387" t="b">
        <f>Table1[[#This Row],[cumPctAllTimeExp]]&lt;0.95</f>
        <v>0</v>
      </c>
    </row>
    <row r="2388" spans="1:17" x14ac:dyDescent="0.25">
      <c r="A2388">
        <v>1631</v>
      </c>
      <c r="C2388" t="s">
        <v>2508</v>
      </c>
      <c r="E2388" t="s">
        <v>1633</v>
      </c>
      <c r="F2388" s="4">
        <v>0</v>
      </c>
      <c r="G2388" s="4">
        <v>0</v>
      </c>
      <c r="H2388" s="4">
        <v>0</v>
      </c>
      <c r="I2388" s="4">
        <v>0</v>
      </c>
      <c r="J2388" s="4">
        <v>40</v>
      </c>
      <c r="K2388" s="4">
        <v>0</v>
      </c>
      <c r="L2388" s="4">
        <v>0</v>
      </c>
      <c r="M2388" s="4">
        <v>0</v>
      </c>
      <c r="N2388" s="4">
        <f>SUM(Table1[[#This Row],[2025]:[2018]])</f>
        <v>40</v>
      </c>
      <c r="O2388" s="2">
        <f>Table1[[#This Row],[ttl]]/SUM(Table1[ttl])</f>
        <v>8.0657159307832539E-8</v>
      </c>
      <c r="P2388" s="3">
        <f>SUM($O$2:Table1[[#This Row],[pctAllTimeExp]])</f>
        <v>0.99999445772395734</v>
      </c>
      <c r="Q2388" t="b">
        <f>Table1[[#This Row],[cumPctAllTimeExp]]&lt;0.95</f>
        <v>0</v>
      </c>
    </row>
    <row r="2389" spans="1:17" x14ac:dyDescent="0.25">
      <c r="A2389">
        <v>1632</v>
      </c>
      <c r="C2389" t="s">
        <v>2508</v>
      </c>
      <c r="E2389" t="s">
        <v>1634</v>
      </c>
      <c r="F2389" s="4">
        <v>0</v>
      </c>
      <c r="G2389" s="4">
        <v>0</v>
      </c>
      <c r="H2389" s="4">
        <v>0</v>
      </c>
      <c r="I2389" s="4">
        <v>0</v>
      </c>
      <c r="J2389" s="4">
        <v>40</v>
      </c>
      <c r="K2389" s="4">
        <v>0</v>
      </c>
      <c r="L2389" s="4">
        <v>0</v>
      </c>
      <c r="M2389" s="4">
        <v>0</v>
      </c>
      <c r="N2389" s="4">
        <f>SUM(Table1[[#This Row],[2025]:[2018]])</f>
        <v>40</v>
      </c>
      <c r="O2389" s="2">
        <f>Table1[[#This Row],[ttl]]/SUM(Table1[ttl])</f>
        <v>8.0657159307832539E-8</v>
      </c>
      <c r="P2389" s="3">
        <f>SUM($O$2:Table1[[#This Row],[pctAllTimeExp]])</f>
        <v>0.99999453838111663</v>
      </c>
      <c r="Q2389" t="b">
        <f>Table1[[#This Row],[cumPctAllTimeExp]]&lt;0.95</f>
        <v>0</v>
      </c>
    </row>
    <row r="2390" spans="1:17" x14ac:dyDescent="0.25">
      <c r="A2390">
        <v>1633</v>
      </c>
      <c r="C2390" t="s">
        <v>2508</v>
      </c>
      <c r="E2390" t="s">
        <v>1635</v>
      </c>
      <c r="F2390" s="4">
        <v>0</v>
      </c>
      <c r="G2390" s="4">
        <v>0</v>
      </c>
      <c r="H2390" s="4">
        <v>0</v>
      </c>
      <c r="I2390" s="4">
        <v>0</v>
      </c>
      <c r="J2390" s="4">
        <v>40</v>
      </c>
      <c r="K2390" s="4">
        <v>0</v>
      </c>
      <c r="L2390" s="4">
        <v>0</v>
      </c>
      <c r="M2390" s="4">
        <v>0</v>
      </c>
      <c r="N2390" s="4">
        <f>SUM(Table1[[#This Row],[2025]:[2018]])</f>
        <v>40</v>
      </c>
      <c r="O2390" s="2">
        <f>Table1[[#This Row],[ttl]]/SUM(Table1[ttl])</f>
        <v>8.0657159307832539E-8</v>
      </c>
      <c r="P2390" s="3">
        <f>SUM($O$2:Table1[[#This Row],[pctAllTimeExp]])</f>
        <v>0.99999461903827591</v>
      </c>
      <c r="Q2390" t="b">
        <f>Table1[[#This Row],[cumPctAllTimeExp]]&lt;0.95</f>
        <v>0</v>
      </c>
    </row>
    <row r="2391" spans="1:17" x14ac:dyDescent="0.25">
      <c r="A2391">
        <v>1634</v>
      </c>
      <c r="C2391" t="s">
        <v>2508</v>
      </c>
      <c r="E2391" t="s">
        <v>1636</v>
      </c>
      <c r="F2391" s="4">
        <v>0</v>
      </c>
      <c r="G2391" s="4">
        <v>0</v>
      </c>
      <c r="H2391" s="4">
        <v>0</v>
      </c>
      <c r="I2391" s="4">
        <v>0</v>
      </c>
      <c r="J2391" s="4">
        <v>40</v>
      </c>
      <c r="K2391" s="4">
        <v>0</v>
      </c>
      <c r="L2391" s="4">
        <v>0</v>
      </c>
      <c r="M2391" s="4">
        <v>0</v>
      </c>
      <c r="N2391" s="4">
        <f>SUM(Table1[[#This Row],[2025]:[2018]])</f>
        <v>40</v>
      </c>
      <c r="O2391" s="2">
        <f>Table1[[#This Row],[ttl]]/SUM(Table1[ttl])</f>
        <v>8.0657159307832539E-8</v>
      </c>
      <c r="P2391" s="3">
        <f>SUM($O$2:Table1[[#This Row],[pctAllTimeExp]])</f>
        <v>0.9999946996954352</v>
      </c>
      <c r="Q2391" t="b">
        <f>Table1[[#This Row],[cumPctAllTimeExp]]&lt;0.95</f>
        <v>0</v>
      </c>
    </row>
    <row r="2392" spans="1:17" x14ac:dyDescent="0.25">
      <c r="A2392">
        <v>1635</v>
      </c>
      <c r="C2392" t="s">
        <v>2508</v>
      </c>
      <c r="E2392" t="s">
        <v>1637</v>
      </c>
      <c r="F2392" s="4">
        <v>0</v>
      </c>
      <c r="G2392" s="4">
        <v>0</v>
      </c>
      <c r="H2392" s="4">
        <v>0</v>
      </c>
      <c r="I2392" s="4">
        <v>0</v>
      </c>
      <c r="J2392" s="4">
        <v>40</v>
      </c>
      <c r="K2392" s="4">
        <v>0</v>
      </c>
      <c r="L2392" s="4">
        <v>0</v>
      </c>
      <c r="M2392" s="4">
        <v>0</v>
      </c>
      <c r="N2392" s="4">
        <f>SUM(Table1[[#This Row],[2025]:[2018]])</f>
        <v>40</v>
      </c>
      <c r="O2392" s="2">
        <f>Table1[[#This Row],[ttl]]/SUM(Table1[ttl])</f>
        <v>8.0657159307832539E-8</v>
      </c>
      <c r="P2392" s="3">
        <f>SUM($O$2:Table1[[#This Row],[pctAllTimeExp]])</f>
        <v>0.99999478035259448</v>
      </c>
      <c r="Q2392" t="b">
        <f>Table1[[#This Row],[cumPctAllTimeExp]]&lt;0.95</f>
        <v>0</v>
      </c>
    </row>
    <row r="2393" spans="1:17" x14ac:dyDescent="0.25">
      <c r="A2393">
        <v>1636</v>
      </c>
      <c r="C2393" t="s">
        <v>2508</v>
      </c>
      <c r="E2393" t="s">
        <v>1638</v>
      </c>
      <c r="F2393" s="4">
        <v>0</v>
      </c>
      <c r="G2393" s="4">
        <v>0</v>
      </c>
      <c r="H2393" s="4">
        <v>0</v>
      </c>
      <c r="I2393" s="4">
        <v>0</v>
      </c>
      <c r="J2393" s="4">
        <v>40</v>
      </c>
      <c r="K2393" s="4">
        <v>0</v>
      </c>
      <c r="L2393" s="4">
        <v>0</v>
      </c>
      <c r="M2393" s="4">
        <v>0</v>
      </c>
      <c r="N2393" s="4">
        <f>SUM(Table1[[#This Row],[2025]:[2018]])</f>
        <v>40</v>
      </c>
      <c r="O2393" s="2">
        <f>Table1[[#This Row],[ttl]]/SUM(Table1[ttl])</f>
        <v>8.0657159307832539E-8</v>
      </c>
      <c r="P2393" s="3">
        <f>SUM($O$2:Table1[[#This Row],[pctAllTimeExp]])</f>
        <v>0.99999486100975377</v>
      </c>
      <c r="Q2393" t="b">
        <f>Table1[[#This Row],[cumPctAllTimeExp]]&lt;0.95</f>
        <v>0</v>
      </c>
    </row>
    <row r="2394" spans="1:17" x14ac:dyDescent="0.25">
      <c r="A2394">
        <v>1637</v>
      </c>
      <c r="C2394" t="s">
        <v>2508</v>
      </c>
      <c r="E2394" t="s">
        <v>1639</v>
      </c>
      <c r="F2394" s="4">
        <v>0</v>
      </c>
      <c r="G2394" s="4">
        <v>0</v>
      </c>
      <c r="H2394" s="4">
        <v>0</v>
      </c>
      <c r="I2394" s="4">
        <v>0</v>
      </c>
      <c r="J2394" s="4">
        <v>40</v>
      </c>
      <c r="K2394" s="4">
        <v>0</v>
      </c>
      <c r="L2394" s="4">
        <v>0</v>
      </c>
      <c r="M2394" s="4">
        <v>0</v>
      </c>
      <c r="N2394" s="4">
        <f>SUM(Table1[[#This Row],[2025]:[2018]])</f>
        <v>40</v>
      </c>
      <c r="O2394" s="2">
        <f>Table1[[#This Row],[ttl]]/SUM(Table1[ttl])</f>
        <v>8.0657159307832539E-8</v>
      </c>
      <c r="P2394" s="3">
        <f>SUM($O$2:Table1[[#This Row],[pctAllTimeExp]])</f>
        <v>0.99999494166691305</v>
      </c>
      <c r="Q2394" t="b">
        <f>Table1[[#This Row],[cumPctAllTimeExp]]&lt;0.95</f>
        <v>0</v>
      </c>
    </row>
    <row r="2395" spans="1:17" x14ac:dyDescent="0.25">
      <c r="A2395">
        <v>1638</v>
      </c>
      <c r="C2395" t="s">
        <v>2508</v>
      </c>
      <c r="E2395" t="s">
        <v>1640</v>
      </c>
      <c r="F2395" s="4">
        <v>0</v>
      </c>
      <c r="G2395" s="4">
        <v>0</v>
      </c>
      <c r="H2395" s="4">
        <v>0</v>
      </c>
      <c r="I2395" s="4">
        <v>0</v>
      </c>
      <c r="J2395" s="4">
        <v>40</v>
      </c>
      <c r="K2395" s="4">
        <v>0</v>
      </c>
      <c r="L2395" s="4">
        <v>0</v>
      </c>
      <c r="M2395" s="4">
        <v>0</v>
      </c>
      <c r="N2395" s="4">
        <f>SUM(Table1[[#This Row],[2025]:[2018]])</f>
        <v>40</v>
      </c>
      <c r="O2395" s="2">
        <f>Table1[[#This Row],[ttl]]/SUM(Table1[ttl])</f>
        <v>8.0657159307832539E-8</v>
      </c>
      <c r="P2395" s="3">
        <f>SUM($O$2:Table1[[#This Row],[pctAllTimeExp]])</f>
        <v>0.99999502232407234</v>
      </c>
      <c r="Q2395" t="b">
        <f>Table1[[#This Row],[cumPctAllTimeExp]]&lt;0.95</f>
        <v>0</v>
      </c>
    </row>
    <row r="2396" spans="1:17" x14ac:dyDescent="0.25">
      <c r="A2396">
        <v>1639</v>
      </c>
      <c r="C2396" t="s">
        <v>2508</v>
      </c>
      <c r="E2396" t="s">
        <v>1641</v>
      </c>
      <c r="F2396" s="4">
        <v>0</v>
      </c>
      <c r="G2396" s="4">
        <v>0</v>
      </c>
      <c r="H2396" s="4">
        <v>0</v>
      </c>
      <c r="I2396" s="4">
        <v>0</v>
      </c>
      <c r="J2396" s="4">
        <v>40</v>
      </c>
      <c r="K2396" s="4">
        <v>0</v>
      </c>
      <c r="L2396" s="4">
        <v>0</v>
      </c>
      <c r="M2396" s="4">
        <v>0</v>
      </c>
      <c r="N2396" s="4">
        <f>SUM(Table1[[#This Row],[2025]:[2018]])</f>
        <v>40</v>
      </c>
      <c r="O2396" s="2">
        <f>Table1[[#This Row],[ttl]]/SUM(Table1[ttl])</f>
        <v>8.0657159307832539E-8</v>
      </c>
      <c r="P2396" s="3">
        <f>SUM($O$2:Table1[[#This Row],[pctAllTimeExp]])</f>
        <v>0.99999510298123162</v>
      </c>
      <c r="Q2396" t="b">
        <f>Table1[[#This Row],[cumPctAllTimeExp]]&lt;0.95</f>
        <v>0</v>
      </c>
    </row>
    <row r="2397" spans="1:17" x14ac:dyDescent="0.25">
      <c r="A2397">
        <v>1640</v>
      </c>
      <c r="C2397" t="s">
        <v>2508</v>
      </c>
      <c r="E2397" t="s">
        <v>1642</v>
      </c>
      <c r="F2397" s="4">
        <v>0</v>
      </c>
      <c r="G2397" s="4">
        <v>0</v>
      </c>
      <c r="H2397" s="4">
        <v>0</v>
      </c>
      <c r="I2397" s="4">
        <v>0</v>
      </c>
      <c r="J2397" s="4">
        <v>40</v>
      </c>
      <c r="K2397" s="4">
        <v>0</v>
      </c>
      <c r="L2397" s="4">
        <v>0</v>
      </c>
      <c r="M2397" s="4">
        <v>0</v>
      </c>
      <c r="N2397" s="4">
        <f>SUM(Table1[[#This Row],[2025]:[2018]])</f>
        <v>40</v>
      </c>
      <c r="O2397" s="2">
        <f>Table1[[#This Row],[ttl]]/SUM(Table1[ttl])</f>
        <v>8.0657159307832539E-8</v>
      </c>
      <c r="P2397" s="3">
        <f>SUM($O$2:Table1[[#This Row],[pctAllTimeExp]])</f>
        <v>0.99999518363839091</v>
      </c>
      <c r="Q2397" t="b">
        <f>Table1[[#This Row],[cumPctAllTimeExp]]&lt;0.95</f>
        <v>0</v>
      </c>
    </row>
    <row r="2398" spans="1:17" x14ac:dyDescent="0.25">
      <c r="A2398">
        <v>1641</v>
      </c>
      <c r="C2398" t="s">
        <v>2508</v>
      </c>
      <c r="E2398" t="s">
        <v>1643</v>
      </c>
      <c r="F2398" s="4">
        <v>0</v>
      </c>
      <c r="G2398" s="4">
        <v>0</v>
      </c>
      <c r="H2398" s="4">
        <v>0</v>
      </c>
      <c r="I2398" s="4">
        <v>0</v>
      </c>
      <c r="J2398" s="4">
        <v>40</v>
      </c>
      <c r="K2398" s="4">
        <v>0</v>
      </c>
      <c r="L2398" s="4">
        <v>0</v>
      </c>
      <c r="M2398" s="4">
        <v>0</v>
      </c>
      <c r="N2398" s="4">
        <f>SUM(Table1[[#This Row],[2025]:[2018]])</f>
        <v>40</v>
      </c>
      <c r="O2398" s="2">
        <f>Table1[[#This Row],[ttl]]/SUM(Table1[ttl])</f>
        <v>8.0657159307832539E-8</v>
      </c>
      <c r="P2398" s="3">
        <f>SUM($O$2:Table1[[#This Row],[pctAllTimeExp]])</f>
        <v>0.99999526429555019</v>
      </c>
      <c r="Q2398" t="b">
        <f>Table1[[#This Row],[cumPctAllTimeExp]]&lt;0.95</f>
        <v>0</v>
      </c>
    </row>
    <row r="2399" spans="1:17" x14ac:dyDescent="0.25">
      <c r="A2399">
        <v>1935</v>
      </c>
      <c r="C2399" t="s">
        <v>2508</v>
      </c>
      <c r="E2399" t="s">
        <v>1937</v>
      </c>
      <c r="F2399" s="4">
        <v>0</v>
      </c>
      <c r="G2399" s="4">
        <v>0</v>
      </c>
      <c r="H2399" s="4">
        <v>0</v>
      </c>
      <c r="I2399" s="4">
        <v>0</v>
      </c>
      <c r="J2399" s="4">
        <v>0</v>
      </c>
      <c r="K2399" s="4">
        <v>40</v>
      </c>
      <c r="L2399" s="4">
        <v>0</v>
      </c>
      <c r="M2399" s="4">
        <v>0</v>
      </c>
      <c r="N2399" s="4">
        <f>SUM(Table1[[#This Row],[2025]:[2018]])</f>
        <v>40</v>
      </c>
      <c r="O2399" s="2">
        <f>Table1[[#This Row],[ttl]]/SUM(Table1[ttl])</f>
        <v>8.0657159307832539E-8</v>
      </c>
      <c r="P2399" s="3">
        <f>SUM($O$2:Table1[[#This Row],[pctAllTimeExp]])</f>
        <v>0.99999534495270948</v>
      </c>
      <c r="Q2399" t="b">
        <f>Table1[[#This Row],[cumPctAllTimeExp]]&lt;0.95</f>
        <v>0</v>
      </c>
    </row>
    <row r="2400" spans="1:17" x14ac:dyDescent="0.25">
      <c r="A2400">
        <v>1936</v>
      </c>
      <c r="C2400" t="s">
        <v>2508</v>
      </c>
      <c r="E2400" t="s">
        <v>1938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4">
        <v>40</v>
      </c>
      <c r="L2400" s="4">
        <v>0</v>
      </c>
      <c r="M2400" s="4">
        <v>0</v>
      </c>
      <c r="N2400" s="4">
        <f>SUM(Table1[[#This Row],[2025]:[2018]])</f>
        <v>40</v>
      </c>
      <c r="O2400" s="2">
        <f>Table1[[#This Row],[ttl]]/SUM(Table1[ttl])</f>
        <v>8.0657159307832539E-8</v>
      </c>
      <c r="P2400" s="3">
        <f>SUM($O$2:Table1[[#This Row],[pctAllTimeExp]])</f>
        <v>0.99999542560986876</v>
      </c>
      <c r="Q2400" t="b">
        <f>Table1[[#This Row],[cumPctAllTimeExp]]&lt;0.95</f>
        <v>0</v>
      </c>
    </row>
    <row r="2401" spans="1:17" x14ac:dyDescent="0.25">
      <c r="A2401">
        <v>1937</v>
      </c>
      <c r="C2401" t="s">
        <v>2508</v>
      </c>
      <c r="E2401" t="s">
        <v>1939</v>
      </c>
      <c r="F2401" s="4">
        <v>0</v>
      </c>
      <c r="G2401" s="4">
        <v>0</v>
      </c>
      <c r="H2401" s="4">
        <v>0</v>
      </c>
      <c r="I2401" s="4">
        <v>0</v>
      </c>
      <c r="J2401" s="4">
        <v>0</v>
      </c>
      <c r="K2401" s="4">
        <v>40</v>
      </c>
      <c r="L2401" s="4">
        <v>0</v>
      </c>
      <c r="M2401" s="4">
        <v>0</v>
      </c>
      <c r="N2401" s="4">
        <f>SUM(Table1[[#This Row],[2025]:[2018]])</f>
        <v>40</v>
      </c>
      <c r="O2401" s="2">
        <f>Table1[[#This Row],[ttl]]/SUM(Table1[ttl])</f>
        <v>8.0657159307832539E-8</v>
      </c>
      <c r="P2401" s="3">
        <f>SUM($O$2:Table1[[#This Row],[pctAllTimeExp]])</f>
        <v>0.99999550626702804</v>
      </c>
      <c r="Q2401" t="b">
        <f>Table1[[#This Row],[cumPctAllTimeExp]]&lt;0.95</f>
        <v>0</v>
      </c>
    </row>
    <row r="2402" spans="1:17" x14ac:dyDescent="0.25">
      <c r="A2402">
        <v>1938</v>
      </c>
      <c r="C2402" t="s">
        <v>2508</v>
      </c>
      <c r="E2402" t="s">
        <v>1940</v>
      </c>
      <c r="F2402" s="4">
        <v>0</v>
      </c>
      <c r="G2402" s="4">
        <v>0</v>
      </c>
      <c r="H2402" s="4">
        <v>0</v>
      </c>
      <c r="I2402" s="4">
        <v>0</v>
      </c>
      <c r="J2402" s="4">
        <v>0</v>
      </c>
      <c r="K2402" s="4">
        <v>40</v>
      </c>
      <c r="L2402" s="4">
        <v>0</v>
      </c>
      <c r="M2402" s="4">
        <v>0</v>
      </c>
      <c r="N2402" s="4">
        <f>SUM(Table1[[#This Row],[2025]:[2018]])</f>
        <v>40</v>
      </c>
      <c r="O2402" s="2">
        <f>Table1[[#This Row],[ttl]]/SUM(Table1[ttl])</f>
        <v>8.0657159307832539E-8</v>
      </c>
      <c r="P2402" s="3">
        <f>SUM($O$2:Table1[[#This Row],[pctAllTimeExp]])</f>
        <v>0.99999558692418733</v>
      </c>
      <c r="Q2402" t="b">
        <f>Table1[[#This Row],[cumPctAllTimeExp]]&lt;0.95</f>
        <v>0</v>
      </c>
    </row>
    <row r="2403" spans="1:17" x14ac:dyDescent="0.25">
      <c r="A2403">
        <v>1939</v>
      </c>
      <c r="C2403" t="s">
        <v>2508</v>
      </c>
      <c r="E2403" t="s">
        <v>1941</v>
      </c>
      <c r="F2403" s="4">
        <v>0</v>
      </c>
      <c r="G2403" s="4">
        <v>0</v>
      </c>
      <c r="H2403" s="4">
        <v>0</v>
      </c>
      <c r="I2403" s="4">
        <v>0</v>
      </c>
      <c r="J2403" s="4">
        <v>0</v>
      </c>
      <c r="K2403" s="4">
        <v>40</v>
      </c>
      <c r="L2403" s="4">
        <v>0</v>
      </c>
      <c r="M2403" s="4">
        <v>0</v>
      </c>
      <c r="N2403" s="4">
        <f>SUM(Table1[[#This Row],[2025]:[2018]])</f>
        <v>40</v>
      </c>
      <c r="O2403" s="2">
        <f>Table1[[#This Row],[ttl]]/SUM(Table1[ttl])</f>
        <v>8.0657159307832539E-8</v>
      </c>
      <c r="P2403" s="3">
        <f>SUM($O$2:Table1[[#This Row],[pctAllTimeExp]])</f>
        <v>0.99999566758134661</v>
      </c>
      <c r="Q2403" t="b">
        <f>Table1[[#This Row],[cumPctAllTimeExp]]&lt;0.95</f>
        <v>0</v>
      </c>
    </row>
    <row r="2404" spans="1:17" x14ac:dyDescent="0.25">
      <c r="A2404">
        <v>1940</v>
      </c>
      <c r="C2404" t="s">
        <v>2508</v>
      </c>
      <c r="E2404" t="s">
        <v>1942</v>
      </c>
      <c r="F2404" s="4">
        <v>0</v>
      </c>
      <c r="G2404" s="4">
        <v>0</v>
      </c>
      <c r="H2404" s="4">
        <v>0</v>
      </c>
      <c r="I2404" s="4">
        <v>0</v>
      </c>
      <c r="J2404" s="4">
        <v>0</v>
      </c>
      <c r="K2404" s="4">
        <v>40</v>
      </c>
      <c r="L2404" s="4">
        <v>0</v>
      </c>
      <c r="M2404" s="4">
        <v>0</v>
      </c>
      <c r="N2404" s="4">
        <f>SUM(Table1[[#This Row],[2025]:[2018]])</f>
        <v>40</v>
      </c>
      <c r="O2404" s="2">
        <f>Table1[[#This Row],[ttl]]/SUM(Table1[ttl])</f>
        <v>8.0657159307832539E-8</v>
      </c>
      <c r="P2404" s="3">
        <f>SUM($O$2:Table1[[#This Row],[pctAllTimeExp]])</f>
        <v>0.9999957482385059</v>
      </c>
      <c r="Q2404" t="b">
        <f>Table1[[#This Row],[cumPctAllTimeExp]]&lt;0.95</f>
        <v>0</v>
      </c>
    </row>
    <row r="2405" spans="1:17" x14ac:dyDescent="0.25">
      <c r="A2405">
        <v>1941</v>
      </c>
      <c r="C2405" t="s">
        <v>2508</v>
      </c>
      <c r="E2405" t="s">
        <v>1943</v>
      </c>
      <c r="F2405" s="4">
        <v>0</v>
      </c>
      <c r="G2405" s="4">
        <v>0</v>
      </c>
      <c r="H2405" s="4">
        <v>0</v>
      </c>
      <c r="I2405" s="4">
        <v>0</v>
      </c>
      <c r="J2405" s="4">
        <v>0</v>
      </c>
      <c r="K2405" s="4">
        <v>40</v>
      </c>
      <c r="L2405" s="4">
        <v>0</v>
      </c>
      <c r="M2405" s="4">
        <v>0</v>
      </c>
      <c r="N2405" s="4">
        <f>SUM(Table1[[#This Row],[2025]:[2018]])</f>
        <v>40</v>
      </c>
      <c r="O2405" s="2">
        <f>Table1[[#This Row],[ttl]]/SUM(Table1[ttl])</f>
        <v>8.0657159307832539E-8</v>
      </c>
      <c r="P2405" s="3">
        <f>SUM($O$2:Table1[[#This Row],[pctAllTimeExp]])</f>
        <v>0.99999582889566518</v>
      </c>
      <c r="Q2405" t="b">
        <f>Table1[[#This Row],[cumPctAllTimeExp]]&lt;0.95</f>
        <v>0</v>
      </c>
    </row>
    <row r="2406" spans="1:17" x14ac:dyDescent="0.25">
      <c r="A2406">
        <v>1942</v>
      </c>
      <c r="C2406" t="s">
        <v>2508</v>
      </c>
      <c r="E2406" t="s">
        <v>1944</v>
      </c>
      <c r="F2406" s="4">
        <v>0</v>
      </c>
      <c r="G2406" s="4">
        <v>0</v>
      </c>
      <c r="H2406" s="4">
        <v>0</v>
      </c>
      <c r="I2406" s="4">
        <v>0</v>
      </c>
      <c r="J2406" s="4">
        <v>0</v>
      </c>
      <c r="K2406" s="4">
        <v>40</v>
      </c>
      <c r="L2406" s="4">
        <v>0</v>
      </c>
      <c r="M2406" s="4">
        <v>0</v>
      </c>
      <c r="N2406" s="4">
        <f>SUM(Table1[[#This Row],[2025]:[2018]])</f>
        <v>40</v>
      </c>
      <c r="O2406" s="2">
        <f>Table1[[#This Row],[ttl]]/SUM(Table1[ttl])</f>
        <v>8.0657159307832539E-8</v>
      </c>
      <c r="P2406" s="3">
        <f>SUM($O$2:Table1[[#This Row],[pctAllTimeExp]])</f>
        <v>0.99999590955282447</v>
      </c>
      <c r="Q2406" t="b">
        <f>Table1[[#This Row],[cumPctAllTimeExp]]&lt;0.95</f>
        <v>0</v>
      </c>
    </row>
    <row r="2407" spans="1:17" x14ac:dyDescent="0.25">
      <c r="A2407">
        <v>1943</v>
      </c>
      <c r="C2407" t="s">
        <v>2508</v>
      </c>
      <c r="E2407" t="s">
        <v>1945</v>
      </c>
      <c r="F2407" s="4">
        <v>0</v>
      </c>
      <c r="G2407" s="4">
        <v>0</v>
      </c>
      <c r="H2407" s="4">
        <v>0</v>
      </c>
      <c r="I2407" s="4">
        <v>0</v>
      </c>
      <c r="J2407" s="4">
        <v>0</v>
      </c>
      <c r="K2407" s="4">
        <v>40</v>
      </c>
      <c r="L2407" s="4">
        <v>0</v>
      </c>
      <c r="M2407" s="4">
        <v>0</v>
      </c>
      <c r="N2407" s="4">
        <f>SUM(Table1[[#This Row],[2025]:[2018]])</f>
        <v>40</v>
      </c>
      <c r="O2407" s="2">
        <f>Table1[[#This Row],[ttl]]/SUM(Table1[ttl])</f>
        <v>8.0657159307832539E-8</v>
      </c>
      <c r="P2407" s="3">
        <f>SUM($O$2:Table1[[#This Row],[pctAllTimeExp]])</f>
        <v>0.99999599020998375</v>
      </c>
      <c r="Q2407" t="b">
        <f>Table1[[#This Row],[cumPctAllTimeExp]]&lt;0.95</f>
        <v>0</v>
      </c>
    </row>
    <row r="2408" spans="1:17" x14ac:dyDescent="0.25">
      <c r="A2408">
        <v>1944</v>
      </c>
      <c r="C2408" t="s">
        <v>2508</v>
      </c>
      <c r="E2408" t="s">
        <v>1946</v>
      </c>
      <c r="F2408" s="4">
        <v>0</v>
      </c>
      <c r="G2408" s="4">
        <v>0</v>
      </c>
      <c r="H2408" s="4">
        <v>0</v>
      </c>
      <c r="I2408" s="4">
        <v>0</v>
      </c>
      <c r="J2408" s="4">
        <v>0</v>
      </c>
      <c r="K2408" s="4">
        <v>40</v>
      </c>
      <c r="L2408" s="4">
        <v>0</v>
      </c>
      <c r="M2408" s="4">
        <v>0</v>
      </c>
      <c r="N2408" s="4">
        <f>SUM(Table1[[#This Row],[2025]:[2018]])</f>
        <v>40</v>
      </c>
      <c r="O2408" s="2">
        <f>Table1[[#This Row],[ttl]]/SUM(Table1[ttl])</f>
        <v>8.0657159307832539E-8</v>
      </c>
      <c r="P2408" s="3">
        <f>SUM($O$2:Table1[[#This Row],[pctAllTimeExp]])</f>
        <v>0.99999607086714304</v>
      </c>
      <c r="Q2408" t="b">
        <f>Table1[[#This Row],[cumPctAllTimeExp]]&lt;0.95</f>
        <v>0</v>
      </c>
    </row>
    <row r="2409" spans="1:17" x14ac:dyDescent="0.25">
      <c r="A2409">
        <v>1945</v>
      </c>
      <c r="C2409" t="s">
        <v>2508</v>
      </c>
      <c r="E2409" t="s">
        <v>1947</v>
      </c>
      <c r="F2409" s="4">
        <v>0</v>
      </c>
      <c r="G2409" s="4">
        <v>0</v>
      </c>
      <c r="H2409" s="4">
        <v>0</v>
      </c>
      <c r="I2409" s="4">
        <v>0</v>
      </c>
      <c r="J2409" s="4">
        <v>0</v>
      </c>
      <c r="K2409" s="4">
        <v>40</v>
      </c>
      <c r="L2409" s="4">
        <v>0</v>
      </c>
      <c r="M2409" s="4">
        <v>0</v>
      </c>
      <c r="N2409" s="4">
        <f>SUM(Table1[[#This Row],[2025]:[2018]])</f>
        <v>40</v>
      </c>
      <c r="O2409" s="2">
        <f>Table1[[#This Row],[ttl]]/SUM(Table1[ttl])</f>
        <v>8.0657159307832539E-8</v>
      </c>
      <c r="P2409" s="3">
        <f>SUM($O$2:Table1[[#This Row],[pctAllTimeExp]])</f>
        <v>0.99999615152430232</v>
      </c>
      <c r="Q2409" t="b">
        <f>Table1[[#This Row],[cumPctAllTimeExp]]&lt;0.95</f>
        <v>0</v>
      </c>
    </row>
    <row r="2410" spans="1:17" x14ac:dyDescent="0.25">
      <c r="A2410">
        <v>1946</v>
      </c>
      <c r="C2410" t="s">
        <v>2508</v>
      </c>
      <c r="E2410" t="s">
        <v>1948</v>
      </c>
      <c r="F2410" s="4">
        <v>0</v>
      </c>
      <c r="G2410" s="4">
        <v>0</v>
      </c>
      <c r="H2410" s="4">
        <v>0</v>
      </c>
      <c r="I2410" s="4">
        <v>0</v>
      </c>
      <c r="J2410" s="4">
        <v>0</v>
      </c>
      <c r="K2410" s="4">
        <v>40</v>
      </c>
      <c r="L2410" s="4">
        <v>0</v>
      </c>
      <c r="M2410" s="4">
        <v>0</v>
      </c>
      <c r="N2410" s="4">
        <f>SUM(Table1[[#This Row],[2025]:[2018]])</f>
        <v>40</v>
      </c>
      <c r="O2410" s="2">
        <f>Table1[[#This Row],[ttl]]/SUM(Table1[ttl])</f>
        <v>8.0657159307832539E-8</v>
      </c>
      <c r="P2410" s="3">
        <f>SUM($O$2:Table1[[#This Row],[pctAllTimeExp]])</f>
        <v>0.99999623218146161</v>
      </c>
      <c r="Q2410" t="b">
        <f>Table1[[#This Row],[cumPctAllTimeExp]]&lt;0.95</f>
        <v>0</v>
      </c>
    </row>
    <row r="2411" spans="1:17" x14ac:dyDescent="0.25">
      <c r="A2411">
        <v>1947</v>
      </c>
      <c r="C2411" t="s">
        <v>2508</v>
      </c>
      <c r="E2411" t="s">
        <v>1949</v>
      </c>
      <c r="F2411" s="4">
        <v>0</v>
      </c>
      <c r="G2411" s="4">
        <v>0</v>
      </c>
      <c r="H2411" s="4">
        <v>0</v>
      </c>
      <c r="I2411" s="4">
        <v>0</v>
      </c>
      <c r="J2411" s="4">
        <v>0</v>
      </c>
      <c r="K2411" s="4">
        <v>40</v>
      </c>
      <c r="L2411" s="4">
        <v>0</v>
      </c>
      <c r="M2411" s="4">
        <v>0</v>
      </c>
      <c r="N2411" s="4">
        <f>SUM(Table1[[#This Row],[2025]:[2018]])</f>
        <v>40</v>
      </c>
      <c r="O2411" s="2">
        <f>Table1[[#This Row],[ttl]]/SUM(Table1[ttl])</f>
        <v>8.0657159307832539E-8</v>
      </c>
      <c r="P2411" s="3">
        <f>SUM($O$2:Table1[[#This Row],[pctAllTimeExp]])</f>
        <v>0.99999631283862089</v>
      </c>
      <c r="Q2411" t="b">
        <f>Table1[[#This Row],[cumPctAllTimeExp]]&lt;0.95</f>
        <v>0</v>
      </c>
    </row>
    <row r="2412" spans="1:17" x14ac:dyDescent="0.25">
      <c r="A2412">
        <v>1948</v>
      </c>
      <c r="C2412" t="s">
        <v>2508</v>
      </c>
      <c r="E2412" t="s">
        <v>1950</v>
      </c>
      <c r="F2412" s="4">
        <v>0</v>
      </c>
      <c r="G2412" s="4">
        <v>0</v>
      </c>
      <c r="H2412" s="4">
        <v>0</v>
      </c>
      <c r="I2412" s="4">
        <v>0</v>
      </c>
      <c r="J2412" s="4">
        <v>0</v>
      </c>
      <c r="K2412" s="4">
        <v>40</v>
      </c>
      <c r="L2412" s="4">
        <v>0</v>
      </c>
      <c r="M2412" s="4">
        <v>0</v>
      </c>
      <c r="N2412" s="4">
        <f>SUM(Table1[[#This Row],[2025]:[2018]])</f>
        <v>40</v>
      </c>
      <c r="O2412" s="2">
        <f>Table1[[#This Row],[ttl]]/SUM(Table1[ttl])</f>
        <v>8.0657159307832539E-8</v>
      </c>
      <c r="P2412" s="3">
        <f>SUM($O$2:Table1[[#This Row],[pctAllTimeExp]])</f>
        <v>0.99999639349578018</v>
      </c>
      <c r="Q2412" t="b">
        <f>Table1[[#This Row],[cumPctAllTimeExp]]&lt;0.95</f>
        <v>0</v>
      </c>
    </row>
    <row r="2413" spans="1:17" x14ac:dyDescent="0.25">
      <c r="A2413">
        <v>1949</v>
      </c>
      <c r="C2413" t="s">
        <v>2508</v>
      </c>
      <c r="E2413" t="s">
        <v>1951</v>
      </c>
      <c r="F2413" s="4">
        <v>0</v>
      </c>
      <c r="G2413" s="4">
        <v>0</v>
      </c>
      <c r="H2413" s="4">
        <v>0</v>
      </c>
      <c r="I2413" s="4">
        <v>0</v>
      </c>
      <c r="J2413" s="4">
        <v>0</v>
      </c>
      <c r="K2413" s="4">
        <v>40</v>
      </c>
      <c r="L2413" s="4">
        <v>0</v>
      </c>
      <c r="M2413" s="4">
        <v>0</v>
      </c>
      <c r="N2413" s="4">
        <f>SUM(Table1[[#This Row],[2025]:[2018]])</f>
        <v>40</v>
      </c>
      <c r="O2413" s="2">
        <f>Table1[[#This Row],[ttl]]/SUM(Table1[ttl])</f>
        <v>8.0657159307832539E-8</v>
      </c>
      <c r="P2413" s="3">
        <f>SUM($O$2:Table1[[#This Row],[pctAllTimeExp]])</f>
        <v>0.99999647415293946</v>
      </c>
      <c r="Q2413" t="b">
        <f>Table1[[#This Row],[cumPctAllTimeExp]]&lt;0.95</f>
        <v>0</v>
      </c>
    </row>
    <row r="2414" spans="1:17" x14ac:dyDescent="0.25">
      <c r="A2414">
        <v>1950</v>
      </c>
      <c r="C2414" t="s">
        <v>2508</v>
      </c>
      <c r="E2414" t="s">
        <v>1952</v>
      </c>
      <c r="F2414" s="4">
        <v>0</v>
      </c>
      <c r="G2414" s="4">
        <v>0</v>
      </c>
      <c r="H2414" s="4">
        <v>0</v>
      </c>
      <c r="I2414" s="4">
        <v>0</v>
      </c>
      <c r="J2414" s="4">
        <v>0</v>
      </c>
      <c r="K2414" s="4">
        <v>40</v>
      </c>
      <c r="L2414" s="4">
        <v>0</v>
      </c>
      <c r="M2414" s="4">
        <v>0</v>
      </c>
      <c r="N2414" s="4">
        <f>SUM(Table1[[#This Row],[2025]:[2018]])</f>
        <v>40</v>
      </c>
      <c r="O2414" s="2">
        <f>Table1[[#This Row],[ttl]]/SUM(Table1[ttl])</f>
        <v>8.0657159307832539E-8</v>
      </c>
      <c r="P2414" s="3">
        <f>SUM($O$2:Table1[[#This Row],[pctAllTimeExp]])</f>
        <v>0.99999655481009875</v>
      </c>
      <c r="Q2414" t="b">
        <f>Table1[[#This Row],[cumPctAllTimeExp]]&lt;0.95</f>
        <v>0</v>
      </c>
    </row>
    <row r="2415" spans="1:17" x14ac:dyDescent="0.25">
      <c r="A2415">
        <v>1951</v>
      </c>
      <c r="C2415" t="s">
        <v>2508</v>
      </c>
      <c r="E2415" t="s">
        <v>1953</v>
      </c>
      <c r="F2415" s="4">
        <v>0</v>
      </c>
      <c r="G2415" s="4">
        <v>0</v>
      </c>
      <c r="H2415" s="4">
        <v>0</v>
      </c>
      <c r="I2415" s="4">
        <v>0</v>
      </c>
      <c r="J2415" s="4">
        <v>0</v>
      </c>
      <c r="K2415" s="4">
        <v>40</v>
      </c>
      <c r="L2415" s="4">
        <v>0</v>
      </c>
      <c r="M2415" s="4">
        <v>0</v>
      </c>
      <c r="N2415" s="4">
        <f>SUM(Table1[[#This Row],[2025]:[2018]])</f>
        <v>40</v>
      </c>
      <c r="O2415" s="2">
        <f>Table1[[#This Row],[ttl]]/SUM(Table1[ttl])</f>
        <v>8.0657159307832539E-8</v>
      </c>
      <c r="P2415" s="3">
        <f>SUM($O$2:Table1[[#This Row],[pctAllTimeExp]])</f>
        <v>0.99999663546725803</v>
      </c>
      <c r="Q2415" t="b">
        <f>Table1[[#This Row],[cumPctAllTimeExp]]&lt;0.95</f>
        <v>0</v>
      </c>
    </row>
    <row r="2416" spans="1:17" x14ac:dyDescent="0.25">
      <c r="A2416">
        <v>1952</v>
      </c>
      <c r="C2416" t="s">
        <v>2508</v>
      </c>
      <c r="E2416" t="s">
        <v>1954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40</v>
      </c>
      <c r="L2416" s="4">
        <v>0</v>
      </c>
      <c r="M2416" s="4">
        <v>0</v>
      </c>
      <c r="N2416" s="4">
        <f>SUM(Table1[[#This Row],[2025]:[2018]])</f>
        <v>40</v>
      </c>
      <c r="O2416" s="2">
        <f>Table1[[#This Row],[ttl]]/SUM(Table1[ttl])</f>
        <v>8.0657159307832539E-8</v>
      </c>
      <c r="P2416" s="3">
        <f>SUM($O$2:Table1[[#This Row],[pctAllTimeExp]])</f>
        <v>0.99999671612441732</v>
      </c>
      <c r="Q2416" t="b">
        <f>Table1[[#This Row],[cumPctAllTimeExp]]&lt;0.95</f>
        <v>0</v>
      </c>
    </row>
    <row r="2417" spans="1:17" x14ac:dyDescent="0.25">
      <c r="A2417">
        <v>2225</v>
      </c>
      <c r="C2417" t="s">
        <v>2508</v>
      </c>
      <c r="E2417" t="s">
        <v>2227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40</v>
      </c>
      <c r="M2417" s="4">
        <v>0</v>
      </c>
      <c r="N2417" s="4">
        <f>SUM(Table1[[#This Row],[2025]:[2018]])</f>
        <v>40</v>
      </c>
      <c r="O2417" s="2">
        <f>Table1[[#This Row],[ttl]]/SUM(Table1[ttl])</f>
        <v>8.0657159307832539E-8</v>
      </c>
      <c r="P2417" s="3">
        <f>SUM($O$2:Table1[[#This Row],[pctAllTimeExp]])</f>
        <v>0.9999967967815766</v>
      </c>
      <c r="Q2417" t="b">
        <f>Table1[[#This Row],[cumPctAllTimeExp]]&lt;0.95</f>
        <v>0</v>
      </c>
    </row>
    <row r="2418" spans="1:17" x14ac:dyDescent="0.25">
      <c r="A2418">
        <v>1953</v>
      </c>
      <c r="C2418" t="s">
        <v>2508</v>
      </c>
      <c r="E2418" t="s">
        <v>1955</v>
      </c>
      <c r="F2418" s="4">
        <v>0</v>
      </c>
      <c r="G2418" s="4">
        <v>0</v>
      </c>
      <c r="H2418" s="4">
        <v>0</v>
      </c>
      <c r="I2418" s="4">
        <v>0</v>
      </c>
      <c r="J2418" s="4">
        <v>0</v>
      </c>
      <c r="K2418" s="4">
        <v>39.909999999999997</v>
      </c>
      <c r="L2418" s="4">
        <v>0</v>
      </c>
      <c r="M2418" s="4">
        <v>0</v>
      </c>
      <c r="N2418" s="4">
        <f>SUM(Table1[[#This Row],[2025]:[2018]])</f>
        <v>39.909999999999997</v>
      </c>
      <c r="O2418" s="2">
        <f>Table1[[#This Row],[ttl]]/SUM(Table1[ttl])</f>
        <v>8.0475680699389906E-8</v>
      </c>
      <c r="P2418" s="3">
        <f>SUM($O$2:Table1[[#This Row],[pctAllTimeExp]])</f>
        <v>0.99999687725725728</v>
      </c>
      <c r="Q2418" t="b">
        <f>Table1[[#This Row],[cumPctAllTimeExp]]&lt;0.95</f>
        <v>0</v>
      </c>
    </row>
    <row r="2419" spans="1:17" x14ac:dyDescent="0.25">
      <c r="A2419">
        <v>2476</v>
      </c>
      <c r="C2419" t="s">
        <v>2508</v>
      </c>
      <c r="E2419" t="s">
        <v>2478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4">
        <v>0</v>
      </c>
      <c r="L2419" s="4">
        <v>0</v>
      </c>
      <c r="M2419" s="4">
        <v>39.85</v>
      </c>
      <c r="N2419" s="4">
        <f>SUM(Table1[[#This Row],[2025]:[2018]])</f>
        <v>39.85</v>
      </c>
      <c r="O2419" s="2">
        <f>Table1[[#This Row],[ttl]]/SUM(Table1[ttl])</f>
        <v>8.0354694960428168E-8</v>
      </c>
      <c r="P2419" s="3">
        <f>SUM($O$2:Table1[[#This Row],[pctAllTimeExp]])</f>
        <v>0.99999695761195229</v>
      </c>
      <c r="Q2419" t="b">
        <f>Table1[[#This Row],[cumPctAllTimeExp]]&lt;0.95</f>
        <v>0</v>
      </c>
    </row>
    <row r="2420" spans="1:17" x14ac:dyDescent="0.25">
      <c r="A2420">
        <v>2477</v>
      </c>
      <c r="C2420" t="s">
        <v>2508</v>
      </c>
      <c r="E2420" t="s">
        <v>2479</v>
      </c>
      <c r="F2420" s="4">
        <v>0</v>
      </c>
      <c r="G2420" s="4">
        <v>0</v>
      </c>
      <c r="H2420" s="4">
        <v>0</v>
      </c>
      <c r="I2420" s="4">
        <v>0</v>
      </c>
      <c r="J2420" s="4">
        <v>0</v>
      </c>
      <c r="K2420" s="4">
        <v>0</v>
      </c>
      <c r="L2420" s="4">
        <v>0</v>
      </c>
      <c r="M2420" s="4">
        <v>39</v>
      </c>
      <c r="N2420" s="4">
        <f>SUM(Table1[[#This Row],[2025]:[2018]])</f>
        <v>39</v>
      </c>
      <c r="O2420" s="2">
        <f>Table1[[#This Row],[ttl]]/SUM(Table1[ttl])</f>
        <v>7.8640730325136729E-8</v>
      </c>
      <c r="P2420" s="3">
        <f>SUM($O$2:Table1[[#This Row],[pctAllTimeExp]])</f>
        <v>0.99999703625268266</v>
      </c>
      <c r="Q2420" t="b">
        <f>Table1[[#This Row],[cumPctAllTimeExp]]&lt;0.95</f>
        <v>0</v>
      </c>
    </row>
    <row r="2421" spans="1:17" x14ac:dyDescent="0.25">
      <c r="A2421">
        <v>2226</v>
      </c>
      <c r="C2421" t="s">
        <v>2508</v>
      </c>
      <c r="E2421" t="s">
        <v>2228</v>
      </c>
      <c r="F2421" s="4">
        <v>0</v>
      </c>
      <c r="G2421" s="4">
        <v>0</v>
      </c>
      <c r="H2421" s="4">
        <v>0</v>
      </c>
      <c r="I2421" s="4">
        <v>0</v>
      </c>
      <c r="J2421" s="4">
        <v>0</v>
      </c>
      <c r="K2421" s="4">
        <v>0</v>
      </c>
      <c r="L2421" s="4">
        <v>36</v>
      </c>
      <c r="M2421" s="4">
        <v>0</v>
      </c>
      <c r="N2421" s="4">
        <f>SUM(Table1[[#This Row],[2025]:[2018]])</f>
        <v>36</v>
      </c>
      <c r="O2421" s="2">
        <f>Table1[[#This Row],[ttl]]/SUM(Table1[ttl])</f>
        <v>7.2591443377049289E-8</v>
      </c>
      <c r="P2421" s="3">
        <f>SUM($O$2:Table1[[#This Row],[pctAllTimeExp]])</f>
        <v>0.99999710884412607</v>
      </c>
      <c r="Q2421" t="b">
        <f>Table1[[#This Row],[cumPctAllTimeExp]]&lt;0.95</f>
        <v>0</v>
      </c>
    </row>
    <row r="2422" spans="1:17" x14ac:dyDescent="0.25">
      <c r="A2422">
        <v>682</v>
      </c>
      <c r="C2422" t="s">
        <v>2508</v>
      </c>
      <c r="E2422" t="s">
        <v>684</v>
      </c>
      <c r="F2422" s="4">
        <v>35</v>
      </c>
      <c r="G2422" s="4">
        <v>0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f>SUM(Table1[[#This Row],[2025]:[2018]])</f>
        <v>35</v>
      </c>
      <c r="O2422" s="2">
        <f>Table1[[#This Row],[ttl]]/SUM(Table1[ttl])</f>
        <v>7.0575014394353466E-8</v>
      </c>
      <c r="P2422" s="3">
        <f>SUM($O$2:Table1[[#This Row],[pctAllTimeExp]])</f>
        <v>0.99999717941914046</v>
      </c>
      <c r="Q2422" t="b">
        <f>Table1[[#This Row],[cumPctAllTimeExp]]&lt;0.95</f>
        <v>0</v>
      </c>
    </row>
    <row r="2423" spans="1:17" x14ac:dyDescent="0.25">
      <c r="A2423">
        <v>1954</v>
      </c>
      <c r="C2423" t="s">
        <v>2508</v>
      </c>
      <c r="E2423" t="s">
        <v>1956</v>
      </c>
      <c r="F2423" s="4">
        <v>0</v>
      </c>
      <c r="G2423" s="4">
        <v>0</v>
      </c>
      <c r="H2423" s="4">
        <v>0</v>
      </c>
      <c r="I2423" s="4">
        <v>0</v>
      </c>
      <c r="J2423" s="4">
        <v>0</v>
      </c>
      <c r="K2423" s="4">
        <v>35</v>
      </c>
      <c r="L2423" s="4">
        <v>0</v>
      </c>
      <c r="M2423" s="4">
        <v>0</v>
      </c>
      <c r="N2423" s="4">
        <f>SUM(Table1[[#This Row],[2025]:[2018]])</f>
        <v>35</v>
      </c>
      <c r="O2423" s="2">
        <f>Table1[[#This Row],[ttl]]/SUM(Table1[ttl])</f>
        <v>7.0575014394353466E-8</v>
      </c>
      <c r="P2423" s="3">
        <f>SUM($O$2:Table1[[#This Row],[pctAllTimeExp]])</f>
        <v>0.99999724999415485</v>
      </c>
      <c r="Q2423" t="b">
        <f>Table1[[#This Row],[cumPctAllTimeExp]]&lt;0.95</f>
        <v>0</v>
      </c>
    </row>
    <row r="2424" spans="1:17" x14ac:dyDescent="0.25">
      <c r="A2424">
        <v>2227</v>
      </c>
      <c r="C2424" t="s">
        <v>2508</v>
      </c>
      <c r="E2424" t="s">
        <v>2229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4">
        <v>35</v>
      </c>
      <c r="M2424" s="4">
        <v>0</v>
      </c>
      <c r="N2424" s="4">
        <f>SUM(Table1[[#This Row],[2025]:[2018]])</f>
        <v>35</v>
      </c>
      <c r="O2424" s="2">
        <f>Table1[[#This Row],[ttl]]/SUM(Table1[ttl])</f>
        <v>7.0575014394353466E-8</v>
      </c>
      <c r="P2424" s="3">
        <f>SUM($O$2:Table1[[#This Row],[pctAllTimeExp]])</f>
        <v>0.99999732056916923</v>
      </c>
      <c r="Q2424" t="b">
        <f>Table1[[#This Row],[cumPctAllTimeExp]]&lt;0.95</f>
        <v>0</v>
      </c>
    </row>
    <row r="2425" spans="1:17" x14ac:dyDescent="0.25">
      <c r="A2425">
        <v>2228</v>
      </c>
      <c r="C2425" t="s">
        <v>2508</v>
      </c>
      <c r="E2425" t="s">
        <v>2230</v>
      </c>
      <c r="F2425" s="4">
        <v>0</v>
      </c>
      <c r="G2425" s="4">
        <v>0</v>
      </c>
      <c r="H2425" s="4">
        <v>0</v>
      </c>
      <c r="I2425" s="4">
        <v>0</v>
      </c>
      <c r="J2425" s="4">
        <v>0</v>
      </c>
      <c r="K2425" s="4">
        <v>0</v>
      </c>
      <c r="L2425" s="4">
        <v>35</v>
      </c>
      <c r="M2425" s="4">
        <v>0</v>
      </c>
      <c r="N2425" s="4">
        <f>SUM(Table1[[#This Row],[2025]:[2018]])</f>
        <v>35</v>
      </c>
      <c r="O2425" s="2">
        <f>Table1[[#This Row],[ttl]]/SUM(Table1[ttl])</f>
        <v>7.0575014394353466E-8</v>
      </c>
      <c r="P2425" s="3">
        <f>SUM($O$2:Table1[[#This Row],[pctAllTimeExp]])</f>
        <v>0.99999739114418362</v>
      </c>
      <c r="Q2425" t="b">
        <f>Table1[[#This Row],[cumPctAllTimeExp]]&lt;0.95</f>
        <v>0</v>
      </c>
    </row>
    <row r="2426" spans="1:17" x14ac:dyDescent="0.25">
      <c r="A2426">
        <v>2478</v>
      </c>
      <c r="C2426" t="s">
        <v>2508</v>
      </c>
      <c r="E2426" t="s">
        <v>2480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35</v>
      </c>
      <c r="N2426" s="4">
        <f>SUM(Table1[[#This Row],[2025]:[2018]])</f>
        <v>35</v>
      </c>
      <c r="O2426" s="2">
        <f>Table1[[#This Row],[ttl]]/SUM(Table1[ttl])</f>
        <v>7.0575014394353466E-8</v>
      </c>
      <c r="P2426" s="3">
        <f>SUM($O$2:Table1[[#This Row],[pctAllTimeExp]])</f>
        <v>0.99999746171919801</v>
      </c>
      <c r="Q2426" t="b">
        <f>Table1[[#This Row],[cumPctAllTimeExp]]&lt;0.95</f>
        <v>0</v>
      </c>
    </row>
    <row r="2427" spans="1:17" x14ac:dyDescent="0.25">
      <c r="A2427">
        <v>1393</v>
      </c>
      <c r="C2427" t="s">
        <v>2508</v>
      </c>
      <c r="E2427" t="s">
        <v>1395</v>
      </c>
      <c r="F2427" s="4">
        <v>0</v>
      </c>
      <c r="G2427" s="4">
        <v>0</v>
      </c>
      <c r="H2427" s="4">
        <v>0</v>
      </c>
      <c r="I2427" s="4">
        <v>34.83</v>
      </c>
      <c r="J2427" s="4">
        <v>0</v>
      </c>
      <c r="K2427" s="4">
        <v>0</v>
      </c>
      <c r="L2427" s="4">
        <v>0</v>
      </c>
      <c r="M2427" s="4">
        <v>0</v>
      </c>
      <c r="N2427" s="4">
        <f>SUM(Table1[[#This Row],[2025]:[2018]])</f>
        <v>34.83</v>
      </c>
      <c r="O2427" s="2">
        <f>Table1[[#This Row],[ttl]]/SUM(Table1[ttl])</f>
        <v>7.0232221467295184E-8</v>
      </c>
      <c r="P2427" s="3">
        <f>SUM($O$2:Table1[[#This Row],[pctAllTimeExp]])</f>
        <v>0.99999753195141949</v>
      </c>
      <c r="Q2427" t="b">
        <f>Table1[[#This Row],[cumPctAllTimeExp]]&lt;0.95</f>
        <v>0</v>
      </c>
    </row>
    <row r="2428" spans="1:17" x14ac:dyDescent="0.25">
      <c r="A2428">
        <v>1955</v>
      </c>
      <c r="C2428" t="s">
        <v>2508</v>
      </c>
      <c r="E2428" t="s">
        <v>1957</v>
      </c>
      <c r="F2428" s="4">
        <v>0</v>
      </c>
      <c r="G2428" s="4">
        <v>0</v>
      </c>
      <c r="H2428" s="4">
        <v>0</v>
      </c>
      <c r="I2428" s="4">
        <v>0</v>
      </c>
      <c r="J2428" s="4">
        <v>0</v>
      </c>
      <c r="K2428" s="4">
        <v>34.1</v>
      </c>
      <c r="L2428" s="4">
        <v>0</v>
      </c>
      <c r="M2428" s="4">
        <v>0</v>
      </c>
      <c r="N2428" s="4">
        <f>SUM(Table1[[#This Row],[2025]:[2018]])</f>
        <v>34.1</v>
      </c>
      <c r="O2428" s="2">
        <f>Table1[[#This Row],[ttl]]/SUM(Table1[ttl])</f>
        <v>6.8760228309927246E-8</v>
      </c>
      <c r="P2428" s="3">
        <f>SUM($O$2:Table1[[#This Row],[pctAllTimeExp]])</f>
        <v>0.99999760071164778</v>
      </c>
      <c r="Q2428" t="b">
        <f>Table1[[#This Row],[cumPctAllTimeExp]]&lt;0.95</f>
        <v>0</v>
      </c>
    </row>
    <row r="2429" spans="1:17" x14ac:dyDescent="0.25">
      <c r="A2429">
        <v>1956</v>
      </c>
      <c r="C2429" t="s">
        <v>2508</v>
      </c>
      <c r="E2429" t="s">
        <v>1958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4">
        <v>33.840000000000003</v>
      </c>
      <c r="L2429" s="4">
        <v>0</v>
      </c>
      <c r="M2429" s="4">
        <v>0</v>
      </c>
      <c r="N2429" s="4">
        <f>SUM(Table1[[#This Row],[2025]:[2018]])</f>
        <v>33.840000000000003</v>
      </c>
      <c r="O2429" s="2">
        <f>Table1[[#This Row],[ttl]]/SUM(Table1[ttl])</f>
        <v>6.8235956774426331E-8</v>
      </c>
      <c r="P2429" s="3">
        <f>SUM($O$2:Table1[[#This Row],[pctAllTimeExp]])</f>
        <v>0.99999766894760456</v>
      </c>
      <c r="Q2429" t="b">
        <f>Table1[[#This Row],[cumPctAllTimeExp]]&lt;0.95</f>
        <v>0</v>
      </c>
    </row>
    <row r="2430" spans="1:17" x14ac:dyDescent="0.25">
      <c r="A2430">
        <v>1187</v>
      </c>
      <c r="C2430" t="s">
        <v>2508</v>
      </c>
      <c r="E2430" t="s">
        <v>1189</v>
      </c>
      <c r="F2430" s="4">
        <v>0</v>
      </c>
      <c r="G2430" s="4">
        <v>0</v>
      </c>
      <c r="H2430" s="4">
        <v>32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f>SUM(Table1[[#This Row],[2025]:[2018]])</f>
        <v>32</v>
      </c>
      <c r="O2430" s="2">
        <f>Table1[[#This Row],[ttl]]/SUM(Table1[ttl])</f>
        <v>6.4525727446266026E-8</v>
      </c>
      <c r="P2430" s="3">
        <f>SUM($O$2:Table1[[#This Row],[pctAllTimeExp]])</f>
        <v>0.99999773347333198</v>
      </c>
      <c r="Q2430" t="b">
        <f>Table1[[#This Row],[cumPctAllTimeExp]]&lt;0.95</f>
        <v>0</v>
      </c>
    </row>
    <row r="2431" spans="1:17" x14ac:dyDescent="0.25">
      <c r="A2431">
        <v>1957</v>
      </c>
      <c r="C2431" t="s">
        <v>2508</v>
      </c>
      <c r="E2431" t="s">
        <v>1959</v>
      </c>
      <c r="F2431" s="4">
        <v>0</v>
      </c>
      <c r="G2431" s="4">
        <v>0</v>
      </c>
      <c r="H2431" s="4">
        <v>0</v>
      </c>
      <c r="I2431" s="4">
        <v>0</v>
      </c>
      <c r="J2431" s="4">
        <v>0</v>
      </c>
      <c r="K2431" s="4">
        <v>32</v>
      </c>
      <c r="L2431" s="4">
        <v>0</v>
      </c>
      <c r="M2431" s="4">
        <v>0</v>
      </c>
      <c r="N2431" s="4">
        <f>SUM(Table1[[#This Row],[2025]:[2018]])</f>
        <v>32</v>
      </c>
      <c r="O2431" s="2">
        <f>Table1[[#This Row],[ttl]]/SUM(Table1[ttl])</f>
        <v>6.4525727446266026E-8</v>
      </c>
      <c r="P2431" s="3">
        <f>SUM($O$2:Table1[[#This Row],[pctAllTimeExp]])</f>
        <v>0.99999779799905941</v>
      </c>
      <c r="Q2431" t="b">
        <f>Table1[[#This Row],[cumPctAllTimeExp]]&lt;0.95</f>
        <v>0</v>
      </c>
    </row>
    <row r="2432" spans="1:17" x14ac:dyDescent="0.25">
      <c r="A2432">
        <v>2479</v>
      </c>
      <c r="C2432" t="s">
        <v>2508</v>
      </c>
      <c r="E2432" t="s">
        <v>2481</v>
      </c>
      <c r="F2432" s="4">
        <v>0</v>
      </c>
      <c r="G2432" s="4">
        <v>0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29.95</v>
      </c>
      <c r="N2432" s="4">
        <f>SUM(Table1[[#This Row],[2025]:[2018]])</f>
        <v>29.95</v>
      </c>
      <c r="O2432" s="2">
        <f>Table1[[#This Row],[ttl]]/SUM(Table1[ttl])</f>
        <v>6.0392048031739613E-8</v>
      </c>
      <c r="P2432" s="3">
        <f>SUM($O$2:Table1[[#This Row],[pctAllTimeExp]])</f>
        <v>0.99999785839110744</v>
      </c>
      <c r="Q2432" t="b">
        <f>Table1[[#This Row],[cumPctAllTimeExp]]&lt;0.95</f>
        <v>0</v>
      </c>
    </row>
    <row r="2433" spans="1:17" x14ac:dyDescent="0.25">
      <c r="A2433">
        <v>2480</v>
      </c>
      <c r="C2433" t="s">
        <v>2508</v>
      </c>
      <c r="E2433" t="s">
        <v>2482</v>
      </c>
      <c r="F2433" s="4">
        <v>0</v>
      </c>
      <c r="G2433" s="4">
        <v>0</v>
      </c>
      <c r="H2433" s="4">
        <v>0</v>
      </c>
      <c r="I2433" s="4">
        <v>0</v>
      </c>
      <c r="J2433" s="4">
        <v>0</v>
      </c>
      <c r="K2433" s="4">
        <v>0</v>
      </c>
      <c r="L2433" s="4">
        <v>0</v>
      </c>
      <c r="M2433" s="4">
        <v>29.52</v>
      </c>
      <c r="N2433" s="4">
        <f>SUM(Table1[[#This Row],[2025]:[2018]])</f>
        <v>29.52</v>
      </c>
      <c r="O2433" s="2">
        <f>Table1[[#This Row],[ttl]]/SUM(Table1[ttl])</f>
        <v>5.9524983569180415E-8</v>
      </c>
      <c r="P2433" s="3">
        <f>SUM($O$2:Table1[[#This Row],[pctAllTimeExp]])</f>
        <v>0.99999791791609105</v>
      </c>
      <c r="Q2433" t="b">
        <f>Table1[[#This Row],[cumPctAllTimeExp]]&lt;0.95</f>
        <v>0</v>
      </c>
    </row>
    <row r="2434" spans="1:17" x14ac:dyDescent="0.25">
      <c r="A2434">
        <v>949</v>
      </c>
      <c r="C2434" t="s">
        <v>2508</v>
      </c>
      <c r="E2434" t="s">
        <v>951</v>
      </c>
      <c r="F2434" s="4">
        <v>0</v>
      </c>
      <c r="G2434" s="4">
        <v>28.47</v>
      </c>
      <c r="H2434" s="4">
        <v>0</v>
      </c>
      <c r="I2434" s="4">
        <v>0</v>
      </c>
      <c r="J2434" s="4">
        <v>0</v>
      </c>
      <c r="K2434" s="4">
        <v>0</v>
      </c>
      <c r="L2434" s="4">
        <v>0</v>
      </c>
      <c r="M2434" s="4">
        <v>0</v>
      </c>
      <c r="N2434" s="4">
        <f>SUM(Table1[[#This Row],[2025]:[2018]])</f>
        <v>28.47</v>
      </c>
      <c r="O2434" s="2">
        <f>Table1[[#This Row],[ttl]]/SUM(Table1[ttl])</f>
        <v>5.7407733137349805E-8</v>
      </c>
      <c r="P2434" s="3">
        <f>SUM($O$2:Table1[[#This Row],[pctAllTimeExp]])</f>
        <v>0.99999797532382417</v>
      </c>
      <c r="Q2434" t="b">
        <f>Table1[[#This Row],[cumPctAllTimeExp]]&lt;0.95</f>
        <v>0</v>
      </c>
    </row>
    <row r="2435" spans="1:17" x14ac:dyDescent="0.25">
      <c r="A2435">
        <v>1394</v>
      </c>
      <c r="C2435" t="s">
        <v>2508</v>
      </c>
      <c r="E2435" t="s">
        <v>1396</v>
      </c>
      <c r="F2435" s="4">
        <v>0</v>
      </c>
      <c r="G2435" s="4">
        <v>0</v>
      </c>
      <c r="H2435" s="4">
        <v>0</v>
      </c>
      <c r="I2435" s="4">
        <v>28</v>
      </c>
      <c r="J2435" s="4">
        <v>0</v>
      </c>
      <c r="K2435" s="4">
        <v>0</v>
      </c>
      <c r="L2435" s="4">
        <v>0</v>
      </c>
      <c r="M2435" s="4">
        <v>0</v>
      </c>
      <c r="N2435" s="4">
        <f>SUM(Table1[[#This Row],[2025]:[2018]])</f>
        <v>28</v>
      </c>
      <c r="O2435" s="2">
        <f>Table1[[#This Row],[ttl]]/SUM(Table1[ttl])</f>
        <v>5.6460011515482776E-8</v>
      </c>
      <c r="P2435" s="3">
        <f>SUM($O$2:Table1[[#This Row],[pctAllTimeExp]])</f>
        <v>0.99999803178383573</v>
      </c>
      <c r="Q2435" t="b">
        <f>Table1[[#This Row],[cumPctAllTimeExp]]&lt;0.95</f>
        <v>0</v>
      </c>
    </row>
    <row r="2436" spans="1:17" x14ac:dyDescent="0.25">
      <c r="A2436">
        <v>2229</v>
      </c>
      <c r="C2436" t="s">
        <v>2508</v>
      </c>
      <c r="E2436" t="s">
        <v>2231</v>
      </c>
      <c r="F2436" s="4">
        <v>0</v>
      </c>
      <c r="G2436" s="4">
        <v>0</v>
      </c>
      <c r="H2436" s="4">
        <v>0</v>
      </c>
      <c r="I2436" s="4">
        <v>0</v>
      </c>
      <c r="J2436" s="4">
        <v>0</v>
      </c>
      <c r="K2436" s="4">
        <v>0</v>
      </c>
      <c r="L2436" s="4">
        <v>28</v>
      </c>
      <c r="M2436" s="4">
        <v>0</v>
      </c>
      <c r="N2436" s="4">
        <f>SUM(Table1[[#This Row],[2025]:[2018]])</f>
        <v>28</v>
      </c>
      <c r="O2436" s="2">
        <f>Table1[[#This Row],[ttl]]/SUM(Table1[ttl])</f>
        <v>5.6460011515482776E-8</v>
      </c>
      <c r="P2436" s="3">
        <f>SUM($O$2:Table1[[#This Row],[pctAllTimeExp]])</f>
        <v>0.99999808824384728</v>
      </c>
      <c r="Q2436" t="b">
        <f>Table1[[#This Row],[cumPctAllTimeExp]]&lt;0.95</f>
        <v>0</v>
      </c>
    </row>
    <row r="2437" spans="1:17" x14ac:dyDescent="0.25">
      <c r="A2437">
        <v>2230</v>
      </c>
      <c r="C2437" t="s">
        <v>2508</v>
      </c>
      <c r="E2437" t="s">
        <v>2232</v>
      </c>
      <c r="F2437" s="4">
        <v>0</v>
      </c>
      <c r="G2437" s="4">
        <v>0</v>
      </c>
      <c r="H2437" s="4">
        <v>0</v>
      </c>
      <c r="I2437" s="4">
        <v>0</v>
      </c>
      <c r="J2437" s="4">
        <v>0</v>
      </c>
      <c r="K2437" s="4">
        <v>0</v>
      </c>
      <c r="L2437" s="4">
        <v>27.61</v>
      </c>
      <c r="M2437" s="4">
        <v>0</v>
      </c>
      <c r="N2437" s="4">
        <f>SUM(Table1[[#This Row],[2025]:[2018]])</f>
        <v>27.61</v>
      </c>
      <c r="O2437" s="2">
        <f>Table1[[#This Row],[ttl]]/SUM(Table1[ttl])</f>
        <v>5.567360421223141E-8</v>
      </c>
      <c r="P2437" s="3">
        <f>SUM($O$2:Table1[[#This Row],[pctAllTimeExp]])</f>
        <v>0.99999814391745145</v>
      </c>
      <c r="Q2437" t="b">
        <f>Table1[[#This Row],[cumPctAllTimeExp]]&lt;0.95</f>
        <v>0</v>
      </c>
    </row>
    <row r="2438" spans="1:17" x14ac:dyDescent="0.25">
      <c r="A2438">
        <v>1642</v>
      </c>
      <c r="C2438" t="s">
        <v>2508</v>
      </c>
      <c r="E2438" t="s">
        <v>1644</v>
      </c>
      <c r="F2438" s="4">
        <v>0</v>
      </c>
      <c r="G2438" s="4">
        <v>0</v>
      </c>
      <c r="H2438" s="4">
        <v>0</v>
      </c>
      <c r="I2438" s="4">
        <v>0</v>
      </c>
      <c r="J2438" s="4">
        <v>27.5</v>
      </c>
      <c r="K2438" s="4">
        <v>0</v>
      </c>
      <c r="L2438" s="4">
        <v>0</v>
      </c>
      <c r="M2438" s="4">
        <v>0</v>
      </c>
      <c r="N2438" s="4">
        <f>SUM(Table1[[#This Row],[2025]:[2018]])</f>
        <v>27.5</v>
      </c>
      <c r="O2438" s="2">
        <f>Table1[[#This Row],[ttl]]/SUM(Table1[ttl])</f>
        <v>5.5451797024134871E-8</v>
      </c>
      <c r="P2438" s="3">
        <f>SUM($O$2:Table1[[#This Row],[pctAllTimeExp]])</f>
        <v>0.9999981993692485</v>
      </c>
      <c r="Q2438" t="b">
        <f>Table1[[#This Row],[cumPctAllTimeExp]]&lt;0.95</f>
        <v>0</v>
      </c>
    </row>
    <row r="2439" spans="1:17" x14ac:dyDescent="0.25">
      <c r="A2439">
        <v>684</v>
      </c>
      <c r="C2439" t="s">
        <v>2508</v>
      </c>
      <c r="E2439" t="s">
        <v>686</v>
      </c>
      <c r="F2439" s="4">
        <v>25.14</v>
      </c>
      <c r="G2439" s="4">
        <v>0</v>
      </c>
      <c r="H2439" s="4">
        <v>0</v>
      </c>
      <c r="I2439" s="4">
        <v>0</v>
      </c>
      <c r="J2439" s="4">
        <v>0</v>
      </c>
      <c r="K2439" s="4">
        <v>0</v>
      </c>
      <c r="L2439" s="4">
        <v>0</v>
      </c>
      <c r="M2439" s="4">
        <v>0</v>
      </c>
      <c r="N2439" s="4">
        <f>SUM(Table1[[#This Row],[2025]:[2018]])</f>
        <v>25.14</v>
      </c>
      <c r="O2439" s="2">
        <f>Table1[[#This Row],[ttl]]/SUM(Table1[ttl])</f>
        <v>5.0693024624972755E-8</v>
      </c>
      <c r="P2439" s="3">
        <f>SUM($O$2:Table1[[#This Row],[pctAllTimeExp]])</f>
        <v>0.99999825006227316</v>
      </c>
      <c r="Q2439" t="b">
        <f>Table1[[#This Row],[cumPctAllTimeExp]]&lt;0.95</f>
        <v>0</v>
      </c>
    </row>
    <row r="2440" spans="1:17" x14ac:dyDescent="0.25">
      <c r="A2440">
        <v>1395</v>
      </c>
      <c r="C2440" t="s">
        <v>2508</v>
      </c>
      <c r="E2440" t="s">
        <v>1397</v>
      </c>
      <c r="F2440" s="4">
        <v>0</v>
      </c>
      <c r="G2440" s="4">
        <v>0</v>
      </c>
      <c r="H2440" s="4">
        <v>0</v>
      </c>
      <c r="I2440" s="4">
        <v>25</v>
      </c>
      <c r="J2440" s="4">
        <v>0</v>
      </c>
      <c r="K2440" s="4">
        <v>0</v>
      </c>
      <c r="L2440" s="4">
        <v>0</v>
      </c>
      <c r="M2440" s="4">
        <v>0</v>
      </c>
      <c r="N2440" s="4">
        <f>SUM(Table1[[#This Row],[2025]:[2018]])</f>
        <v>25</v>
      </c>
      <c r="O2440" s="2">
        <f>Table1[[#This Row],[ttl]]/SUM(Table1[ttl])</f>
        <v>5.0410724567395335E-8</v>
      </c>
      <c r="P2440" s="3">
        <f>SUM($O$2:Table1[[#This Row],[pctAllTimeExp]])</f>
        <v>0.99999830047299776</v>
      </c>
      <c r="Q2440" t="b">
        <f>Table1[[#This Row],[cumPctAllTimeExp]]&lt;0.95</f>
        <v>0</v>
      </c>
    </row>
    <row r="2441" spans="1:17" x14ac:dyDescent="0.25">
      <c r="A2441">
        <v>1643</v>
      </c>
      <c r="C2441" t="s">
        <v>2508</v>
      </c>
      <c r="E2441" t="s">
        <v>1645</v>
      </c>
      <c r="F2441" s="4">
        <v>0</v>
      </c>
      <c r="G2441" s="4">
        <v>0</v>
      </c>
      <c r="H2441" s="4">
        <v>0</v>
      </c>
      <c r="I2441" s="4">
        <v>0</v>
      </c>
      <c r="J2441" s="4">
        <v>25</v>
      </c>
      <c r="K2441" s="4">
        <v>0</v>
      </c>
      <c r="L2441" s="4">
        <v>0</v>
      </c>
      <c r="M2441" s="4">
        <v>0</v>
      </c>
      <c r="N2441" s="4">
        <f>SUM(Table1[[#This Row],[2025]:[2018]])</f>
        <v>25</v>
      </c>
      <c r="O2441" s="2">
        <f>Table1[[#This Row],[ttl]]/SUM(Table1[ttl])</f>
        <v>5.0410724567395335E-8</v>
      </c>
      <c r="P2441" s="3">
        <f>SUM($O$2:Table1[[#This Row],[pctAllTimeExp]])</f>
        <v>0.99999835088372235</v>
      </c>
      <c r="Q2441" t="b">
        <f>Table1[[#This Row],[cumPctAllTimeExp]]&lt;0.95</f>
        <v>0</v>
      </c>
    </row>
    <row r="2442" spans="1:17" x14ac:dyDescent="0.25">
      <c r="A2442">
        <v>1958</v>
      </c>
      <c r="C2442" t="s">
        <v>2508</v>
      </c>
      <c r="E2442" t="s">
        <v>1960</v>
      </c>
      <c r="F2442" s="4">
        <v>0</v>
      </c>
      <c r="G2442" s="4">
        <v>0</v>
      </c>
      <c r="H2442" s="4">
        <v>0</v>
      </c>
      <c r="I2442" s="4">
        <v>0</v>
      </c>
      <c r="J2442" s="4">
        <v>0</v>
      </c>
      <c r="K2442" s="4">
        <v>25</v>
      </c>
      <c r="L2442" s="4">
        <v>0</v>
      </c>
      <c r="M2442" s="4">
        <v>0</v>
      </c>
      <c r="N2442" s="4">
        <f>SUM(Table1[[#This Row],[2025]:[2018]])</f>
        <v>25</v>
      </c>
      <c r="O2442" s="2">
        <f>Table1[[#This Row],[ttl]]/SUM(Table1[ttl])</f>
        <v>5.0410724567395335E-8</v>
      </c>
      <c r="P2442" s="3">
        <f>SUM($O$2:Table1[[#This Row],[pctAllTimeExp]])</f>
        <v>0.99999840129444695</v>
      </c>
      <c r="Q2442" t="b">
        <f>Table1[[#This Row],[cumPctAllTimeExp]]&lt;0.95</f>
        <v>0</v>
      </c>
    </row>
    <row r="2443" spans="1:17" x14ac:dyDescent="0.25">
      <c r="A2443">
        <v>2481</v>
      </c>
      <c r="C2443" t="s">
        <v>2508</v>
      </c>
      <c r="E2443" t="s">
        <v>2483</v>
      </c>
      <c r="F2443" s="4">
        <v>0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  <c r="L2443" s="4">
        <v>0</v>
      </c>
      <c r="M2443" s="4">
        <v>25</v>
      </c>
      <c r="N2443" s="4">
        <f>SUM(Table1[[#This Row],[2025]:[2018]])</f>
        <v>25</v>
      </c>
      <c r="O2443" s="2">
        <f>Table1[[#This Row],[ttl]]/SUM(Table1[ttl])</f>
        <v>5.0410724567395335E-8</v>
      </c>
      <c r="P2443" s="3">
        <f>SUM($O$2:Table1[[#This Row],[pctAllTimeExp]])</f>
        <v>0.99999845170517154</v>
      </c>
      <c r="Q2443" t="b">
        <f>Table1[[#This Row],[cumPctAllTimeExp]]&lt;0.95</f>
        <v>0</v>
      </c>
    </row>
    <row r="2444" spans="1:17" x14ac:dyDescent="0.25">
      <c r="A2444">
        <v>2482</v>
      </c>
      <c r="C2444" t="s">
        <v>2508</v>
      </c>
      <c r="E2444" t="s">
        <v>2484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25</v>
      </c>
      <c r="N2444" s="4">
        <f>SUM(Table1[[#This Row],[2025]:[2018]])</f>
        <v>25</v>
      </c>
      <c r="O2444" s="2">
        <f>Table1[[#This Row],[ttl]]/SUM(Table1[ttl])</f>
        <v>5.0410724567395335E-8</v>
      </c>
      <c r="P2444" s="3">
        <f>SUM($O$2:Table1[[#This Row],[pctAllTimeExp]])</f>
        <v>0.99999850211589614</v>
      </c>
      <c r="Q2444" t="b">
        <f>Table1[[#This Row],[cumPctAllTimeExp]]&lt;0.95</f>
        <v>0</v>
      </c>
    </row>
    <row r="2445" spans="1:17" x14ac:dyDescent="0.25">
      <c r="A2445">
        <v>2231</v>
      </c>
      <c r="C2445" t="s">
        <v>2508</v>
      </c>
      <c r="E2445" t="s">
        <v>2233</v>
      </c>
      <c r="F2445" s="4">
        <v>0</v>
      </c>
      <c r="G2445" s="4">
        <v>0</v>
      </c>
      <c r="H2445" s="4">
        <v>0</v>
      </c>
      <c r="I2445" s="4">
        <v>0</v>
      </c>
      <c r="J2445" s="4">
        <v>0</v>
      </c>
      <c r="K2445" s="4">
        <v>0</v>
      </c>
      <c r="L2445" s="4">
        <v>24.9</v>
      </c>
      <c r="M2445" s="4">
        <v>0</v>
      </c>
      <c r="N2445" s="4">
        <f>SUM(Table1[[#This Row],[2025]:[2018]])</f>
        <v>24.9</v>
      </c>
      <c r="O2445" s="2">
        <f>Table1[[#This Row],[ttl]]/SUM(Table1[ttl])</f>
        <v>5.0209081669125753E-8</v>
      </c>
      <c r="P2445" s="3">
        <f>SUM($O$2:Table1[[#This Row],[pctAllTimeExp]])</f>
        <v>0.99999855232497781</v>
      </c>
      <c r="Q2445" t="b">
        <f>Table1[[#This Row],[cumPctAllTimeExp]]&lt;0.95</f>
        <v>0</v>
      </c>
    </row>
    <row r="2446" spans="1:17" x14ac:dyDescent="0.25">
      <c r="A2446">
        <v>1959</v>
      </c>
      <c r="C2446" t="s">
        <v>2508</v>
      </c>
      <c r="E2446" t="s">
        <v>1961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4">
        <v>24.45</v>
      </c>
      <c r="L2446" s="4">
        <v>0</v>
      </c>
      <c r="M2446" s="4">
        <v>0</v>
      </c>
      <c r="N2446" s="4">
        <f>SUM(Table1[[#This Row],[2025]:[2018]])</f>
        <v>24.45</v>
      </c>
      <c r="O2446" s="2">
        <f>Table1[[#This Row],[ttl]]/SUM(Table1[ttl])</f>
        <v>4.9301688626912636E-8</v>
      </c>
      <c r="P2446" s="3">
        <f>SUM($O$2:Table1[[#This Row],[pctAllTimeExp]])</f>
        <v>0.99999860162666643</v>
      </c>
      <c r="Q2446" t="b">
        <f>Table1[[#This Row],[cumPctAllTimeExp]]&lt;0.95</f>
        <v>0</v>
      </c>
    </row>
    <row r="2447" spans="1:17" x14ac:dyDescent="0.25">
      <c r="A2447">
        <v>1644</v>
      </c>
      <c r="C2447" t="s">
        <v>2508</v>
      </c>
      <c r="E2447" t="s">
        <v>1646</v>
      </c>
      <c r="F2447" s="4">
        <v>0</v>
      </c>
      <c r="G2447" s="4">
        <v>0</v>
      </c>
      <c r="H2447" s="4">
        <v>0</v>
      </c>
      <c r="I2447" s="4">
        <v>0</v>
      </c>
      <c r="J2447" s="4">
        <v>24</v>
      </c>
      <c r="K2447" s="4">
        <v>0</v>
      </c>
      <c r="L2447" s="4">
        <v>0</v>
      </c>
      <c r="M2447" s="4">
        <v>0</v>
      </c>
      <c r="N2447" s="4">
        <f>SUM(Table1[[#This Row],[2025]:[2018]])</f>
        <v>24</v>
      </c>
      <c r="O2447" s="2">
        <f>Table1[[#This Row],[ttl]]/SUM(Table1[ttl])</f>
        <v>4.8394295584699526E-8</v>
      </c>
      <c r="P2447" s="3">
        <f>SUM($O$2:Table1[[#This Row],[pctAllTimeExp]])</f>
        <v>0.999998650020962</v>
      </c>
      <c r="Q2447" t="b">
        <f>Table1[[#This Row],[cumPctAllTimeExp]]&lt;0.95</f>
        <v>0</v>
      </c>
    </row>
    <row r="2448" spans="1:17" x14ac:dyDescent="0.25">
      <c r="A2448">
        <v>2233</v>
      </c>
      <c r="C2448" t="s">
        <v>2508</v>
      </c>
      <c r="E2448" t="s">
        <v>2235</v>
      </c>
      <c r="F2448" s="4">
        <v>0</v>
      </c>
      <c r="G2448" s="4">
        <v>0</v>
      </c>
      <c r="H2448" s="4">
        <v>0</v>
      </c>
      <c r="I2448" s="4">
        <v>0</v>
      </c>
      <c r="J2448" s="4">
        <v>0</v>
      </c>
      <c r="K2448" s="4">
        <v>0</v>
      </c>
      <c r="L2448" s="4">
        <v>24</v>
      </c>
      <c r="M2448" s="4">
        <v>0</v>
      </c>
      <c r="N2448" s="4">
        <f>SUM(Table1[[#This Row],[2025]:[2018]])</f>
        <v>24</v>
      </c>
      <c r="O2448" s="2">
        <f>Table1[[#This Row],[ttl]]/SUM(Table1[ttl])</f>
        <v>4.8394295584699526E-8</v>
      </c>
      <c r="P2448" s="3">
        <f>SUM($O$2:Table1[[#This Row],[pctAllTimeExp]])</f>
        <v>0.99999869841525757</v>
      </c>
      <c r="Q2448" t="b">
        <f>Table1[[#This Row],[cumPctAllTimeExp]]&lt;0.95</f>
        <v>0</v>
      </c>
    </row>
    <row r="2449" spans="1:17" x14ac:dyDescent="0.25">
      <c r="A2449">
        <v>685</v>
      </c>
      <c r="C2449" t="s">
        <v>2508</v>
      </c>
      <c r="E2449" t="s">
        <v>687</v>
      </c>
      <c r="F2449" s="4">
        <v>22.7</v>
      </c>
      <c r="G2449" s="4">
        <v>0</v>
      </c>
      <c r="H2449" s="4">
        <v>0</v>
      </c>
      <c r="I2449" s="4">
        <v>0</v>
      </c>
      <c r="J2449" s="4">
        <v>0</v>
      </c>
      <c r="K2449" s="4">
        <v>0</v>
      </c>
      <c r="L2449" s="4">
        <v>0</v>
      </c>
      <c r="M2449" s="4">
        <v>0</v>
      </c>
      <c r="N2449" s="4">
        <f>SUM(Table1[[#This Row],[2025]:[2018]])</f>
        <v>22.7</v>
      </c>
      <c r="O2449" s="2">
        <f>Table1[[#This Row],[ttl]]/SUM(Table1[ttl])</f>
        <v>4.5772937907194963E-8</v>
      </c>
      <c r="P2449" s="3">
        <f>SUM($O$2:Table1[[#This Row],[pctAllTimeExp]])</f>
        <v>0.99999874418819545</v>
      </c>
      <c r="Q2449" t="b">
        <f>Table1[[#This Row],[cumPctAllTimeExp]]&lt;0.95</f>
        <v>0</v>
      </c>
    </row>
    <row r="2450" spans="1:17" x14ac:dyDescent="0.25">
      <c r="A2450">
        <v>1188</v>
      </c>
      <c r="C2450" t="s">
        <v>2508</v>
      </c>
      <c r="E2450" t="s">
        <v>1190</v>
      </c>
      <c r="F2450" s="4">
        <v>0</v>
      </c>
      <c r="G2450" s="4">
        <v>0</v>
      </c>
      <c r="H2450" s="4">
        <v>22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f>SUM(Table1[[#This Row],[2025]:[2018]])</f>
        <v>22</v>
      </c>
      <c r="O2450" s="2">
        <f>Table1[[#This Row],[ttl]]/SUM(Table1[ttl])</f>
        <v>4.4361437619307894E-8</v>
      </c>
      <c r="P2450" s="3">
        <f>SUM($O$2:Table1[[#This Row],[pctAllTimeExp]])</f>
        <v>0.99999878854963309</v>
      </c>
      <c r="Q2450" t="b">
        <f>Table1[[#This Row],[cumPctAllTimeExp]]&lt;0.95</f>
        <v>0</v>
      </c>
    </row>
    <row r="2451" spans="1:17" x14ac:dyDescent="0.25">
      <c r="A2451">
        <v>1189</v>
      </c>
      <c r="C2451" t="s">
        <v>2508</v>
      </c>
      <c r="E2451" t="s">
        <v>1191</v>
      </c>
      <c r="F2451" s="4">
        <v>0</v>
      </c>
      <c r="G2451" s="4">
        <v>0</v>
      </c>
      <c r="H2451" s="4">
        <v>22</v>
      </c>
      <c r="I2451" s="4">
        <v>0</v>
      </c>
      <c r="J2451" s="4">
        <v>0</v>
      </c>
      <c r="K2451" s="4">
        <v>0</v>
      </c>
      <c r="L2451" s="4">
        <v>0</v>
      </c>
      <c r="M2451" s="4">
        <v>0</v>
      </c>
      <c r="N2451" s="4">
        <f>SUM(Table1[[#This Row],[2025]:[2018]])</f>
        <v>22</v>
      </c>
      <c r="O2451" s="2">
        <f>Table1[[#This Row],[ttl]]/SUM(Table1[ttl])</f>
        <v>4.4361437619307894E-8</v>
      </c>
      <c r="P2451" s="3">
        <f>SUM($O$2:Table1[[#This Row],[pctAllTimeExp]])</f>
        <v>0.99999883291107072</v>
      </c>
      <c r="Q2451" t="b">
        <f>Table1[[#This Row],[cumPctAllTimeExp]]&lt;0.95</f>
        <v>0</v>
      </c>
    </row>
    <row r="2452" spans="1:17" x14ac:dyDescent="0.25">
      <c r="A2452">
        <v>1645</v>
      </c>
      <c r="C2452" t="s">
        <v>2508</v>
      </c>
      <c r="E2452" t="s">
        <v>1647</v>
      </c>
      <c r="F2452" s="4">
        <v>0</v>
      </c>
      <c r="G2452" s="4">
        <v>0</v>
      </c>
      <c r="H2452" s="4">
        <v>0</v>
      </c>
      <c r="I2452" s="4">
        <v>0</v>
      </c>
      <c r="J2452" s="4">
        <v>22</v>
      </c>
      <c r="K2452" s="4">
        <v>0</v>
      </c>
      <c r="L2452" s="4">
        <v>0</v>
      </c>
      <c r="M2452" s="4">
        <v>0</v>
      </c>
      <c r="N2452" s="4">
        <f>SUM(Table1[[#This Row],[2025]:[2018]])</f>
        <v>22</v>
      </c>
      <c r="O2452" s="2">
        <f>Table1[[#This Row],[ttl]]/SUM(Table1[ttl])</f>
        <v>4.4361437619307894E-8</v>
      </c>
      <c r="P2452" s="3">
        <f>SUM($O$2:Table1[[#This Row],[pctAllTimeExp]])</f>
        <v>0.99999887727250836</v>
      </c>
      <c r="Q2452" t="b">
        <f>Table1[[#This Row],[cumPctAllTimeExp]]&lt;0.95</f>
        <v>0</v>
      </c>
    </row>
    <row r="2453" spans="1:17" x14ac:dyDescent="0.25">
      <c r="A2453">
        <v>1190</v>
      </c>
      <c r="C2453" t="s">
        <v>2508</v>
      </c>
      <c r="E2453" t="s">
        <v>1192</v>
      </c>
      <c r="F2453" s="4">
        <v>0</v>
      </c>
      <c r="G2453" s="4">
        <v>0</v>
      </c>
      <c r="H2453" s="4">
        <v>21.25</v>
      </c>
      <c r="I2453" s="4">
        <v>0</v>
      </c>
      <c r="J2453" s="4">
        <v>0</v>
      </c>
      <c r="K2453" s="4">
        <v>0</v>
      </c>
      <c r="L2453" s="4">
        <v>0</v>
      </c>
      <c r="M2453" s="4">
        <v>0</v>
      </c>
      <c r="N2453" s="4">
        <f>SUM(Table1[[#This Row],[2025]:[2018]])</f>
        <v>21.25</v>
      </c>
      <c r="O2453" s="2">
        <f>Table1[[#This Row],[ttl]]/SUM(Table1[ttl])</f>
        <v>4.2849115882286037E-8</v>
      </c>
      <c r="P2453" s="3">
        <f>SUM($O$2:Table1[[#This Row],[pctAllTimeExp]])</f>
        <v>0.99999892012162428</v>
      </c>
      <c r="Q2453" t="b">
        <f>Table1[[#This Row],[cumPctAllTimeExp]]&lt;0.95</f>
        <v>0</v>
      </c>
    </row>
    <row r="2454" spans="1:17" x14ac:dyDescent="0.25">
      <c r="A2454">
        <v>1397</v>
      </c>
      <c r="C2454" t="s">
        <v>2508</v>
      </c>
      <c r="E2454" t="s">
        <v>1399</v>
      </c>
      <c r="F2454" s="4">
        <v>0</v>
      </c>
      <c r="G2454" s="4">
        <v>0</v>
      </c>
      <c r="H2454" s="4">
        <v>0</v>
      </c>
      <c r="I2454" s="4">
        <v>20.09</v>
      </c>
      <c r="J2454" s="4">
        <v>0</v>
      </c>
      <c r="K2454" s="4">
        <v>0</v>
      </c>
      <c r="L2454" s="4">
        <v>0</v>
      </c>
      <c r="M2454" s="4">
        <v>0</v>
      </c>
      <c r="N2454" s="4">
        <f>SUM(Table1[[#This Row],[2025]:[2018]])</f>
        <v>20.09</v>
      </c>
      <c r="O2454" s="2">
        <f>Table1[[#This Row],[ttl]]/SUM(Table1[ttl])</f>
        <v>4.0510058262358895E-8</v>
      </c>
      <c r="P2454" s="3">
        <f>SUM($O$2:Table1[[#This Row],[pctAllTimeExp]])</f>
        <v>0.99999896063168259</v>
      </c>
      <c r="Q2454" t="b">
        <f>Table1[[#This Row],[cumPctAllTimeExp]]&lt;0.95</f>
        <v>0</v>
      </c>
    </row>
    <row r="2455" spans="1:17" x14ac:dyDescent="0.25">
      <c r="A2455">
        <v>951</v>
      </c>
      <c r="C2455" t="s">
        <v>2508</v>
      </c>
      <c r="E2455" t="s">
        <v>953</v>
      </c>
      <c r="F2455" s="4">
        <v>0</v>
      </c>
      <c r="G2455" s="4">
        <v>20</v>
      </c>
      <c r="H2455" s="4">
        <v>0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4">
        <f>SUM(Table1[[#This Row],[2025]:[2018]])</f>
        <v>20</v>
      </c>
      <c r="O2455" s="2">
        <f>Table1[[#This Row],[ttl]]/SUM(Table1[ttl])</f>
        <v>4.0328579653916269E-8</v>
      </c>
      <c r="P2455" s="3">
        <f>SUM($O$2:Table1[[#This Row],[pctAllTimeExp]])</f>
        <v>0.99999900096026229</v>
      </c>
      <c r="Q2455" t="b">
        <f>Table1[[#This Row],[cumPctAllTimeExp]]&lt;0.95</f>
        <v>0</v>
      </c>
    </row>
    <row r="2456" spans="1:17" x14ac:dyDescent="0.25">
      <c r="A2456">
        <v>952</v>
      </c>
      <c r="C2456" t="s">
        <v>2508</v>
      </c>
      <c r="E2456" t="s">
        <v>954</v>
      </c>
      <c r="F2456" s="4">
        <v>0</v>
      </c>
      <c r="G2456" s="4">
        <v>20</v>
      </c>
      <c r="H2456" s="4">
        <v>0</v>
      </c>
      <c r="I2456" s="4">
        <v>0</v>
      </c>
      <c r="J2456" s="4">
        <v>0</v>
      </c>
      <c r="K2456" s="4">
        <v>0</v>
      </c>
      <c r="L2456" s="4">
        <v>0</v>
      </c>
      <c r="M2456" s="4">
        <v>0</v>
      </c>
      <c r="N2456" s="4">
        <f>SUM(Table1[[#This Row],[2025]:[2018]])</f>
        <v>20</v>
      </c>
      <c r="O2456" s="2">
        <f>Table1[[#This Row],[ttl]]/SUM(Table1[ttl])</f>
        <v>4.0328579653916269E-8</v>
      </c>
      <c r="P2456" s="3">
        <f>SUM($O$2:Table1[[#This Row],[pctAllTimeExp]])</f>
        <v>0.99999904128884198</v>
      </c>
      <c r="Q2456" t="b">
        <f>Table1[[#This Row],[cumPctAllTimeExp]]&lt;0.95</f>
        <v>0</v>
      </c>
    </row>
    <row r="2457" spans="1:17" x14ac:dyDescent="0.25">
      <c r="A2457">
        <v>1191</v>
      </c>
      <c r="C2457" t="s">
        <v>2508</v>
      </c>
      <c r="E2457" t="s">
        <v>1193</v>
      </c>
      <c r="F2457" s="4">
        <v>0</v>
      </c>
      <c r="G2457" s="4">
        <v>0</v>
      </c>
      <c r="H2457" s="4">
        <v>20</v>
      </c>
      <c r="I2457" s="4">
        <v>0</v>
      </c>
      <c r="J2457" s="4">
        <v>0</v>
      </c>
      <c r="K2457" s="4">
        <v>0</v>
      </c>
      <c r="L2457" s="4">
        <v>0</v>
      </c>
      <c r="M2457" s="4">
        <v>0</v>
      </c>
      <c r="N2457" s="4">
        <f>SUM(Table1[[#This Row],[2025]:[2018]])</f>
        <v>20</v>
      </c>
      <c r="O2457" s="2">
        <f>Table1[[#This Row],[ttl]]/SUM(Table1[ttl])</f>
        <v>4.0328579653916269E-8</v>
      </c>
      <c r="P2457" s="3">
        <f>SUM($O$2:Table1[[#This Row],[pctAllTimeExp]])</f>
        <v>0.99999908161742168</v>
      </c>
      <c r="Q2457" t="b">
        <f>Table1[[#This Row],[cumPctAllTimeExp]]&lt;0.95</f>
        <v>0</v>
      </c>
    </row>
    <row r="2458" spans="1:17" x14ac:dyDescent="0.25">
      <c r="A2458">
        <v>1192</v>
      </c>
      <c r="C2458" t="s">
        <v>2508</v>
      </c>
      <c r="E2458" t="s">
        <v>1194</v>
      </c>
      <c r="F2458" s="4">
        <v>0</v>
      </c>
      <c r="G2458" s="4">
        <v>0</v>
      </c>
      <c r="H2458" s="4">
        <v>20</v>
      </c>
      <c r="I2458" s="4">
        <v>0</v>
      </c>
      <c r="J2458" s="4">
        <v>0</v>
      </c>
      <c r="K2458" s="4">
        <v>0</v>
      </c>
      <c r="L2458" s="4">
        <v>0</v>
      </c>
      <c r="M2458" s="4">
        <v>0</v>
      </c>
      <c r="N2458" s="4">
        <f>SUM(Table1[[#This Row],[2025]:[2018]])</f>
        <v>20</v>
      </c>
      <c r="O2458" s="2">
        <f>Table1[[#This Row],[ttl]]/SUM(Table1[ttl])</f>
        <v>4.0328579653916269E-8</v>
      </c>
      <c r="P2458" s="3">
        <f>SUM($O$2:Table1[[#This Row],[pctAllTimeExp]])</f>
        <v>0.99999912194600138</v>
      </c>
      <c r="Q2458" t="b">
        <f>Table1[[#This Row],[cumPctAllTimeExp]]&lt;0.95</f>
        <v>0</v>
      </c>
    </row>
    <row r="2459" spans="1:17" x14ac:dyDescent="0.25">
      <c r="A2459">
        <v>1398</v>
      </c>
      <c r="C2459" t="s">
        <v>2508</v>
      </c>
      <c r="E2459" t="s">
        <v>1400</v>
      </c>
      <c r="F2459" s="4">
        <v>0</v>
      </c>
      <c r="G2459" s="4">
        <v>0</v>
      </c>
      <c r="H2459" s="4">
        <v>0</v>
      </c>
      <c r="I2459" s="4">
        <v>20</v>
      </c>
      <c r="J2459" s="4">
        <v>0</v>
      </c>
      <c r="K2459" s="4">
        <v>0</v>
      </c>
      <c r="L2459" s="4">
        <v>0</v>
      </c>
      <c r="M2459" s="4">
        <v>0</v>
      </c>
      <c r="N2459" s="4">
        <f>SUM(Table1[[#This Row],[2025]:[2018]])</f>
        <v>20</v>
      </c>
      <c r="O2459" s="2">
        <f>Table1[[#This Row],[ttl]]/SUM(Table1[ttl])</f>
        <v>4.0328579653916269E-8</v>
      </c>
      <c r="P2459" s="3">
        <f>SUM($O$2:Table1[[#This Row],[pctAllTimeExp]])</f>
        <v>0.99999916227458108</v>
      </c>
      <c r="Q2459" t="b">
        <f>Table1[[#This Row],[cumPctAllTimeExp]]&lt;0.95</f>
        <v>0</v>
      </c>
    </row>
    <row r="2460" spans="1:17" x14ac:dyDescent="0.25">
      <c r="A2460">
        <v>1960</v>
      </c>
      <c r="C2460" t="s">
        <v>2508</v>
      </c>
      <c r="E2460" t="s">
        <v>1962</v>
      </c>
      <c r="F2460" s="4">
        <v>0</v>
      </c>
      <c r="G2460" s="4">
        <v>0</v>
      </c>
      <c r="H2460" s="4">
        <v>0</v>
      </c>
      <c r="I2460" s="4">
        <v>0</v>
      </c>
      <c r="J2460" s="4">
        <v>0</v>
      </c>
      <c r="K2460" s="4">
        <v>20</v>
      </c>
      <c r="L2460" s="4">
        <v>0</v>
      </c>
      <c r="M2460" s="4">
        <v>0</v>
      </c>
      <c r="N2460" s="4">
        <f>SUM(Table1[[#This Row],[2025]:[2018]])</f>
        <v>20</v>
      </c>
      <c r="O2460" s="2">
        <f>Table1[[#This Row],[ttl]]/SUM(Table1[ttl])</f>
        <v>4.0328579653916269E-8</v>
      </c>
      <c r="P2460" s="3">
        <f>SUM($O$2:Table1[[#This Row],[pctAllTimeExp]])</f>
        <v>0.99999920260316078</v>
      </c>
      <c r="Q2460" t="b">
        <f>Table1[[#This Row],[cumPctAllTimeExp]]&lt;0.95</f>
        <v>0</v>
      </c>
    </row>
    <row r="2461" spans="1:17" x14ac:dyDescent="0.25">
      <c r="A2461">
        <v>1961</v>
      </c>
      <c r="C2461" t="s">
        <v>2508</v>
      </c>
      <c r="E2461" t="s">
        <v>1963</v>
      </c>
      <c r="F2461" s="4">
        <v>0</v>
      </c>
      <c r="G2461" s="4">
        <v>0</v>
      </c>
      <c r="H2461" s="4">
        <v>0</v>
      </c>
      <c r="I2461" s="4">
        <v>0</v>
      </c>
      <c r="J2461" s="4">
        <v>0</v>
      </c>
      <c r="K2461" s="4">
        <v>20</v>
      </c>
      <c r="L2461" s="4">
        <v>0</v>
      </c>
      <c r="M2461" s="4">
        <v>0</v>
      </c>
      <c r="N2461" s="4">
        <f>SUM(Table1[[#This Row],[2025]:[2018]])</f>
        <v>20</v>
      </c>
      <c r="O2461" s="2">
        <f>Table1[[#This Row],[ttl]]/SUM(Table1[ttl])</f>
        <v>4.0328579653916269E-8</v>
      </c>
      <c r="P2461" s="3">
        <f>SUM($O$2:Table1[[#This Row],[pctAllTimeExp]])</f>
        <v>0.99999924293174047</v>
      </c>
      <c r="Q2461" t="b">
        <f>Table1[[#This Row],[cumPctAllTimeExp]]&lt;0.95</f>
        <v>0</v>
      </c>
    </row>
    <row r="2462" spans="1:17" x14ac:dyDescent="0.25">
      <c r="A2462">
        <v>1962</v>
      </c>
      <c r="C2462" t="s">
        <v>2508</v>
      </c>
      <c r="E2462" t="s">
        <v>1964</v>
      </c>
      <c r="F2462" s="4">
        <v>0</v>
      </c>
      <c r="G2462" s="4">
        <v>0</v>
      </c>
      <c r="H2462" s="4">
        <v>0</v>
      </c>
      <c r="I2462" s="4">
        <v>0</v>
      </c>
      <c r="J2462" s="4">
        <v>0</v>
      </c>
      <c r="K2462" s="4">
        <v>20</v>
      </c>
      <c r="L2462" s="4">
        <v>0</v>
      </c>
      <c r="M2462" s="4">
        <v>0</v>
      </c>
      <c r="N2462" s="4">
        <f>SUM(Table1[[#This Row],[2025]:[2018]])</f>
        <v>20</v>
      </c>
      <c r="O2462" s="2">
        <f>Table1[[#This Row],[ttl]]/SUM(Table1[ttl])</f>
        <v>4.0328579653916269E-8</v>
      </c>
      <c r="P2462" s="3">
        <f>SUM($O$2:Table1[[#This Row],[pctAllTimeExp]])</f>
        <v>0.99999928326032017</v>
      </c>
      <c r="Q2462" t="b">
        <f>Table1[[#This Row],[cumPctAllTimeExp]]&lt;0.95</f>
        <v>0</v>
      </c>
    </row>
    <row r="2463" spans="1:17" x14ac:dyDescent="0.25">
      <c r="A2463">
        <v>1963</v>
      </c>
      <c r="C2463" t="s">
        <v>2508</v>
      </c>
      <c r="E2463" t="s">
        <v>1965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4">
        <v>20</v>
      </c>
      <c r="L2463" s="4">
        <v>0</v>
      </c>
      <c r="M2463" s="4">
        <v>0</v>
      </c>
      <c r="N2463" s="4">
        <f>SUM(Table1[[#This Row],[2025]:[2018]])</f>
        <v>20</v>
      </c>
      <c r="O2463" s="2">
        <f>Table1[[#This Row],[ttl]]/SUM(Table1[ttl])</f>
        <v>4.0328579653916269E-8</v>
      </c>
      <c r="P2463" s="3">
        <f>SUM($O$2:Table1[[#This Row],[pctAllTimeExp]])</f>
        <v>0.99999932358889987</v>
      </c>
      <c r="Q2463" t="b">
        <f>Table1[[#This Row],[cumPctAllTimeExp]]&lt;0.95</f>
        <v>0</v>
      </c>
    </row>
    <row r="2464" spans="1:17" x14ac:dyDescent="0.25">
      <c r="A2464">
        <v>1965</v>
      </c>
      <c r="C2464" t="s">
        <v>2508</v>
      </c>
      <c r="E2464" t="s">
        <v>1967</v>
      </c>
      <c r="F2464" s="4">
        <v>0</v>
      </c>
      <c r="G2464" s="4">
        <v>0</v>
      </c>
      <c r="H2464" s="4">
        <v>0</v>
      </c>
      <c r="I2464" s="4">
        <v>0</v>
      </c>
      <c r="J2464" s="4">
        <v>0</v>
      </c>
      <c r="K2464" s="4">
        <v>18</v>
      </c>
      <c r="L2464" s="4">
        <v>0</v>
      </c>
      <c r="M2464" s="4">
        <v>0</v>
      </c>
      <c r="N2464" s="4">
        <f>SUM(Table1[[#This Row],[2025]:[2018]])</f>
        <v>18</v>
      </c>
      <c r="O2464" s="2">
        <f>Table1[[#This Row],[ttl]]/SUM(Table1[ttl])</f>
        <v>3.6295721688524644E-8</v>
      </c>
      <c r="P2464" s="3">
        <f>SUM($O$2:Table1[[#This Row],[pctAllTimeExp]])</f>
        <v>0.99999935988462152</v>
      </c>
      <c r="Q2464" t="b">
        <f>Table1[[#This Row],[cumPctAllTimeExp]]&lt;0.95</f>
        <v>0</v>
      </c>
    </row>
    <row r="2465" spans="1:17" x14ac:dyDescent="0.25">
      <c r="A2465">
        <v>2235</v>
      </c>
      <c r="C2465" t="s">
        <v>2508</v>
      </c>
      <c r="E2465" t="s">
        <v>2237</v>
      </c>
      <c r="F2465" s="4">
        <v>0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18</v>
      </c>
      <c r="M2465" s="4">
        <v>0</v>
      </c>
      <c r="N2465" s="4">
        <f>SUM(Table1[[#This Row],[2025]:[2018]])</f>
        <v>18</v>
      </c>
      <c r="O2465" s="2">
        <f>Table1[[#This Row],[ttl]]/SUM(Table1[ttl])</f>
        <v>3.6295721688524644E-8</v>
      </c>
      <c r="P2465" s="3">
        <f>SUM($O$2:Table1[[#This Row],[pctAllTimeExp]])</f>
        <v>0.99999939618034317</v>
      </c>
      <c r="Q2465" t="b">
        <f>Table1[[#This Row],[cumPctAllTimeExp]]&lt;0.95</f>
        <v>0</v>
      </c>
    </row>
    <row r="2466" spans="1:17" x14ac:dyDescent="0.25">
      <c r="A2466">
        <v>2236</v>
      </c>
      <c r="C2466" t="s">
        <v>2508</v>
      </c>
      <c r="E2466" t="s">
        <v>2238</v>
      </c>
      <c r="F2466" s="4">
        <v>0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  <c r="L2466" s="4">
        <v>18</v>
      </c>
      <c r="M2466" s="4">
        <v>0</v>
      </c>
      <c r="N2466" s="4">
        <f>SUM(Table1[[#This Row],[2025]:[2018]])</f>
        <v>18</v>
      </c>
      <c r="O2466" s="2">
        <f>Table1[[#This Row],[ttl]]/SUM(Table1[ttl])</f>
        <v>3.6295721688524644E-8</v>
      </c>
      <c r="P2466" s="3">
        <f>SUM($O$2:Table1[[#This Row],[pctAllTimeExp]])</f>
        <v>0.99999943247606482</v>
      </c>
      <c r="Q2466" t="b">
        <f>Table1[[#This Row],[cumPctAllTimeExp]]&lt;0.95</f>
        <v>0</v>
      </c>
    </row>
    <row r="2467" spans="1:17" x14ac:dyDescent="0.25">
      <c r="A2467">
        <v>2237</v>
      </c>
      <c r="C2467" t="s">
        <v>2508</v>
      </c>
      <c r="E2467" t="s">
        <v>2239</v>
      </c>
      <c r="F2467" s="4">
        <v>0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  <c r="L2467" s="4">
        <v>18</v>
      </c>
      <c r="M2467" s="4">
        <v>0</v>
      </c>
      <c r="N2467" s="4">
        <f>SUM(Table1[[#This Row],[2025]:[2018]])</f>
        <v>18</v>
      </c>
      <c r="O2467" s="2">
        <f>Table1[[#This Row],[ttl]]/SUM(Table1[ttl])</f>
        <v>3.6295721688524644E-8</v>
      </c>
      <c r="P2467" s="3">
        <f>SUM($O$2:Table1[[#This Row],[pctAllTimeExp]])</f>
        <v>0.99999946877178647</v>
      </c>
      <c r="Q2467" t="b">
        <f>Table1[[#This Row],[cumPctAllTimeExp]]&lt;0.95</f>
        <v>0</v>
      </c>
    </row>
    <row r="2468" spans="1:17" x14ac:dyDescent="0.25">
      <c r="A2468">
        <v>2483</v>
      </c>
      <c r="C2468" t="s">
        <v>2508</v>
      </c>
      <c r="E2468" t="s">
        <v>2485</v>
      </c>
      <c r="F2468" s="4">
        <v>0</v>
      </c>
      <c r="G2468" s="4">
        <v>0</v>
      </c>
      <c r="H2468" s="4">
        <v>0</v>
      </c>
      <c r="I2468" s="4">
        <v>0</v>
      </c>
      <c r="J2468" s="4">
        <v>0</v>
      </c>
      <c r="K2468" s="4">
        <v>0</v>
      </c>
      <c r="L2468" s="4">
        <v>0</v>
      </c>
      <c r="M2468" s="4">
        <v>17.95</v>
      </c>
      <c r="N2468" s="4">
        <f>SUM(Table1[[#This Row],[2025]:[2018]])</f>
        <v>17.95</v>
      </c>
      <c r="O2468" s="2">
        <f>Table1[[#This Row],[ttl]]/SUM(Table1[ttl])</f>
        <v>3.619490023938985E-8</v>
      </c>
      <c r="P2468" s="3">
        <f>SUM($O$2:Table1[[#This Row],[pctAllTimeExp]])</f>
        <v>0.99999950496668666</v>
      </c>
      <c r="Q2468" t="b">
        <f>Table1[[#This Row],[cumPctAllTimeExp]]&lt;0.95</f>
        <v>0</v>
      </c>
    </row>
    <row r="2469" spans="1:17" x14ac:dyDescent="0.25">
      <c r="A2469">
        <v>1193</v>
      </c>
      <c r="C2469" t="s">
        <v>2508</v>
      </c>
      <c r="E2469" t="s">
        <v>1195</v>
      </c>
      <c r="F2469" s="4">
        <v>0</v>
      </c>
      <c r="G2469" s="4">
        <v>0</v>
      </c>
      <c r="H2469" s="4">
        <v>17.5</v>
      </c>
      <c r="I2469" s="4">
        <v>0</v>
      </c>
      <c r="J2469" s="4">
        <v>0</v>
      </c>
      <c r="K2469" s="4">
        <v>0</v>
      </c>
      <c r="L2469" s="4">
        <v>0</v>
      </c>
      <c r="M2469" s="4">
        <v>0</v>
      </c>
      <c r="N2469" s="4">
        <f>SUM(Table1[[#This Row],[2025]:[2018]])</f>
        <v>17.5</v>
      </c>
      <c r="O2469" s="2">
        <f>Table1[[#This Row],[ttl]]/SUM(Table1[ttl])</f>
        <v>3.5287507197176733E-8</v>
      </c>
      <c r="P2469" s="3">
        <f>SUM($O$2:Table1[[#This Row],[pctAllTimeExp]])</f>
        <v>0.99999954025419391</v>
      </c>
      <c r="Q2469" t="b">
        <f>Table1[[#This Row],[cumPctAllTimeExp]]&lt;0.95</f>
        <v>0</v>
      </c>
    </row>
    <row r="2470" spans="1:17" x14ac:dyDescent="0.25">
      <c r="A2470">
        <v>953</v>
      </c>
      <c r="C2470" t="s">
        <v>2508</v>
      </c>
      <c r="E2470" t="s">
        <v>955</v>
      </c>
      <c r="F2470" s="4">
        <v>0</v>
      </c>
      <c r="G2470" s="4">
        <v>17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f>SUM(Table1[[#This Row],[2025]:[2018]])</f>
        <v>17</v>
      </c>
      <c r="O2470" s="2">
        <f>Table1[[#This Row],[ttl]]/SUM(Table1[ttl])</f>
        <v>3.4279292705828829E-8</v>
      </c>
      <c r="P2470" s="3">
        <f>SUM($O$2:Table1[[#This Row],[pctAllTimeExp]])</f>
        <v>0.99999957453348665</v>
      </c>
      <c r="Q2470" t="b">
        <f>Table1[[#This Row],[cumPctAllTimeExp]]&lt;0.95</f>
        <v>0</v>
      </c>
    </row>
    <row r="2471" spans="1:17" x14ac:dyDescent="0.25">
      <c r="A2471">
        <v>1194</v>
      </c>
      <c r="C2471" t="s">
        <v>2508</v>
      </c>
      <c r="E2471" t="s">
        <v>1196</v>
      </c>
      <c r="F2471" s="4">
        <v>0</v>
      </c>
      <c r="G2471" s="4">
        <v>0</v>
      </c>
      <c r="H2471" s="4">
        <v>17</v>
      </c>
      <c r="I2471" s="4">
        <v>0</v>
      </c>
      <c r="J2471" s="4">
        <v>0</v>
      </c>
      <c r="K2471" s="4">
        <v>0</v>
      </c>
      <c r="L2471" s="4">
        <v>0</v>
      </c>
      <c r="M2471" s="4">
        <v>0</v>
      </c>
      <c r="N2471" s="4">
        <f>SUM(Table1[[#This Row],[2025]:[2018]])</f>
        <v>17</v>
      </c>
      <c r="O2471" s="2">
        <f>Table1[[#This Row],[ttl]]/SUM(Table1[ttl])</f>
        <v>3.4279292705828829E-8</v>
      </c>
      <c r="P2471" s="3">
        <f>SUM($O$2:Table1[[#This Row],[pctAllTimeExp]])</f>
        <v>0.99999960881277938</v>
      </c>
      <c r="Q2471" t="b">
        <f>Table1[[#This Row],[cumPctAllTimeExp]]&lt;0.95</f>
        <v>0</v>
      </c>
    </row>
    <row r="2472" spans="1:17" x14ac:dyDescent="0.25">
      <c r="A2472">
        <v>2484</v>
      </c>
      <c r="C2472" t="s">
        <v>2508</v>
      </c>
      <c r="E2472" t="s">
        <v>2486</v>
      </c>
      <c r="F2472" s="4">
        <v>0</v>
      </c>
      <c r="G2472" s="4">
        <v>0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16.100000000000001</v>
      </c>
      <c r="N2472" s="4">
        <f>SUM(Table1[[#This Row],[2025]:[2018]])</f>
        <v>16.100000000000001</v>
      </c>
      <c r="O2472" s="2">
        <f>Table1[[#This Row],[ttl]]/SUM(Table1[ttl])</f>
        <v>3.2464506621402602E-8</v>
      </c>
      <c r="P2472" s="3">
        <f>SUM($O$2:Table1[[#This Row],[pctAllTimeExp]])</f>
        <v>0.99999964127728602</v>
      </c>
      <c r="Q2472" t="b">
        <f>Table1[[#This Row],[cumPctAllTimeExp]]&lt;0.95</f>
        <v>0</v>
      </c>
    </row>
    <row r="2473" spans="1:17" x14ac:dyDescent="0.25">
      <c r="A2473">
        <v>2238</v>
      </c>
      <c r="C2473" t="s">
        <v>2508</v>
      </c>
      <c r="E2473" t="s">
        <v>2240</v>
      </c>
      <c r="F2473" s="4">
        <v>0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  <c r="L2473" s="4">
        <v>16</v>
      </c>
      <c r="M2473" s="4">
        <v>0</v>
      </c>
      <c r="N2473" s="4">
        <f>SUM(Table1[[#This Row],[2025]:[2018]])</f>
        <v>16</v>
      </c>
      <c r="O2473" s="2">
        <f>Table1[[#This Row],[ttl]]/SUM(Table1[ttl])</f>
        <v>3.2262863723133013E-8</v>
      </c>
      <c r="P2473" s="3">
        <f>SUM($O$2:Table1[[#This Row],[pctAllTimeExp]])</f>
        <v>0.99999967354014974</v>
      </c>
      <c r="Q2473" t="b">
        <f>Table1[[#This Row],[cumPctAllTimeExp]]&lt;0.95</f>
        <v>0</v>
      </c>
    </row>
    <row r="2474" spans="1:17" x14ac:dyDescent="0.25">
      <c r="A2474">
        <v>2239</v>
      </c>
      <c r="C2474" t="s">
        <v>2508</v>
      </c>
      <c r="E2474" t="s">
        <v>2241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15</v>
      </c>
      <c r="M2474" s="4">
        <v>0</v>
      </c>
      <c r="N2474" s="4">
        <f>SUM(Table1[[#This Row],[2025]:[2018]])</f>
        <v>15</v>
      </c>
      <c r="O2474" s="2">
        <f>Table1[[#This Row],[ttl]]/SUM(Table1[ttl])</f>
        <v>3.0246434740437204E-8</v>
      </c>
      <c r="P2474" s="3">
        <f>SUM($O$2:Table1[[#This Row],[pctAllTimeExp]])</f>
        <v>0.99999970378658443</v>
      </c>
      <c r="Q2474" t="b">
        <f>Table1[[#This Row],[cumPctAllTimeExp]]&lt;0.95</f>
        <v>0</v>
      </c>
    </row>
    <row r="2475" spans="1:17" x14ac:dyDescent="0.25">
      <c r="A2475">
        <v>2240</v>
      </c>
      <c r="C2475" t="s">
        <v>2508</v>
      </c>
      <c r="E2475" t="s">
        <v>2242</v>
      </c>
      <c r="F2475" s="4">
        <v>0</v>
      </c>
      <c r="G2475" s="4">
        <v>0</v>
      </c>
      <c r="H2475" s="4">
        <v>0</v>
      </c>
      <c r="I2475" s="4">
        <v>0</v>
      </c>
      <c r="J2475" s="4">
        <v>0</v>
      </c>
      <c r="K2475" s="4">
        <v>0</v>
      </c>
      <c r="L2475" s="4">
        <v>15</v>
      </c>
      <c r="M2475" s="4">
        <v>0</v>
      </c>
      <c r="N2475" s="4">
        <f>SUM(Table1[[#This Row],[2025]:[2018]])</f>
        <v>15</v>
      </c>
      <c r="O2475" s="2">
        <f>Table1[[#This Row],[ttl]]/SUM(Table1[ttl])</f>
        <v>3.0246434740437204E-8</v>
      </c>
      <c r="P2475" s="3">
        <f>SUM($O$2:Table1[[#This Row],[pctAllTimeExp]])</f>
        <v>0.99999973403301912</v>
      </c>
      <c r="Q2475" t="b">
        <f>Table1[[#This Row],[cumPctAllTimeExp]]&lt;0.95</f>
        <v>0</v>
      </c>
    </row>
    <row r="2476" spans="1:17" x14ac:dyDescent="0.25">
      <c r="A2476">
        <v>2485</v>
      </c>
      <c r="C2476" t="s">
        <v>2508</v>
      </c>
      <c r="E2476" t="s">
        <v>2487</v>
      </c>
      <c r="F2476" s="4">
        <v>0</v>
      </c>
      <c r="G2476" s="4">
        <v>0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15</v>
      </c>
      <c r="N2476" s="4">
        <f>SUM(Table1[[#This Row],[2025]:[2018]])</f>
        <v>15</v>
      </c>
      <c r="O2476" s="2">
        <f>Table1[[#This Row],[ttl]]/SUM(Table1[ttl])</f>
        <v>3.0246434740437204E-8</v>
      </c>
      <c r="P2476" s="3">
        <f>SUM($O$2:Table1[[#This Row],[pctAllTimeExp]])</f>
        <v>0.99999976427945381</v>
      </c>
      <c r="Q2476" t="b">
        <f>Table1[[#This Row],[cumPctAllTimeExp]]&lt;0.95</f>
        <v>0</v>
      </c>
    </row>
    <row r="2477" spans="1:17" x14ac:dyDescent="0.25">
      <c r="A2477">
        <v>2486</v>
      </c>
      <c r="C2477" t="s">
        <v>2508</v>
      </c>
      <c r="E2477" t="s">
        <v>2488</v>
      </c>
      <c r="F2477" s="4">
        <v>0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13.98</v>
      </c>
      <c r="N2477" s="4">
        <f>SUM(Table1[[#This Row],[2025]:[2018]])</f>
        <v>13.98</v>
      </c>
      <c r="O2477" s="2">
        <f>Table1[[#This Row],[ttl]]/SUM(Table1[ttl])</f>
        <v>2.8189677178087472E-8</v>
      </c>
      <c r="P2477" s="3">
        <f>SUM($O$2:Table1[[#This Row],[pctAllTimeExp]])</f>
        <v>0.99999979246913095</v>
      </c>
      <c r="Q2477" t="b">
        <f>Table1[[#This Row],[cumPctAllTimeExp]]&lt;0.95</f>
        <v>0</v>
      </c>
    </row>
    <row r="2478" spans="1:17" x14ac:dyDescent="0.25">
      <c r="A2478">
        <v>686</v>
      </c>
      <c r="C2478" t="s">
        <v>2508</v>
      </c>
      <c r="E2478" t="s">
        <v>688</v>
      </c>
      <c r="F2478" s="4">
        <v>12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f>SUM(Table1[[#This Row],[2025]:[2018]])</f>
        <v>12</v>
      </c>
      <c r="O2478" s="2">
        <f>Table1[[#This Row],[ttl]]/SUM(Table1[ttl])</f>
        <v>2.4197147792349763E-8</v>
      </c>
      <c r="P2478" s="3">
        <f>SUM($O$2:Table1[[#This Row],[pctAllTimeExp]])</f>
        <v>0.9999998166662788</v>
      </c>
      <c r="Q2478" t="b">
        <f>Table1[[#This Row],[cumPctAllTimeExp]]&lt;0.95</f>
        <v>0</v>
      </c>
    </row>
    <row r="2479" spans="1:17" x14ac:dyDescent="0.25">
      <c r="A2479">
        <v>954</v>
      </c>
      <c r="C2479" t="s">
        <v>2508</v>
      </c>
      <c r="E2479" t="s">
        <v>956</v>
      </c>
      <c r="F2479" s="4">
        <v>0</v>
      </c>
      <c r="G2479" s="4">
        <v>10.65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f>SUM(Table1[[#This Row],[2025]:[2018]])</f>
        <v>10.65</v>
      </c>
      <c r="O2479" s="2">
        <f>Table1[[#This Row],[ttl]]/SUM(Table1[ttl])</f>
        <v>2.1474968665710416E-8</v>
      </c>
      <c r="P2479" s="3">
        <f>SUM($O$2:Table1[[#This Row],[pctAllTimeExp]])</f>
        <v>0.99999983814124749</v>
      </c>
      <c r="Q2479" t="b">
        <f>Table1[[#This Row],[cumPctAllTimeExp]]&lt;0.95</f>
        <v>0</v>
      </c>
    </row>
    <row r="2480" spans="1:17" x14ac:dyDescent="0.25">
      <c r="A2480">
        <v>1196</v>
      </c>
      <c r="C2480" t="s">
        <v>2508</v>
      </c>
      <c r="E2480" t="s">
        <v>1198</v>
      </c>
      <c r="F2480" s="4">
        <v>0</v>
      </c>
      <c r="G2480" s="4">
        <v>0</v>
      </c>
      <c r="H2480" s="4">
        <v>10</v>
      </c>
      <c r="I2480" s="4">
        <v>0</v>
      </c>
      <c r="J2480" s="4">
        <v>0</v>
      </c>
      <c r="K2480" s="4">
        <v>0</v>
      </c>
      <c r="L2480" s="4">
        <v>0</v>
      </c>
      <c r="M2480" s="4">
        <v>0</v>
      </c>
      <c r="N2480" s="4">
        <f>SUM(Table1[[#This Row],[2025]:[2018]])</f>
        <v>10</v>
      </c>
      <c r="O2480" s="2">
        <f>Table1[[#This Row],[ttl]]/SUM(Table1[ttl])</f>
        <v>2.0164289826958135E-8</v>
      </c>
      <c r="P2480" s="3">
        <f>SUM($O$2:Table1[[#This Row],[pctAllTimeExp]])</f>
        <v>0.99999985830553728</v>
      </c>
      <c r="Q2480" t="b">
        <f>Table1[[#This Row],[cumPctAllTimeExp]]&lt;0.95</f>
        <v>0</v>
      </c>
    </row>
    <row r="2481" spans="1:17" x14ac:dyDescent="0.25">
      <c r="A2481">
        <v>2487</v>
      </c>
      <c r="C2481" t="s">
        <v>2508</v>
      </c>
      <c r="E2481" t="s">
        <v>2489</v>
      </c>
      <c r="F2481" s="4">
        <v>0</v>
      </c>
      <c r="G2481" s="4">
        <v>0</v>
      </c>
      <c r="H2481" s="4">
        <v>0</v>
      </c>
      <c r="I2481" s="4">
        <v>0</v>
      </c>
      <c r="J2481" s="4">
        <v>0</v>
      </c>
      <c r="K2481" s="4">
        <v>0</v>
      </c>
      <c r="L2481" s="4">
        <v>0</v>
      </c>
      <c r="M2481" s="4">
        <v>8.6</v>
      </c>
      <c r="N2481" s="4">
        <f>SUM(Table1[[#This Row],[2025]:[2018]])</f>
        <v>8.6</v>
      </c>
      <c r="O2481" s="2">
        <f>Table1[[#This Row],[ttl]]/SUM(Table1[ttl])</f>
        <v>1.7341289251183997E-8</v>
      </c>
      <c r="P2481" s="3">
        <f>SUM($O$2:Table1[[#This Row],[pctAllTimeExp]])</f>
        <v>0.99999987564682657</v>
      </c>
      <c r="Q2481" t="b">
        <f>Table1[[#This Row],[cumPctAllTimeExp]]&lt;0.95</f>
        <v>0</v>
      </c>
    </row>
    <row r="2482" spans="1:17" x14ac:dyDescent="0.25">
      <c r="A2482">
        <v>1967</v>
      </c>
      <c r="C2482" t="s">
        <v>2508</v>
      </c>
      <c r="E2482" t="s">
        <v>1969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8.5</v>
      </c>
      <c r="L2482" s="4">
        <v>0</v>
      </c>
      <c r="M2482" s="4">
        <v>0</v>
      </c>
      <c r="N2482" s="4">
        <f>SUM(Table1[[#This Row],[2025]:[2018]])</f>
        <v>8.5</v>
      </c>
      <c r="O2482" s="2">
        <f>Table1[[#This Row],[ttl]]/SUM(Table1[ttl])</f>
        <v>1.7139646352914414E-8</v>
      </c>
      <c r="P2482" s="3">
        <f>SUM($O$2:Table1[[#This Row],[pctAllTimeExp]])</f>
        <v>0.99999989278647294</v>
      </c>
      <c r="Q2482" t="b">
        <f>Table1[[#This Row],[cumPctAllTimeExp]]&lt;0.95</f>
        <v>0</v>
      </c>
    </row>
    <row r="2483" spans="1:17" x14ac:dyDescent="0.25">
      <c r="A2483">
        <v>1399</v>
      </c>
      <c r="C2483" t="s">
        <v>2508</v>
      </c>
      <c r="E2483" t="s">
        <v>1401</v>
      </c>
      <c r="F2483" s="4">
        <v>0</v>
      </c>
      <c r="G2483" s="4">
        <v>0</v>
      </c>
      <c r="H2483" s="4">
        <v>0</v>
      </c>
      <c r="I2483" s="4">
        <v>8</v>
      </c>
      <c r="J2483" s="4">
        <v>0</v>
      </c>
      <c r="K2483" s="4">
        <v>0</v>
      </c>
      <c r="L2483" s="4">
        <v>0</v>
      </c>
      <c r="M2483" s="4">
        <v>0</v>
      </c>
      <c r="N2483" s="4">
        <f>SUM(Table1[[#This Row],[2025]:[2018]])</f>
        <v>8</v>
      </c>
      <c r="O2483" s="2">
        <f>Table1[[#This Row],[ttl]]/SUM(Table1[ttl])</f>
        <v>1.6131431861566506E-8</v>
      </c>
      <c r="P2483" s="3">
        <f>SUM($O$2:Table1[[#This Row],[pctAllTimeExp]])</f>
        <v>0.9999999089179048</v>
      </c>
      <c r="Q2483" t="b">
        <f>Table1[[#This Row],[cumPctAllTimeExp]]&lt;0.95</f>
        <v>0</v>
      </c>
    </row>
    <row r="2484" spans="1:17" x14ac:dyDescent="0.25">
      <c r="A2484">
        <v>1400</v>
      </c>
      <c r="C2484" t="s">
        <v>2508</v>
      </c>
      <c r="E2484" t="s">
        <v>1402</v>
      </c>
      <c r="F2484" s="4">
        <v>0</v>
      </c>
      <c r="G2484" s="4">
        <v>0</v>
      </c>
      <c r="H2484" s="4">
        <v>0</v>
      </c>
      <c r="I2484" s="4">
        <v>8</v>
      </c>
      <c r="J2484" s="4">
        <v>0</v>
      </c>
      <c r="K2484" s="4">
        <v>0</v>
      </c>
      <c r="L2484" s="4">
        <v>0</v>
      </c>
      <c r="M2484" s="4">
        <v>0</v>
      </c>
      <c r="N2484" s="4">
        <f>SUM(Table1[[#This Row],[2025]:[2018]])</f>
        <v>8</v>
      </c>
      <c r="O2484" s="2">
        <f>Table1[[#This Row],[ttl]]/SUM(Table1[ttl])</f>
        <v>1.6131431861566506E-8</v>
      </c>
      <c r="P2484" s="3">
        <f>SUM($O$2:Table1[[#This Row],[pctAllTimeExp]])</f>
        <v>0.99999992504933666</v>
      </c>
      <c r="Q2484" t="b">
        <f>Table1[[#This Row],[cumPctAllTimeExp]]&lt;0.95</f>
        <v>0</v>
      </c>
    </row>
    <row r="2485" spans="1:17" x14ac:dyDescent="0.25">
      <c r="A2485">
        <v>2241</v>
      </c>
      <c r="C2485" t="s">
        <v>2508</v>
      </c>
      <c r="E2485" t="s">
        <v>2243</v>
      </c>
      <c r="F2485" s="4">
        <v>0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  <c r="L2485" s="4">
        <v>8</v>
      </c>
      <c r="M2485" s="4">
        <v>0</v>
      </c>
      <c r="N2485" s="4">
        <f>SUM(Table1[[#This Row],[2025]:[2018]])</f>
        <v>8</v>
      </c>
      <c r="O2485" s="2">
        <f>Table1[[#This Row],[ttl]]/SUM(Table1[ttl])</f>
        <v>1.6131431861566506E-8</v>
      </c>
      <c r="P2485" s="3">
        <f>SUM($O$2:Table1[[#This Row],[pctAllTimeExp]])</f>
        <v>0.99999994118076851</v>
      </c>
      <c r="Q2485" t="b">
        <f>Table1[[#This Row],[cumPctAllTimeExp]]&lt;0.95</f>
        <v>0</v>
      </c>
    </row>
    <row r="2486" spans="1:17" x14ac:dyDescent="0.25">
      <c r="A2486">
        <v>2488</v>
      </c>
      <c r="C2486" t="s">
        <v>2508</v>
      </c>
      <c r="E2486" t="s">
        <v>2490</v>
      </c>
      <c r="F2486" s="4">
        <v>0</v>
      </c>
      <c r="G2486" s="4">
        <v>0</v>
      </c>
      <c r="H2486" s="4">
        <v>0</v>
      </c>
      <c r="I2486" s="4">
        <v>0</v>
      </c>
      <c r="J2486" s="4">
        <v>0</v>
      </c>
      <c r="K2486" s="4">
        <v>0</v>
      </c>
      <c r="L2486" s="4">
        <v>0</v>
      </c>
      <c r="M2486" s="4">
        <v>8</v>
      </c>
      <c r="N2486" s="4">
        <f>SUM(Table1[[#This Row],[2025]:[2018]])</f>
        <v>8</v>
      </c>
      <c r="O2486" s="2">
        <f>Table1[[#This Row],[ttl]]/SUM(Table1[ttl])</f>
        <v>1.6131431861566506E-8</v>
      </c>
      <c r="P2486" s="3">
        <f>SUM($O$2:Table1[[#This Row],[pctAllTimeExp]])</f>
        <v>0.99999995731220037</v>
      </c>
      <c r="Q2486" t="b">
        <f>Table1[[#This Row],[cumPctAllTimeExp]]&lt;0.95</f>
        <v>0</v>
      </c>
    </row>
    <row r="2487" spans="1:17" x14ac:dyDescent="0.25">
      <c r="A2487">
        <v>687</v>
      </c>
      <c r="C2487" t="s">
        <v>2508</v>
      </c>
      <c r="E2487" t="s">
        <v>689</v>
      </c>
      <c r="F2487" s="4">
        <v>6</v>
      </c>
      <c r="G2487" s="4">
        <v>0</v>
      </c>
      <c r="H2487" s="4">
        <v>0</v>
      </c>
      <c r="I2487" s="4">
        <v>0</v>
      </c>
      <c r="J2487" s="4">
        <v>0</v>
      </c>
      <c r="K2487" s="4">
        <v>0</v>
      </c>
      <c r="L2487" s="4">
        <v>0</v>
      </c>
      <c r="M2487" s="4">
        <v>0</v>
      </c>
      <c r="N2487" s="4">
        <f>SUM(Table1[[#This Row],[2025]:[2018]])</f>
        <v>6</v>
      </c>
      <c r="O2487" s="2">
        <f>Table1[[#This Row],[ttl]]/SUM(Table1[ttl])</f>
        <v>1.2098573896174881E-8</v>
      </c>
      <c r="P2487" s="3">
        <f>SUM($O$2:Table1[[#This Row],[pctAllTimeExp]])</f>
        <v>0.99999996941077429</v>
      </c>
      <c r="Q2487" t="b">
        <f>Table1[[#This Row],[cumPctAllTimeExp]]&lt;0.95</f>
        <v>0</v>
      </c>
    </row>
    <row r="2488" spans="1:17" x14ac:dyDescent="0.25">
      <c r="A2488">
        <v>1401</v>
      </c>
      <c r="C2488" t="s">
        <v>2508</v>
      </c>
      <c r="E2488" t="s">
        <v>1403</v>
      </c>
      <c r="F2488" s="4">
        <v>0</v>
      </c>
      <c r="G2488" s="4">
        <v>0</v>
      </c>
      <c r="H2488" s="4">
        <v>0</v>
      </c>
      <c r="I2488" s="4">
        <v>5.48</v>
      </c>
      <c r="J2488" s="4">
        <v>0</v>
      </c>
      <c r="K2488" s="4">
        <v>0</v>
      </c>
      <c r="L2488" s="4">
        <v>0</v>
      </c>
      <c r="M2488" s="4">
        <v>0</v>
      </c>
      <c r="N2488" s="4">
        <f>SUM(Table1[[#This Row],[2025]:[2018]])</f>
        <v>5.48</v>
      </c>
      <c r="O2488" s="2">
        <f>Table1[[#This Row],[ttl]]/SUM(Table1[ttl])</f>
        <v>1.1050030825173059E-8</v>
      </c>
      <c r="P2488" s="3">
        <f>SUM($O$2:Table1[[#This Row],[pctAllTimeExp]])</f>
        <v>0.99999998046080507</v>
      </c>
      <c r="Q2488" t="b">
        <f>Table1[[#This Row],[cumPctAllTimeExp]]&lt;0.95</f>
        <v>0</v>
      </c>
    </row>
    <row r="2489" spans="1:17" x14ac:dyDescent="0.25">
      <c r="A2489">
        <v>1402</v>
      </c>
      <c r="C2489" t="s">
        <v>2508</v>
      </c>
      <c r="E2489" t="s">
        <v>1404</v>
      </c>
      <c r="F2489" s="4">
        <v>0</v>
      </c>
      <c r="G2489" s="4">
        <v>0</v>
      </c>
      <c r="H2489" s="4">
        <v>0</v>
      </c>
      <c r="I2489" s="4">
        <v>4</v>
      </c>
      <c r="J2489" s="4">
        <v>0</v>
      </c>
      <c r="K2489" s="4">
        <v>0</v>
      </c>
      <c r="L2489" s="4">
        <v>0</v>
      </c>
      <c r="M2489" s="4">
        <v>0</v>
      </c>
      <c r="N2489" s="4">
        <f>SUM(Table1[[#This Row],[2025]:[2018]])</f>
        <v>4</v>
      </c>
      <c r="O2489" s="2">
        <f>Table1[[#This Row],[ttl]]/SUM(Table1[ttl])</f>
        <v>8.0657159307832532E-9</v>
      </c>
      <c r="P2489" s="3">
        <f>SUM($O$2:Table1[[#This Row],[pctAllTimeExp]])</f>
        <v>0.99999998852652106</v>
      </c>
      <c r="Q2489" t="b">
        <f>Table1[[#This Row],[cumPctAllTimeExp]]&lt;0.95</f>
        <v>0</v>
      </c>
    </row>
    <row r="2490" spans="1:17" x14ac:dyDescent="0.25">
      <c r="A2490">
        <v>2242</v>
      </c>
      <c r="C2490" t="s">
        <v>2508</v>
      </c>
      <c r="E2490" t="s">
        <v>2244</v>
      </c>
      <c r="F2490" s="4">
        <v>0</v>
      </c>
      <c r="G2490" s="4">
        <v>0</v>
      </c>
      <c r="H2490" s="4">
        <v>0</v>
      </c>
      <c r="I2490" s="4">
        <v>0</v>
      </c>
      <c r="J2490" s="4">
        <v>0</v>
      </c>
      <c r="K2490" s="4">
        <v>0</v>
      </c>
      <c r="L2490" s="4">
        <v>4</v>
      </c>
      <c r="M2490" s="4">
        <v>0</v>
      </c>
      <c r="N2490" s="4">
        <f>SUM(Table1[[#This Row],[2025]:[2018]])</f>
        <v>4</v>
      </c>
      <c r="O2490" s="2">
        <f>Table1[[#This Row],[ttl]]/SUM(Table1[ttl])</f>
        <v>8.0657159307832532E-9</v>
      </c>
      <c r="P2490" s="3">
        <f>SUM($O$2:Table1[[#This Row],[pctAllTimeExp]])</f>
        <v>0.99999999659223704</v>
      </c>
      <c r="Q2490" t="b">
        <f>Table1[[#This Row],[cumPctAllTimeExp]]&lt;0.95</f>
        <v>0</v>
      </c>
    </row>
    <row r="2491" spans="1:17" x14ac:dyDescent="0.25">
      <c r="A2491">
        <v>2489</v>
      </c>
      <c r="C2491" t="s">
        <v>2508</v>
      </c>
      <c r="E2491" t="s">
        <v>2491</v>
      </c>
      <c r="F2491" s="4">
        <v>0</v>
      </c>
      <c r="G2491" s="4">
        <v>0</v>
      </c>
      <c r="H2491" s="4">
        <v>0</v>
      </c>
      <c r="I2491" s="4">
        <v>0</v>
      </c>
      <c r="J2491" s="4">
        <v>0</v>
      </c>
      <c r="K2491" s="4">
        <v>0</v>
      </c>
      <c r="L2491" s="4">
        <v>0</v>
      </c>
      <c r="M2491" s="4">
        <v>0.6</v>
      </c>
      <c r="N2491" s="4">
        <f>SUM(Table1[[#This Row],[2025]:[2018]])</f>
        <v>0.6</v>
      </c>
      <c r="O2491" s="2">
        <f>Table1[[#This Row],[ttl]]/SUM(Table1[ttl])</f>
        <v>1.2098573896174881E-9</v>
      </c>
      <c r="P2491" s="3">
        <f>SUM($O$2:Table1[[#This Row],[pctAllTimeExp]])</f>
        <v>0.99999999780209448</v>
      </c>
      <c r="Q2491" t="b">
        <f>Table1[[#This Row],[cumPctAllTimeExp]]&lt;0.95</f>
        <v>0</v>
      </c>
    </row>
    <row r="2492" spans="1:17" x14ac:dyDescent="0.25">
      <c r="A2492">
        <v>2490</v>
      </c>
      <c r="C2492" t="s">
        <v>2508</v>
      </c>
      <c r="E2492" t="s">
        <v>2492</v>
      </c>
      <c r="F2492" s="4">
        <v>0</v>
      </c>
      <c r="G2492" s="4">
        <v>0</v>
      </c>
      <c r="H2492" s="4">
        <v>0</v>
      </c>
      <c r="I2492" s="4">
        <v>0</v>
      </c>
      <c r="J2492" s="4">
        <v>0</v>
      </c>
      <c r="K2492" s="4">
        <v>0</v>
      </c>
      <c r="L2492" s="4">
        <v>0</v>
      </c>
      <c r="M2492" s="4">
        <v>0.55000000000000004</v>
      </c>
      <c r="N2492" s="4">
        <f>SUM(Table1[[#This Row],[2025]:[2018]])</f>
        <v>0.55000000000000004</v>
      </c>
      <c r="O2492" s="2">
        <f>Table1[[#This Row],[ttl]]/SUM(Table1[ttl])</f>
        <v>1.1090359404826976E-9</v>
      </c>
      <c r="P2492" s="3">
        <f>SUM($O$2:Table1[[#This Row],[pctAllTimeExp]])</f>
        <v>0.99999999891113045</v>
      </c>
      <c r="Q2492" t="b">
        <f>Table1[[#This Row],[cumPctAllTimeExp]]&lt;0.95</f>
        <v>0</v>
      </c>
    </row>
    <row r="2493" spans="1:17" x14ac:dyDescent="0.25">
      <c r="A2493">
        <v>2491</v>
      </c>
      <c r="C2493" t="s">
        <v>2508</v>
      </c>
      <c r="E2493" t="s">
        <v>2493</v>
      </c>
      <c r="F2493" s="4">
        <v>0</v>
      </c>
      <c r="G2493" s="4">
        <v>0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0.54</v>
      </c>
      <c r="N2493" s="4">
        <f>SUM(Table1[[#This Row],[2025]:[2018]])</f>
        <v>0.54</v>
      </c>
      <c r="O2493" s="2">
        <f>Table1[[#This Row],[ttl]]/SUM(Table1[ttl])</f>
        <v>1.0888716506557393E-9</v>
      </c>
      <c r="P2493" s="3">
        <f>SUM($O$2:Table1[[#This Row],[pctAllTimeExp]])</f>
        <v>1.000000000000002</v>
      </c>
      <c r="Q2493" t="b">
        <f>Table1[[#This Row],[cumPctAllTimeExp]]&lt;0.95</f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BFE8-9418-4B57-A38C-46BCC86180DF}">
  <dimension ref="A3:C23"/>
  <sheetViews>
    <sheetView workbookViewId="0">
      <selection activeCell="H23" sqref="H23"/>
    </sheetView>
  </sheetViews>
  <sheetFormatPr defaultRowHeight="15" x14ac:dyDescent="0.25"/>
  <cols>
    <col min="1" max="1" width="23.42578125" bestFit="1" customWidth="1"/>
    <col min="2" max="2" width="12.5703125" bestFit="1" customWidth="1"/>
    <col min="3" max="3" width="20.85546875" bestFit="1" customWidth="1"/>
  </cols>
  <sheetData>
    <row r="3" spans="1:3" x14ac:dyDescent="0.25">
      <c r="A3" s="6" t="s">
        <v>2769</v>
      </c>
      <c r="B3" t="s">
        <v>2771</v>
      </c>
      <c r="C3" t="s">
        <v>2772</v>
      </c>
    </row>
    <row r="4" spans="1:3" x14ac:dyDescent="0.25">
      <c r="A4" s="7" t="s">
        <v>2763</v>
      </c>
      <c r="B4" s="8">
        <v>151971966.66</v>
      </c>
      <c r="C4" s="3">
        <v>0.30644067813050591</v>
      </c>
    </row>
    <row r="5" spans="1:3" x14ac:dyDescent="0.25">
      <c r="A5" s="7" t="s">
        <v>2509</v>
      </c>
      <c r="B5" s="8">
        <v>89842288.739999965</v>
      </c>
      <c r="C5" s="3">
        <v>0.18116059488706179</v>
      </c>
    </row>
    <row r="6" spans="1:3" x14ac:dyDescent="0.25">
      <c r="A6" s="7" t="s">
        <v>2507</v>
      </c>
      <c r="B6" s="8">
        <v>67117521.089999989</v>
      </c>
      <c r="C6" s="3">
        <v>0.1353377147725735</v>
      </c>
    </row>
    <row r="7" spans="1:3" x14ac:dyDescent="0.25">
      <c r="A7" s="7" t="s">
        <v>2758</v>
      </c>
      <c r="B7" s="8">
        <v>32535887.130000003</v>
      </c>
      <c r="C7" s="3">
        <v>6.560630578665172E-2</v>
      </c>
    </row>
    <row r="8" spans="1:3" x14ac:dyDescent="0.25">
      <c r="A8" s="7" t="s">
        <v>2767</v>
      </c>
      <c r="B8" s="8">
        <v>25919881.350000001</v>
      </c>
      <c r="C8" s="3">
        <v>5.2265599982176697E-2</v>
      </c>
    </row>
    <row r="9" spans="1:3" x14ac:dyDescent="0.25">
      <c r="A9" s="7" t="s">
        <v>2508</v>
      </c>
      <c r="B9" s="8">
        <v>24890956.899999946</v>
      </c>
      <c r="C9" s="3">
        <v>5.0190846900192328E-2</v>
      </c>
    </row>
    <row r="10" spans="1:3" x14ac:dyDescent="0.25">
      <c r="A10" s="7" t="s">
        <v>2756</v>
      </c>
      <c r="B10" s="8">
        <v>20950553.870000001</v>
      </c>
      <c r="C10" s="3">
        <v>4.2245304026997943E-2</v>
      </c>
    </row>
    <row r="11" spans="1:3" x14ac:dyDescent="0.25">
      <c r="A11" s="7" t="s">
        <v>2552</v>
      </c>
      <c r="B11" s="8">
        <v>19204350.020000003</v>
      </c>
      <c r="C11" s="3">
        <v>3.8724207974162941E-2</v>
      </c>
    </row>
    <row r="12" spans="1:3" x14ac:dyDescent="0.25">
      <c r="A12" s="7" t="s">
        <v>2768</v>
      </c>
      <c r="B12" s="8">
        <v>12432880.75</v>
      </c>
      <c r="C12" s="3">
        <v>2.5070021082700858E-2</v>
      </c>
    </row>
    <row r="13" spans="1:3" x14ac:dyDescent="0.25">
      <c r="A13" s="7" t="s">
        <v>2543</v>
      </c>
      <c r="B13" s="8">
        <v>10274396.299999999</v>
      </c>
      <c r="C13" s="3">
        <v>2.0717590479022625E-2</v>
      </c>
    </row>
    <row r="14" spans="1:3" x14ac:dyDescent="0.25">
      <c r="A14" s="7" t="s">
        <v>2510</v>
      </c>
      <c r="B14" s="8">
        <v>9599812.2200000007</v>
      </c>
      <c r="C14" s="3">
        <v>1.9357339588845439E-2</v>
      </c>
    </row>
    <row r="15" spans="1:3" x14ac:dyDescent="0.25">
      <c r="A15" s="7" t="s">
        <v>2530</v>
      </c>
      <c r="B15" s="8">
        <v>9025846.0899999961</v>
      </c>
      <c r="C15" s="3">
        <v>1.8199977649227685E-2</v>
      </c>
    </row>
    <row r="16" spans="1:3" x14ac:dyDescent="0.25">
      <c r="A16" s="7" t="s">
        <v>2562</v>
      </c>
      <c r="B16" s="8">
        <v>6140023.6100000003</v>
      </c>
      <c r="C16" s="3">
        <v>1.2380921561640577E-2</v>
      </c>
    </row>
    <row r="17" spans="1:3" x14ac:dyDescent="0.25">
      <c r="A17" s="7" t="s">
        <v>2528</v>
      </c>
      <c r="B17" s="8">
        <v>4085186.5000000005</v>
      </c>
      <c r="C17" s="3">
        <v>8.2374884583176697E-3</v>
      </c>
    </row>
    <row r="18" spans="1:3" x14ac:dyDescent="0.25">
      <c r="A18" s="7" t="s">
        <v>2565</v>
      </c>
      <c r="B18" s="8">
        <v>3705253.1999999997</v>
      </c>
      <c r="C18" s="3">
        <v>7.4713799407064071E-3</v>
      </c>
    </row>
    <row r="19" spans="1:3" x14ac:dyDescent="0.25">
      <c r="A19" s="7" t="s">
        <v>2766</v>
      </c>
      <c r="B19" s="8">
        <v>3132758.3900000006</v>
      </c>
      <c r="C19" s="3">
        <v>6.3169848133794752E-3</v>
      </c>
    </row>
    <row r="20" spans="1:3" x14ac:dyDescent="0.25">
      <c r="A20" s="7" t="s">
        <v>2759</v>
      </c>
      <c r="B20" s="8">
        <v>2236156.52</v>
      </c>
      <c r="C20" s="3">
        <v>4.5090508167722112E-3</v>
      </c>
    </row>
    <row r="21" spans="1:3" x14ac:dyDescent="0.25">
      <c r="A21" s="7" t="s">
        <v>2765</v>
      </c>
      <c r="B21" s="8">
        <v>1451426.28</v>
      </c>
      <c r="C21" s="3">
        <v>2.9266980172383689E-3</v>
      </c>
    </row>
    <row r="22" spans="1:3" x14ac:dyDescent="0.25">
      <c r="A22" s="7" t="s">
        <v>2764</v>
      </c>
      <c r="B22" s="8">
        <v>1409072.7499999998</v>
      </c>
      <c r="C22" s="3">
        <v>2.841295131826892E-3</v>
      </c>
    </row>
    <row r="23" spans="1:3" x14ac:dyDescent="0.25">
      <c r="A23" s="7" t="s">
        <v>2770</v>
      </c>
      <c r="B23" s="8">
        <v>495926218.36999989</v>
      </c>
      <c r="C23" s="3">
        <v>1.0000000000000013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checkbook_dpr</vt:lpstr>
      <vt:lpstr>pivot_by_class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Tricarico</dc:creator>
  <cp:lastModifiedBy>Joseph Tricarico</cp:lastModifiedBy>
  <dcterms:created xsi:type="dcterms:W3CDTF">2026-02-23T04:31:30Z</dcterms:created>
  <dcterms:modified xsi:type="dcterms:W3CDTF">2026-02-23T21:42:43Z</dcterms:modified>
</cp:coreProperties>
</file>